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_power_unit_class" sheetId="1" state="visible" r:id="rId2"/>
    <sheet name="Referenc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O3" authorId="0">
      <text>
        <r>
          <rPr>
            <sz val="11"/>
            <color rgb="FF000000"/>
            <rFont val="Calibri"/>
            <family val="2"/>
            <charset val="1"/>
          </rPr>
          <t xml:space="preserve">
all EUR/kWa;
Nuclear (€/MWh)
</t>
        </r>
      </text>
    </comment>
    <comment ref="AP3" authorId="0">
      <text>
        <r>
          <rPr>
            <sz val="11"/>
            <color rgb="FF000000"/>
            <rFont val="Calibri"/>
            <family val="2"/>
            <charset val="1"/>
          </rPr>
          <t xml:space="preserve">
all EUR/kWa;
Nuclear (€/MWh)
</t>
        </r>
      </text>
    </comment>
    <comment ref="AQ3" authorId="0">
      <text>
        <r>
          <rPr>
            <sz val="11"/>
            <color rgb="FF000000"/>
            <rFont val="Calibri"/>
            <family val="2"/>
            <charset val="1"/>
          </rPr>
          <t xml:space="preserve">
all EUR/kWa;
Nuclear (€/MWh)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N3" authorId="0">
      <text>
        <r>
          <rPr>
            <sz val="11"/>
            <color rgb="FF000000"/>
            <rFont val="Calibri"/>
            <family val="2"/>
            <charset val="1"/>
          </rPr>
          <t xml:space="preserve">
all EUR/kWa;
Nuclear (€/MWh)
</t>
        </r>
      </text>
    </comment>
    <comment ref="AO3" authorId="0">
      <text>
        <r>
          <rPr>
            <sz val="11"/>
            <color rgb="FF000000"/>
            <rFont val="Calibri"/>
            <family val="2"/>
            <charset val="1"/>
          </rPr>
          <t xml:space="preserve">
all EUR/kWa;
Nuclear (€/MWh)
</t>
        </r>
      </text>
    </comment>
    <comment ref="AP3" authorId="0">
      <text>
        <r>
          <rPr>
            <sz val="11"/>
            <color rgb="FF000000"/>
            <rFont val="Calibri"/>
            <family val="2"/>
            <charset val="1"/>
          </rPr>
          <t xml:space="preserve">
all EUR/kWa;
Nuclear (€/MWh)
</t>
        </r>
      </text>
    </comment>
  </commentList>
</comments>
</file>

<file path=xl/sharedStrings.xml><?xml version="1.0" encoding="utf-8"?>
<sst xmlns="http://schemas.openxmlformats.org/spreadsheetml/2006/main" count="9091" uniqueCount="352">
  <si>
    <t xml:space="preserve">This is the main Look-up table with defined values for plant categories.</t>
  </si>
  <si>
    <t xml:space="preserve">Efficiency of power generation</t>
  </si>
  <si>
    <t xml:space="preserve">CHP thermal efficiency</t>
  </si>
  <si>
    <t xml:space="preserve">CHP electric efficiency</t>
  </si>
  <si>
    <t xml:space="preserve">CHP total efficiency</t>
  </si>
  <si>
    <t xml:space="preserve">Availability factor</t>
  </si>
  <si>
    <t xml:space="preserve">Minimum power for stable generation</t>
  </si>
  <si>
    <t xml:space="preserve">Ramping up rate</t>
  </si>
  <si>
    <t xml:space="preserve">Ramping down rate</t>
  </si>
  <si>
    <t xml:space="preserve">Minimum up time</t>
  </si>
  <si>
    <t xml:space="preserve">Minimum down time</t>
  </si>
  <si>
    <t xml:space="preserve">Capital costs</t>
  </si>
  <si>
    <t xml:space="preserve">Fixed O&amp;M costs</t>
  </si>
  <si>
    <t xml:space="preserve">Variable O&amp;M costs</t>
  </si>
  <si>
    <t xml:space="preserve">Start-up costs for hot start</t>
  </si>
  <si>
    <t xml:space="preserve">Start-up costs for warm start</t>
  </si>
  <si>
    <t xml:space="preserve">Start-up costs for cold start</t>
  </si>
  <si>
    <t xml:space="preserve">Ramping costs</t>
  </si>
  <si>
    <t xml:space="preserve">Start-up times for hot start</t>
  </si>
  <si>
    <t xml:space="preserve">Start-up times for warm start</t>
  </si>
  <si>
    <t xml:space="preserve">Start-up times for cold start</t>
  </si>
  <si>
    <t xml:space="preserve">%</t>
  </si>
  <si>
    <t xml:space="preserve">% in time</t>
  </si>
  <si>
    <t xml:space="preserve">% maximum capacity</t>
  </si>
  <si>
    <t xml:space="preserve">% maximum capacity/ min.</t>
  </si>
  <si>
    <t xml:space="preserve">% maximum capacity/min.</t>
  </si>
  <si>
    <t xml:space="preserve">h</t>
  </si>
  <si>
    <t xml:space="preserve">EUR/kW</t>
  </si>
  <si>
    <t xml:space="preserve">EUR/kW/a</t>
  </si>
  <si>
    <t xml:space="preserve">EUR/MWh</t>
  </si>
  <si>
    <r>
      <rPr>
        <sz val="11"/>
        <color rgb="FF000000"/>
        <rFont val="Calibri"/>
        <family val="2"/>
        <charset val="1"/>
      </rPr>
      <t xml:space="preserve">EUR/</t>
    </r>
    <r>
      <rPr>
        <sz val="11"/>
        <color rgb="FF000000"/>
        <rFont val="Symbol"/>
        <family val="1"/>
        <charset val="2"/>
      </rPr>
      <t xml:space="preserve">D</t>
    </r>
    <r>
      <rPr>
        <sz val="11"/>
        <color rgb="FF000000"/>
        <rFont val="Calibri"/>
        <family val="2"/>
        <charset val="1"/>
      </rPr>
      <t xml:space="preserve">MW</t>
    </r>
  </si>
  <si>
    <t xml:space="preserve">min.</t>
  </si>
  <si>
    <t xml:space="preserve">Energy carrier</t>
  </si>
  <si>
    <t xml:space="preserve">Reference technology</t>
  </si>
  <si>
    <t xml:space="preserve">Operative Features</t>
  </si>
  <si>
    <t xml:space="preserve">Age bin</t>
  </si>
  <si>
    <t xml:space="preserve">Size bin</t>
  </si>
  <si>
    <t xml:space="preserve">Turbine
Type</t>
  </si>
  <si>
    <t xml:space="preserve">Min</t>
  </si>
  <si>
    <t xml:space="preserve">Best</t>
  </si>
  <si>
    <t xml:space="preserve">Max</t>
  </si>
  <si>
    <t xml:space="preserve">Hard coal
/
Lignite</t>
  </si>
  <si>
    <t xml:space="preserve">Steam turbine
(hard coal)</t>
  </si>
  <si>
    <t xml:space="preserve">Sub-critical</t>
  </si>
  <si>
    <t xml:space="preserve">&lt;10</t>
  </si>
  <si>
    <t xml:space="preserve">L (&gt;=400MW)</t>
  </si>
  <si>
    <t xml:space="preserve">-</t>
  </si>
  <si>
    <t xml:space="preserve">M (&gt;=150MW and &lt;400MW)</t>
  </si>
  <si>
    <t xml:space="preserve">S (&gt;=7.5MW and &lt;150MW)</t>
  </si>
  <si>
    <t xml:space="preserve">XS (&lt;7.5MW)</t>
  </si>
  <si>
    <t xml:space="preserve">10 - 30</t>
  </si>
  <si>
    <t xml:space="preserve">&gt;30</t>
  </si>
  <si>
    <t xml:space="preserve">Steam turbine  (hard coal)</t>
  </si>
  <si>
    <t xml:space="preserve">supercritical</t>
  </si>
  <si>
    <t xml:space="preserve">ultra-supercritical</t>
  </si>
  <si>
    <t xml:space="preserve">10 - 20</t>
  </si>
  <si>
    <t xml:space="preserve">Steam turbine
(lignite)</t>
  </si>
  <si>
    <t xml:space="preserve">Steam turbine (lignite)</t>
  </si>
  <si>
    <t xml:space="preserve">IGCC
(Integrateg gasification combined cycle)</t>
  </si>
  <si>
    <t xml:space="preserve">no data</t>
  </si>
  <si>
    <t xml:space="preserve">no data </t>
  </si>
  <si>
    <t xml:space="preserve">steam turbine (CHP)</t>
  </si>
  <si>
    <t xml:space="preserve">Back-pressure</t>
  </si>
  <si>
    <t xml:space="preserve">Extraction</t>
  </si>
  <si>
    <t xml:space="preserve">Natural gas
/
Oil</t>
  </si>
  <si>
    <t xml:space="preserve">Combined-cycle</t>
  </si>
  <si>
    <t xml:space="preserve">Aero-derivative</t>
  </si>
  <si>
    <t xml:space="preserve">L (&gt;=350MW)</t>
  </si>
  <si>
    <t xml:space="preserve">M (&gt;=100MW and &lt;350MW)</t>
  </si>
  <si>
    <t xml:space="preserve">S (&gt;=9MW and &lt;100MW)</t>
  </si>
  <si>
    <t xml:space="preserve">XS (&lt;9MW)</t>
  </si>
  <si>
    <t xml:space="preserve">Heavy-duty</t>
  </si>
  <si>
    <t xml:space="preserve">until 2000</t>
  </si>
  <si>
    <t xml:space="preserve">E</t>
  </si>
  <si>
    <t xml:space="preserve">2000-2005</t>
  </si>
  <si>
    <t xml:space="preserve">Fa</t>
  </si>
  <si>
    <t xml:space="preserve">2006-2010</t>
  </si>
  <si>
    <t xml:space="preserve">Fb</t>
  </si>
  <si>
    <t xml:space="preserve">After 2010</t>
  </si>
  <si>
    <t xml:space="preserve">H</t>
  </si>
  <si>
    <t xml:space="preserve">Gas turbine open cycle</t>
  </si>
  <si>
    <t xml:space="preserve">4 min.</t>
  </si>
  <si>
    <t xml:space="preserve">6 min.</t>
  </si>
  <si>
    <t xml:space="preserve">8 min.</t>
  </si>
  <si>
    <t xml:space="preserve">Steam turbine</t>
  </si>
  <si>
    <t xml:space="preserve">Internal combustion</t>
  </si>
  <si>
    <t xml:space="preserve">L (&gt;=10MW)</t>
  </si>
  <si>
    <t xml:space="preserve">M (&gt;=5MW and &lt;10MW)</t>
  </si>
  <si>
    <t xml:space="preserve">S (&gt;=2MW and &lt;5MW)</t>
  </si>
  <si>
    <t xml:space="preserve">XS (&lt;2MW)</t>
  </si>
  <si>
    <t xml:space="preserve">CCGT (CHP)</t>
  </si>
  <si>
    <t xml:space="preserve">Gas turbine (CHP)</t>
  </si>
  <si>
    <t xml:space="preserve">Internal combustion (CHP)</t>
  </si>
  <si>
    <t xml:space="preserve">10 sec</t>
  </si>
  <si>
    <t xml:space="preserve">Uranium</t>
  </si>
  <si>
    <t xml:space="preserve">Nuclear</t>
  </si>
  <si>
    <t xml:space="preserve">PWR
(Pressurized water reactor)</t>
  </si>
  <si>
    <t xml:space="preserve">L (&gt;=750MW)</t>
  </si>
  <si>
    <t xml:space="preserve">95.5</t>
  </si>
  <si>
    <t xml:space="preserve">M (&lt;750MW)</t>
  </si>
  <si>
    <t xml:space="preserve">BWR
(Boiling water reactor)</t>
  </si>
  <si>
    <t xml:space="preserve">Biomass</t>
  </si>
  <si>
    <t xml:space="preserve">Organic Rankine-cycle (CHP)</t>
  </si>
  <si>
    <t xml:space="preserve">Biogas</t>
  </si>
  <si>
    <t xml:space="preserve">Water</t>
  </si>
  <si>
    <t xml:space="preserve">Conventional hydroelectric turbine</t>
  </si>
  <si>
    <t xml:space="preserve">Run-of-river</t>
  </si>
  <si>
    <t xml:space="preserve">L (&gt;=30MW)</t>
  </si>
  <si>
    <t xml:space="preserve">M (&gt;=10MW and &lt;30MW)</t>
  </si>
  <si>
    <t xml:space="preserve">S (&gt;=1MW and &lt;10MW)</t>
  </si>
  <si>
    <t xml:space="preserve">XS (&lt;1MW)</t>
  </si>
  <si>
    <t xml:space="preserve">Reservoirs</t>
  </si>
  <si>
    <t xml:space="preserve">L (&gt;=75MW)</t>
  </si>
  <si>
    <t xml:space="preserve">M (&gt;=10MW and &lt;75MW)</t>
  </si>
  <si>
    <t xml:space="preserve">Pumped-storage</t>
  </si>
  <si>
    <t xml:space="preserve">Tidal</t>
  </si>
  <si>
    <t xml:space="preserve">Wave</t>
  </si>
  <si>
    <t xml:space="preserve">Solar</t>
  </si>
  <si>
    <t xml:space="preserve">Photovoltaic</t>
  </si>
  <si>
    <t xml:space="preserve">RESIDENTIAL ROOFTOP</t>
  </si>
  <si>
    <t xml:space="preserve">XS (&lt;0.01MW)</t>
  </si>
  <si>
    <t xml:space="preserve">Photovoltaic )</t>
  </si>
  <si>
    <t xml:space="preserve">COMMERCIAL ROOFTOP</t>
  </si>
  <si>
    <t xml:space="preserve">S (&gt;=0.01MW and &lt;0.5MW)</t>
  </si>
  <si>
    <t xml:space="preserve">Photovoltaic (</t>
  </si>
  <si>
    <t xml:space="preserve">UTILITY SCALE</t>
  </si>
  <si>
    <t xml:space="preserve">M (&gt;=1MW and &lt;100MW)</t>
  </si>
  <si>
    <t xml:space="preserve">Photovoltaic ()</t>
  </si>
  <si>
    <t xml:space="preserve">LARGE SCALE</t>
  </si>
  <si>
    <t xml:space="preserve">L (&gt;=100MW)</t>
  </si>
  <si>
    <t xml:space="preserve">Wind</t>
  </si>
  <si>
    <t xml:space="preserve">OFFSHORE</t>
  </si>
  <si>
    <t xml:space="preserve">Standard depth (30-50m)
Near shore (&lt;50km)</t>
  </si>
  <si>
    <t xml:space="preserve">L (&gt;=20MW)</t>
  </si>
  <si>
    <t xml:space="preserve">M (&gt;=15MW and &lt;20MW)</t>
  </si>
  <si>
    <t xml:space="preserve">S (&gt;=8MW and &lt;15MW)</t>
  </si>
  <si>
    <t xml:space="preserve">Deep water (&gt;50m)
Far offshore (&gt;50km)</t>
  </si>
  <si>
    <t xml:space="preserve">ONSHORE</t>
  </si>
  <si>
    <t xml:space="preserve">Standard terrain Impact</t>
  </si>
  <si>
    <t xml:space="preserve">L (&gt;=8MW)</t>
  </si>
  <si>
    <t xml:space="preserve">IEC Class III/IV
(Low wind)</t>
  </si>
  <si>
    <t xml:space="preserve">M (&gt;=5MW and &lt;8MW)</t>
  </si>
  <si>
    <t xml:space="preserve">S (&gt;=3MW and &lt;5MW)</t>
  </si>
  <si>
    <t xml:space="preserve">XS (&lt;3MW)</t>
  </si>
  <si>
    <t xml:space="preserve">IEC Class II
(Medium wind)</t>
  </si>
  <si>
    <t xml:space="preserve">IEC Class I
(High wind)</t>
  </si>
  <si>
    <t xml:space="preserve">Simple terrain Impact
(flat)</t>
  </si>
  <si>
    <t xml:space="preserve">Complex terrain Impact
(mountainous)</t>
  </si>
  <si>
    <t xml:space="preserve">* (CHP)</t>
  </si>
  <si>
    <t xml:space="preserve">cogeneration technologies</t>
  </si>
  <si>
    <t xml:space="preserve">This is the list of references which were used to populate the main Look-up table</t>
  </si>
  <si>
    <t xml:space="preserve">CHP electric efficiency </t>
  </si>
  <si>
    <t xml:space="preserve">CHP total efficiency </t>
  </si>
  <si>
    <t xml:space="preserve">Turbine type</t>
  </si>
  <si>
    <t xml:space="preserve">Steam turbine - sub-critical</t>
  </si>
  <si>
    <t xml:space="preserve">own calculations</t>
  </si>
  <si>
    <t xml:space="preserve">Bertsch 2016</t>
  </si>
  <si>
    <t xml:space="preserve">DIW 2014</t>
  </si>
  <si>
    <t xml:space="preserve">DIW 2013</t>
  </si>
  <si>
    <t xml:space="preserve">Hentschel 2016</t>
  </si>
  <si>
    <t xml:space="preserve">DIW 2013 (IEA 2011a)</t>
  </si>
  <si>
    <t xml:space="preserve">DIW 2013 (Klobasa et al.. 2009)</t>
  </si>
  <si>
    <t xml:space="preserve">IEA 2014 (coal fired steam power plant, old)</t>
  </si>
  <si>
    <t xml:space="preserve">DIW 2013 (Ehlers 2011) - coal fired steam power plant, old</t>
  </si>
  <si>
    <t xml:space="preserve">Hentschel 2016, coal fired steam power plant</t>
  </si>
  <si>
    <t xml:space="preserve">IEA 2014 - coal fired steam power plant, new</t>
  </si>
  <si>
    <t xml:space="preserve">DIW 2013 (wagner 2004)</t>
  </si>
  <si>
    <t xml:space="preserve">DIW 2013 (IEA 2011b)</t>
  </si>
  <si>
    <t xml:space="preserve">DIW 2013 (Traber &amp; Kemfert 2011)</t>
  </si>
  <si>
    <t xml:space="preserve">DIW 2013 (IEA et al.. 2010)</t>
  </si>
  <si>
    <t xml:space="preserve">DIW 2013 (Grimm 2007)</t>
  </si>
  <si>
    <t xml:space="preserve">DIW 2013 (Kumar et al. 2012 median)</t>
  </si>
  <si>
    <t xml:space="preserve">DIW 2013 (Kumar et al. 2012 modern)</t>
  </si>
  <si>
    <t xml:space="preserve">Kumar 2012</t>
  </si>
  <si>
    <t xml:space="preserve">Van der Bergh &amp; Delarue 2015</t>
  </si>
  <si>
    <t xml:space="preserve">Parsons Brinckerhoff - DECC 2014</t>
  </si>
  <si>
    <t xml:space="preserve">DIW 2013 (Hundt et al. 2009) - coal fired steam power plant, old</t>
  </si>
  <si>
    <t xml:space="preserve">DIW 2013 (Schuewer et al. 2010) - coal fired steam power plant, old</t>
  </si>
  <si>
    <t xml:space="preserve">Steam turbine - supercritical</t>
  </si>
  <si>
    <t xml:space="preserve">Traber &amp; Kemfert 2011</t>
  </si>
  <si>
    <t xml:space="preserve">dena 2008</t>
  </si>
  <si>
    <t xml:space="preserve">van der Bergh and Delarue 2015</t>
  </si>
  <si>
    <t xml:space="preserve">IEA 2014 (coal fired steam power plant, new)</t>
  </si>
  <si>
    <t xml:space="preserve">van der Bergh and Delarue 2015 (coal fired steam power plant, new)</t>
  </si>
  <si>
    <t xml:space="preserve">DIW 2013 (RWI 1997)</t>
  </si>
  <si>
    <t xml:space="preserve">DIW 2013 (Meibom et al. 2008)</t>
  </si>
  <si>
    <t xml:space="preserve">DIW 2013 (dena 2005)</t>
  </si>
  <si>
    <t xml:space="preserve">diw 2012, Grimm 2007</t>
  </si>
  <si>
    <t xml:space="preserve">DIW 2013, Wacek 2010</t>
  </si>
  <si>
    <t xml:space="preserve">DIW 2013, Hundt el al. 2009</t>
  </si>
  <si>
    <t xml:space="preserve">DIW 2013,Meibom el al. 2000</t>
  </si>
  <si>
    <t xml:space="preserve">Ecofys 2014</t>
  </si>
  <si>
    <t xml:space="preserve">DIW 2013, Meibom et al. 2008</t>
  </si>
  <si>
    <t xml:space="preserve">DIW 2013, Meibom et al. 2009</t>
  </si>
  <si>
    <t xml:space="preserve">DIW 2013, Meibom et al. 2010</t>
  </si>
  <si>
    <t xml:space="preserve">DIW 2013, Meibom et al. 2011</t>
  </si>
  <si>
    <t xml:space="preserve">DIW 2013, Meibom et al. 2012</t>
  </si>
  <si>
    <t xml:space="preserve">DIW 2013, Meibom et al. 2013</t>
  </si>
  <si>
    <t xml:space="preserve">DIW 2013, Meibom et al. 2014</t>
  </si>
  <si>
    <t xml:space="preserve">DIW 2013, Meibom et al. 2015</t>
  </si>
  <si>
    <t xml:space="preserve">DIW 2013, Meibom et al. 2016</t>
  </si>
  <si>
    <t xml:space="preserve">DIW 2013, Meibom et al. 2017</t>
  </si>
  <si>
    <t xml:space="preserve">DIW 2013, Meibom et al. 2018</t>
  </si>
  <si>
    <t xml:space="preserve">DIW 2013, Meibom et al. 2019</t>
  </si>
  <si>
    <t xml:space="preserve">Steam turbine - ultra-supercritical</t>
  </si>
  <si>
    <t xml:space="preserve">IEA 2016</t>
  </si>
  <si>
    <t xml:space="preserve">DIW 2013 (MIT 2007)</t>
  </si>
  <si>
    <t xml:space="preserve">DIW 2013, Meibom et al. 2020</t>
  </si>
  <si>
    <t xml:space="preserve">DIW 2013, Meibom et al. 2021</t>
  </si>
  <si>
    <t xml:space="preserve">DIW 2013, Meibom et al. 2022</t>
  </si>
  <si>
    <t xml:space="preserve">DIW 2013, Meibom et al. 2023</t>
  </si>
  <si>
    <t xml:space="preserve">DIW 2013, Meibom et al. 2024</t>
  </si>
  <si>
    <t xml:space="preserve">DIW 2013, Meibom et al. 2025</t>
  </si>
  <si>
    <t xml:space="preserve">DIW 2013, Meibom et al. 2026</t>
  </si>
  <si>
    <t xml:space="preserve">DIW 2013, Meibom et al. 2027</t>
  </si>
  <si>
    <t xml:space="preserve">Steam turbine - sub-critical (lignite)</t>
  </si>
  <si>
    <t xml:space="preserve">DIW 2013 (Klobasa et al. 2009) - lignite fired steam power plant, old</t>
  </si>
  <si>
    <t xml:space="preserve">DIW 2013 (Ehlers 2011) - lignite fired steam power plant, old</t>
  </si>
  <si>
    <t xml:space="preserve">Hentschel 2016, lignite fired steam power plant</t>
  </si>
  <si>
    <t xml:space="preserve">van der Bergh and Delarue 2015 (lignite fired steam power plant)</t>
  </si>
  <si>
    <t xml:space="preserve">DIW 2013 (Wagner 2004, Lignite Old)</t>
  </si>
  <si>
    <t xml:space="preserve">DIW 2013 (EWI et al.. 2010, Lignite Old)</t>
  </si>
  <si>
    <t xml:space="preserve">DIW 2013 (Traber &amp; Kemfert 2010)</t>
  </si>
  <si>
    <t xml:space="preserve">DIW 2013,VDE 2012</t>
  </si>
  <si>
    <t xml:space="preserve">Lund et al. 2015</t>
  </si>
  <si>
    <t xml:space="preserve">DIW 2013, Traber &amp; Kemfert 2011</t>
  </si>
  <si>
    <t xml:space="preserve">DIW 2013 (Hundt et al. 2009) - lignite fired steam power plant, old</t>
  </si>
  <si>
    <t xml:space="preserve">Steam turbine - supercritical (lignite)</t>
  </si>
  <si>
    <t xml:space="preserve">DIW 2013 (VDE 2012)</t>
  </si>
  <si>
    <t xml:space="preserve">IEA 2014 lignite fired steam power plant, new)</t>
  </si>
  <si>
    <t xml:space="preserve">van der Bergh and Delarue 2015 lignite fired steam power plant, new)</t>
  </si>
  <si>
    <t xml:space="preserve">DIW 2013 (IEA 2010)</t>
  </si>
  <si>
    <t xml:space="preserve">DIW 2013 (Wagner 2004, Lignite New (BoA))</t>
  </si>
  <si>
    <t xml:space="preserve">DIW 2013 (EWI et al.. 2010, Lignite New (BoA))</t>
  </si>
  <si>
    <t xml:space="preserve">Siemens AG 2010</t>
  </si>
  <si>
    <t xml:space="preserve">Hundt el al. 2009</t>
  </si>
  <si>
    <t xml:space="preserve">Steam turbine - ultra-supercritical (lignite)</t>
  </si>
  <si>
    <t xml:space="preserve">IGCC (Integrateg gasification combined cycle)</t>
  </si>
  <si>
    <t xml:space="preserve">Tidball et al. 2010 Cost and Performance Assumptions for Modeling Electricity Generation Technologies</t>
  </si>
  <si>
    <t xml:space="preserve">Brouwer 2015</t>
  </si>
  <si>
    <t xml:space="preserve">DIW (ECF 2010)</t>
  </si>
  <si>
    <t xml:space="preserve">DIW (IEA 2010)</t>
  </si>
  <si>
    <t xml:space="preserve">Brouwer 2010</t>
  </si>
  <si>
    <t xml:space="preserve">Backpressure steam turbine (CHP)</t>
  </si>
  <si>
    <t xml:space="preserve">Fraunhofer IFAM 2014</t>
  </si>
  <si>
    <t xml:space="preserve">(coal) Bertsch 2016</t>
  </si>
  <si>
    <t xml:space="preserve">(lignite) Bertsch 2016</t>
  </si>
  <si>
    <t xml:space="preserve">Bertsch 2016 (lignite CHP, hard coal CHP)</t>
  </si>
  <si>
    <t xml:space="preserve">DIW 2013 (ECF 2010); many techologies</t>
  </si>
  <si>
    <t xml:space="preserve">Bertsch 2016 (lignite CHP)</t>
  </si>
  <si>
    <t xml:space="preserve">Bertsch 2016 (hard coal CHP)</t>
  </si>
  <si>
    <t xml:space="preserve">Extraction steam turbine (CHP)</t>
  </si>
  <si>
    <t xml:space="preserve">Combined-cycle (aeroderivative)</t>
  </si>
  <si>
    <t xml:space="preserve">EWI et al. 2010; CCGT </t>
  </si>
  <si>
    <t xml:space="preserve">dena 2008; CCGT</t>
  </si>
  <si>
    <t xml:space="preserve">van der Bergh and Delarue 2015 (CCGT)</t>
  </si>
  <si>
    <t xml:space="preserve">Hentschel 2016 (CCGT)</t>
  </si>
  <si>
    <t xml:space="preserve">DIW 2013 (IEA 2010, CCGT (new))</t>
  </si>
  <si>
    <t xml:space="preserve">DIW 2013 (IEA 2011b, Combined Cycle New)</t>
  </si>
  <si>
    <t xml:space="preserve">DIW 2013 (Capros 2011, Combined Cycle New)</t>
  </si>
  <si>
    <t xml:space="preserve">DIW 2013 (Meibom et al. 2008); like CCGT(heavy - duty)</t>
  </si>
  <si>
    <t xml:space="preserve">DIW 2013 (Kumar et al. 2012 median); like CCGT (heavy duty)</t>
  </si>
  <si>
    <t xml:space="preserve">DIW 2013 (Meibom et al. 2008); like CCGT (heavy - duty)</t>
  </si>
  <si>
    <t xml:space="preserve">DIW 2013 (Traber &amp; Kemfert 2011); like CCGT (heavy - duty)</t>
  </si>
  <si>
    <t xml:space="preserve">EWI et al. 2010; CCGT</t>
  </si>
  <si>
    <t xml:space="preserve">Combined-cycle (heavy-duty)</t>
  </si>
  <si>
    <t xml:space="preserve">IAE 2014</t>
  </si>
  <si>
    <t xml:space="preserve">ECOFYS 2014 (CCGT old) </t>
  </si>
  <si>
    <t xml:space="preserve">DIW 2013 (Capros 2011, Combined Cycle Old)</t>
  </si>
  <si>
    <t xml:space="preserve">DIW 2013 (Capros 2011)</t>
  </si>
  <si>
    <t xml:space="preserve">DIW 2013, Meibom el al. 2000</t>
  </si>
  <si>
    <t xml:space="preserve">DIW 2013, Meibom el al. 2001</t>
  </si>
  <si>
    <t xml:space="preserve">DIW 2013, Meibom el al. 2002</t>
  </si>
  <si>
    <t xml:space="preserve">DIW 2013, Meibom el al. 2003</t>
  </si>
  <si>
    <t xml:space="preserve">IEA 2014 (CCGT old)</t>
  </si>
  <si>
    <t xml:space="preserve">ECOFYS 2014 (CCGT new) </t>
  </si>
  <si>
    <t xml:space="preserve">IEA 2014 (CCGTnew</t>
  </si>
  <si>
    <t xml:space="preserve">Gas turbine open cycle (aeroderivative)</t>
  </si>
  <si>
    <t xml:space="preserve">ECF 2010; OCGT</t>
  </si>
  <si>
    <t xml:space="preserve">VGB PowerTech 2011b*; OCGT</t>
  </si>
  <si>
    <t xml:space="preserve">Ecofys 2014, DIW 2013</t>
  </si>
  <si>
    <t xml:space="preserve">ECOFYS 2014 (OCGT)</t>
  </si>
  <si>
    <t xml:space="preserve">van der Bergh and Delarue 2015; DIW 2013 (Hundt et al. 2009) - OCGT</t>
  </si>
  <si>
    <t xml:space="preserve">Hentschel 2016 (OCGT)</t>
  </si>
  <si>
    <t xml:space="preserve">van der Bergh and Delarue 2015 (OCGT)</t>
  </si>
  <si>
    <t xml:space="preserve">Brouwer 2015 (OCGT)</t>
  </si>
  <si>
    <t xml:space="preserve">DIW (VGB Powertech 2011)</t>
  </si>
  <si>
    <t xml:space="preserve">Brouwer 2010 (GT)</t>
  </si>
  <si>
    <t xml:space="preserve">Brouwer 2015 (GT)</t>
  </si>
  <si>
    <t xml:space="preserve">DIW 2013 (Kumar et al. 2012 modern); like CCGT(heavy - duty)</t>
  </si>
  <si>
    <t xml:space="preserve">Gas turbine open cycle (heavy-duty)</t>
  </si>
  <si>
    <t xml:space="preserve">IEA 2016 (Gas Turbine)</t>
  </si>
  <si>
    <t xml:space="preserve">DIW 2013 (Wagner 2004)</t>
  </si>
  <si>
    <t xml:space="preserve">EURELECTRIC 2003</t>
  </si>
  <si>
    <t xml:space="preserve">Kunz 2012</t>
  </si>
  <si>
    <t xml:space="preserve">van der Bergh &amp; Delarue 2015</t>
  </si>
  <si>
    <t xml:space="preserve">IEA 2011a</t>
  </si>
  <si>
    <t xml:space="preserve">Steck &amp; Mauch 2006</t>
  </si>
  <si>
    <t xml:space="preserve">van der Bergh and Delarue 2015 (gas fired steam plant))</t>
  </si>
  <si>
    <t xml:space="preserve">van der Bergh and Delarue 2015; DIW 2013 (Schuewer et al. 2010) - gas fired steam plant</t>
  </si>
  <si>
    <t xml:space="preserve">Steck &amp; Mauch 2007</t>
  </si>
  <si>
    <t xml:space="preserve">Steck &amp; Mauch 2008</t>
  </si>
  <si>
    <t xml:space="preserve">Steck &amp; Mauch 2009</t>
  </si>
  <si>
    <t xml:space="preserve">VGB PowerTech 2011b*</t>
  </si>
  <si>
    <t xml:space="preserve">Study of Parliament Group 1992-2001</t>
  </si>
  <si>
    <t xml:space="preserve">Industrial Efficiency Technology Database 2010</t>
  </si>
  <si>
    <t xml:space="preserve">ECF 2010</t>
  </si>
  <si>
    <t xml:space="preserve">DIW 2013 (ECF 2010)</t>
  </si>
  <si>
    <t xml:space="preserve">US EPA, 2014/15 Catalog of CHP Technologies</t>
  </si>
  <si>
    <t xml:space="preserve">US EPA 2014/15</t>
  </si>
  <si>
    <t xml:space="preserve">https://powergen.gepower.com/products/reciprocating-engines.html</t>
  </si>
  <si>
    <t xml:space="preserve">US EPA 2015</t>
  </si>
  <si>
    <t xml:space="preserve">Bureau of Energy Efficiency </t>
  </si>
  <si>
    <t xml:space="preserve">PWR (Pressurized water reactor)</t>
  </si>
  <si>
    <t xml:space="preserve">Bertsch 2016, Siemens 2010</t>
  </si>
  <si>
    <t xml:space="preserve">Siemens 2010</t>
  </si>
  <si>
    <t xml:space="preserve">ECOFYS 2014</t>
  </si>
  <si>
    <t xml:space="preserve">DIW 2013 (Ehlers 2011)</t>
  </si>
  <si>
    <t xml:space="preserve">DIW 2013 (Schuewer et al. 2010) </t>
  </si>
  <si>
    <t xml:space="preserve">DIW 2013 (Severance 2009)</t>
  </si>
  <si>
    <t xml:space="preserve">DIW 2013 (Risto &amp; Kivisto 2008)</t>
  </si>
  <si>
    <t xml:space="preserve">DIW 2-13 (dena 2005)</t>
  </si>
  <si>
    <t xml:space="preserve">Black &amp; Veatch 2012</t>
  </si>
  <si>
    <t xml:space="preserve">Grimm 2007</t>
  </si>
  <si>
    <t xml:space="preserve">BWR (Boiling water reactor)</t>
  </si>
  <si>
    <t xml:space="preserve">Bertsch , 2016, EURELETRIC 2003</t>
  </si>
  <si>
    <t xml:space="preserve">DIW 2013 (PIK 2011)</t>
  </si>
  <si>
    <t xml:space="preserve">DIW 2013 (Peter &amp; Lehmann 2008)</t>
  </si>
  <si>
    <t xml:space="preserve">DIW 2013 (DLR &amp; SRU 2010)</t>
  </si>
  <si>
    <t xml:space="preserve">Back-pressure steam turbine (CHP)</t>
  </si>
  <si>
    <t xml:space="preserve">DIW 2013 (Nagi 2012)</t>
  </si>
  <si>
    <t xml:space="preserve">Yingjan et al., 2014</t>
  </si>
  <si>
    <t xml:space="preserve">Conventional hyrdoeletric turbine</t>
  </si>
  <si>
    <t xml:space="preserve">IRENA 2014-15</t>
  </si>
  <si>
    <t xml:space="preserve">DIW 2013 (VGB PowerTech 2011)</t>
  </si>
  <si>
    <t xml:space="preserve">DIW 2013 (Wissel 2008)</t>
  </si>
  <si>
    <t xml:space="preserve">IEA 2016 (Hydro, large)</t>
  </si>
  <si>
    <t xml:space="preserve">IRENA 2015 (Large hydro &gt;10MWe)</t>
  </si>
  <si>
    <t xml:space="preserve">IRENA 2015 (Small hydro 1-10MWe)</t>
  </si>
  <si>
    <t xml:space="preserve">IEA 2016 (Hydro, small)</t>
  </si>
  <si>
    <t xml:space="preserve">IRENA 2015 (Very small hydro, up to 1 MWe)</t>
  </si>
  <si>
    <t xml:space="preserve">DIW 2013 (IEA 2011)</t>
  </si>
  <si>
    <t xml:space="preserve">IEA 2014</t>
  </si>
  <si>
    <t xml:space="preserve">DIW 2013 (EWI 2012)</t>
  </si>
  <si>
    <t xml:space="preserve">EIA  2013</t>
  </si>
  <si>
    <t xml:space="preserve">Pelc, Fujita, 2002, Renewable energy from the ocean</t>
  </si>
  <si>
    <t xml:space="preserve">DIW 2013 (Black &amp; Veatch 2012)</t>
  </si>
  <si>
    <t xml:space="preserve">Photovoltaic (RESIDENTIAL ROOFTOP)</t>
  </si>
  <si>
    <t xml:space="preserve">Photovoltaic (COMMERCIAL ROOFTOP)</t>
  </si>
  <si>
    <t xml:space="preserve">Photovoltaic (UTILITY SCALE)</t>
  </si>
  <si>
    <t xml:space="preserve">L (&gt;=1MW and &lt;100MW)</t>
  </si>
  <si>
    <t xml:space="preserve">Photovoltaic (VERY LARGE SCALE)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</si>
</sst>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.000"/>
    <numFmt numFmtId="167" formatCode="General"/>
    <numFmt numFmtId="168" formatCode="0.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rgb="FFFFFF00"/>
      <name val="Calibri"/>
      <family val="2"/>
      <charset val="1"/>
    </font>
    <font>
      <sz val="13"/>
      <color rgb="FF000000"/>
      <name val="Calibri"/>
      <family val="2"/>
      <charset val="1"/>
    </font>
    <font>
      <sz val="11"/>
      <color rgb="FF000000"/>
      <name val="Symbol"/>
      <family val="1"/>
      <charset val="2"/>
    </font>
    <font>
      <b val="true"/>
      <sz val="13"/>
      <color rgb="FF44546A"/>
      <name val="Calibri"/>
      <family val="2"/>
      <charset val="1"/>
    </font>
    <font>
      <sz val="11"/>
      <color rgb="FF000000"/>
      <name val="Calibri"/>
      <family val="2"/>
    </font>
    <font>
      <sz val="11"/>
      <name val="Calibri"/>
      <family val="2"/>
      <charset val="1"/>
    </font>
    <font>
      <sz val="20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546A"/>
      </patternFill>
    </fill>
    <fill>
      <patternFill patternType="solid">
        <fgColor rgb="FFFBE5D6"/>
        <bgColor rgb="FFE2F0D9"/>
      </patternFill>
    </fill>
    <fill>
      <patternFill patternType="solid">
        <fgColor rgb="FFE2F0D9"/>
        <bgColor rgb="FFDEE6EF"/>
      </patternFill>
    </fill>
    <fill>
      <patternFill patternType="solid">
        <fgColor rgb="FFD9D9D9"/>
        <bgColor rgb="FFDEE6EF"/>
      </patternFill>
    </fill>
    <fill>
      <patternFill patternType="solid">
        <fgColor rgb="FFDEEBF7"/>
        <bgColor rgb="FFDEE6EF"/>
      </patternFill>
    </fill>
    <fill>
      <patternFill patternType="solid">
        <fgColor rgb="FFA9D18E"/>
        <bgColor rgb="FFADCDEA"/>
      </patternFill>
    </fill>
    <fill>
      <patternFill patternType="solid">
        <fgColor rgb="FFDEE6EF"/>
        <bgColor rgb="FFDEEBF7"/>
      </patternFill>
    </fill>
    <fill>
      <patternFill patternType="solid">
        <fgColor rgb="FFFFFFFF"/>
        <bgColor rgb="FFE2F0D9"/>
      </patternFill>
    </fill>
    <fill>
      <patternFill patternType="solid">
        <fgColor rgb="FFFFC000"/>
        <bgColor rgb="FFFF9900"/>
      </patternFill>
    </fill>
  </fills>
  <borders count="5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ADCDEA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thin"/>
      <bottom style="thick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applyFont="true" applyBorder="true" applyAlignment="true" applyProtection="false">
      <alignment horizontal="general" vertical="bottom" textRotation="0" wrapText="false" indent="0" shrinkToFit="false"/>
    </xf>
  </cellStyleXfs>
  <cellXfs count="3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2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2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2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4" borderId="2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3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4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3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3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4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4" borderId="3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3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3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2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2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3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2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2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3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3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4" borderId="2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2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3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2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2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3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1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1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4" borderId="1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3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1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3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4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4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2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4" borderId="2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2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4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2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2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4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1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4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4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2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4" borderId="2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7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7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7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4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4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4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4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4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4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4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4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5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5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5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4" borderId="4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4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5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4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4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3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3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2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4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4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4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3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4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4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1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5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5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2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5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2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2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4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5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2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4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4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3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3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5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4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4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4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4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4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4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ny 3" xfId="20"/>
    <cellStyle name="Excel Built-in Heading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E2F0D9"/>
      <rgbColor rgb="FFFFFF99"/>
      <rgbColor rgb="FFADCDEA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4472C4"/>
    <pageSetUpPr fitToPage="false"/>
  </sheetPr>
  <dimension ref="A2:BO223"/>
  <sheetViews>
    <sheetView showFormulas="false" showGridLines="true" showRowColHeaders="true" showZeros="true" rightToLeft="false" tabSelected="true" showOutlineSymbols="true" defaultGridColor="true" view="normal" topLeftCell="B1" colorId="64" zoomScale="60" zoomScaleNormal="60" zoomScalePageLayoutView="100" workbookViewId="0">
      <pane xSplit="5" ySplit="4" topLeftCell="G135" activePane="bottomRight" state="frozen"/>
      <selection pane="topLeft" activeCell="B1" activeCellId="0" sqref="B1"/>
      <selection pane="topRight" activeCell="G1" activeCellId="0" sqref="G1"/>
      <selection pane="bottomLeft" activeCell="B135" activeCellId="0" sqref="B135"/>
      <selection pane="bottomRight" activeCell="D161" activeCellId="0" sqref="D16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.43"/>
    <col collapsed="false" customWidth="true" hidden="false" outlineLevel="0" max="2" min="2" style="0" width="15.89"/>
    <col collapsed="false" customWidth="true" hidden="false" outlineLevel="0" max="3" min="3" style="0" width="37"/>
    <col collapsed="false" customWidth="true" hidden="false" outlineLevel="0" max="4" min="4" style="0" width="25.24"/>
    <col collapsed="false" customWidth="true" hidden="false" outlineLevel="0" max="5" min="5" style="0" width="9.28"/>
    <col collapsed="false" customWidth="true" hidden="false" outlineLevel="0" max="6" min="6" style="0" width="25.23"/>
    <col collapsed="false" customWidth="true" hidden="false" outlineLevel="0" max="7" min="7" style="0" width="14.22"/>
    <col collapsed="false" customWidth="true" hidden="false" outlineLevel="0" max="10" min="8" style="0" width="6.74"/>
    <col collapsed="false" customWidth="true" hidden="false" outlineLevel="0" max="11" min="11" style="0" width="7.42"/>
    <col collapsed="false" customWidth="true" hidden="false" outlineLevel="0" max="12" min="12" style="0" width="6.74"/>
    <col collapsed="false" customWidth="true" hidden="false" outlineLevel="0" max="13" min="13" style="0" width="7.42"/>
    <col collapsed="false" customWidth="true" hidden="false" outlineLevel="0" max="19" min="14" style="0" width="5.72"/>
    <col collapsed="false" customWidth="true" hidden="false" outlineLevel="0" max="20" min="20" style="0" width="7.42"/>
    <col collapsed="false" customWidth="true" hidden="false" outlineLevel="0" max="21" min="21" style="0" width="5.72"/>
    <col collapsed="false" customWidth="true" hidden="false" outlineLevel="0" max="22" min="22" style="0" width="7.42"/>
    <col collapsed="false" customWidth="true" hidden="false" outlineLevel="0" max="23" min="23" style="0" width="7.93"/>
    <col collapsed="false" customWidth="true" hidden="false" outlineLevel="0" max="24" min="24" style="0" width="5.72"/>
    <col collapsed="false" customWidth="true" hidden="false" outlineLevel="0" max="25" min="25" style="0" width="7.93"/>
    <col collapsed="false" customWidth="true" hidden="false" outlineLevel="0" max="26" min="26" style="0" width="7.42"/>
    <col collapsed="false" customWidth="true" hidden="false" outlineLevel="0" max="27" min="27" style="0" width="6.74"/>
    <col collapsed="false" customWidth="true" hidden="false" outlineLevel="0" max="28" min="28" style="0" width="7.42"/>
    <col collapsed="false" customWidth="true" hidden="false" outlineLevel="0" max="29" min="29" style="0" width="7.93"/>
    <col collapsed="false" customWidth="true" hidden="false" outlineLevel="0" max="30" min="30" style="0" width="6.74"/>
    <col collapsed="false" customWidth="true" hidden="false" outlineLevel="0" max="31" min="31" style="0" width="7.93"/>
    <col collapsed="false" customWidth="true" hidden="false" outlineLevel="0" max="32" min="32" style="0" width="7.42"/>
    <col collapsed="false" customWidth="true" hidden="false" outlineLevel="0" max="33" min="33" style="0" width="5.72"/>
    <col collapsed="false" customWidth="true" hidden="false" outlineLevel="0" max="35" min="34" style="0" width="7.42"/>
    <col collapsed="false" customWidth="true" hidden="false" outlineLevel="0" max="36" min="36" style="0" width="5.72"/>
    <col collapsed="false" customWidth="true" hidden="false" outlineLevel="0" max="37" min="37" style="0" width="7.42"/>
    <col collapsed="false" customWidth="true" hidden="false" outlineLevel="0" max="38" min="38" style="0" width="7.93"/>
    <col collapsed="false" customWidth="true" hidden="false" outlineLevel="0" max="39" min="39" style="0" width="6.74"/>
    <col collapsed="false" customWidth="true" hidden="false" outlineLevel="0" max="40" min="40" style="0" width="7.93"/>
    <col collapsed="false" customWidth="true" hidden="false" outlineLevel="0" max="41" min="41" style="0" width="7.42"/>
    <col collapsed="false" customWidth="true" hidden="false" outlineLevel="0" max="42" min="42" style="0" width="5.72"/>
    <col collapsed="false" customWidth="true" hidden="false" outlineLevel="0" max="43" min="43" style="0" width="7.42"/>
    <col collapsed="false" customWidth="true" hidden="false" outlineLevel="0" max="44" min="44" style="0" width="7.93"/>
    <col collapsed="false" customWidth="true" hidden="false" outlineLevel="0" max="45" min="45" style="0" width="5.72"/>
    <col collapsed="false" customWidth="true" hidden="false" outlineLevel="0" max="46" min="46" style="0" width="7.93"/>
    <col collapsed="false" customWidth="true" hidden="false" outlineLevel="0" max="47" min="47" style="0" width="7.42"/>
    <col collapsed="false" customWidth="true" hidden="false" outlineLevel="0" max="48" min="48" style="0" width="5.72"/>
    <col collapsed="false" customWidth="true" hidden="false" outlineLevel="0" max="49" min="49" style="0" width="7.42"/>
    <col collapsed="false" customWidth="true" hidden="false" outlineLevel="0" max="50" min="50" style="0" width="7.93"/>
    <col collapsed="false" customWidth="true" hidden="false" outlineLevel="0" max="51" min="51" style="0" width="5.72"/>
    <col collapsed="false" customWidth="true" hidden="false" outlineLevel="0" max="52" min="52" style="0" width="7.93"/>
    <col collapsed="false" customWidth="true" hidden="false" outlineLevel="0" max="53" min="53" style="0" width="7.42"/>
    <col collapsed="false" customWidth="true" hidden="false" outlineLevel="0" max="54" min="54" style="0" width="6.74"/>
    <col collapsed="false" customWidth="true" hidden="false" outlineLevel="0" max="55" min="55" style="0" width="7.42"/>
    <col collapsed="false" customWidth="true" hidden="false" outlineLevel="0" max="56" min="56" style="0" width="7.93"/>
    <col collapsed="false" customWidth="true" hidden="false" outlineLevel="0" max="57" min="57" style="0" width="5.72"/>
    <col collapsed="false" customWidth="true" hidden="false" outlineLevel="0" max="58" min="58" style="0" width="7.93"/>
    <col collapsed="false" customWidth="true" hidden="false" outlineLevel="0" max="59" min="59" style="0" width="7.42"/>
    <col collapsed="false" customWidth="true" hidden="false" outlineLevel="0" max="60" min="60" style="0" width="5.72"/>
    <col collapsed="false" customWidth="true" hidden="false" outlineLevel="0" max="62" min="61" style="0" width="7.42"/>
    <col collapsed="false" customWidth="true" hidden="false" outlineLevel="0" max="63" min="63" style="0" width="6.4"/>
    <col collapsed="false" customWidth="true" hidden="false" outlineLevel="0" max="65" min="64" style="0" width="7.42"/>
    <col collapsed="false" customWidth="true" hidden="false" outlineLevel="0" max="66" min="66" style="0" width="6.4"/>
    <col collapsed="false" customWidth="true" hidden="false" outlineLevel="0" max="67" min="67" style="0" width="7.42"/>
  </cols>
  <sheetData>
    <row r="2" s="1" customFormat="true" ht="43.5" hidden="false" customHeight="true" outlineLevel="0" collapsed="false">
      <c r="B2" s="2" t="s">
        <v>0</v>
      </c>
      <c r="C2" s="2"/>
      <c r="D2" s="2"/>
      <c r="E2" s="2"/>
      <c r="F2" s="2"/>
      <c r="G2" s="3"/>
      <c r="H2" s="4" t="s">
        <v>1</v>
      </c>
      <c r="I2" s="4"/>
      <c r="J2" s="4"/>
      <c r="K2" s="5" t="s">
        <v>2</v>
      </c>
      <c r="L2" s="5"/>
      <c r="M2" s="5"/>
      <c r="N2" s="6" t="s">
        <v>3</v>
      </c>
      <c r="O2" s="6"/>
      <c r="P2" s="6"/>
      <c r="Q2" s="7" t="s">
        <v>4</v>
      </c>
      <c r="R2" s="7"/>
      <c r="S2" s="7"/>
      <c r="T2" s="5" t="s">
        <v>5</v>
      </c>
      <c r="U2" s="5"/>
      <c r="V2" s="5"/>
      <c r="W2" s="8" t="s">
        <v>6</v>
      </c>
      <c r="X2" s="8"/>
      <c r="Y2" s="8"/>
      <c r="Z2" s="5" t="s">
        <v>7</v>
      </c>
      <c r="AA2" s="5"/>
      <c r="AB2" s="5"/>
      <c r="AC2" s="8" t="s">
        <v>8</v>
      </c>
      <c r="AD2" s="8"/>
      <c r="AE2" s="8"/>
      <c r="AF2" s="9" t="s">
        <v>9</v>
      </c>
      <c r="AG2" s="9"/>
      <c r="AH2" s="9"/>
      <c r="AI2" s="9" t="s">
        <v>10</v>
      </c>
      <c r="AJ2" s="9"/>
      <c r="AK2" s="9"/>
      <c r="AL2" s="10" t="s">
        <v>11</v>
      </c>
      <c r="AM2" s="10"/>
      <c r="AN2" s="10"/>
      <c r="AO2" s="11" t="s">
        <v>12</v>
      </c>
      <c r="AP2" s="11"/>
      <c r="AQ2" s="11"/>
      <c r="AR2" s="10" t="s">
        <v>13</v>
      </c>
      <c r="AS2" s="10"/>
      <c r="AT2" s="10"/>
      <c r="AU2" s="11" t="s">
        <v>14</v>
      </c>
      <c r="AV2" s="11"/>
      <c r="AW2" s="11"/>
      <c r="AX2" s="10" t="s">
        <v>15</v>
      </c>
      <c r="AY2" s="10"/>
      <c r="AZ2" s="10"/>
      <c r="BA2" s="11" t="s">
        <v>16</v>
      </c>
      <c r="BB2" s="11"/>
      <c r="BC2" s="11"/>
      <c r="BD2" s="10" t="s">
        <v>17</v>
      </c>
      <c r="BE2" s="10"/>
      <c r="BF2" s="10"/>
      <c r="BG2" s="11" t="s">
        <v>18</v>
      </c>
      <c r="BH2" s="11"/>
      <c r="BI2" s="11"/>
      <c r="BJ2" s="10" t="s">
        <v>19</v>
      </c>
      <c r="BK2" s="10"/>
      <c r="BL2" s="10"/>
      <c r="BM2" s="11" t="s">
        <v>20</v>
      </c>
      <c r="BN2" s="11"/>
      <c r="BO2" s="11"/>
    </row>
    <row r="3" s="12" customFormat="true" ht="66.55" hidden="false" customHeight="false" outlineLevel="0" collapsed="false">
      <c r="G3" s="13"/>
      <c r="H3" s="14" t="s">
        <v>21</v>
      </c>
      <c r="I3" s="15" t="s">
        <v>21</v>
      </c>
      <c r="J3" s="16" t="s">
        <v>21</v>
      </c>
      <c r="K3" s="17" t="s">
        <v>21</v>
      </c>
      <c r="L3" s="18" t="s">
        <v>21</v>
      </c>
      <c r="M3" s="19" t="s">
        <v>21</v>
      </c>
      <c r="N3" s="20" t="s">
        <v>21</v>
      </c>
      <c r="O3" s="15" t="s">
        <v>21</v>
      </c>
      <c r="P3" s="21" t="s">
        <v>21</v>
      </c>
      <c r="Q3" s="20" t="s">
        <v>21</v>
      </c>
      <c r="R3" s="15" t="s">
        <v>21</v>
      </c>
      <c r="S3" s="21" t="s">
        <v>21</v>
      </c>
      <c r="T3" s="17" t="s">
        <v>22</v>
      </c>
      <c r="U3" s="18" t="s">
        <v>22</v>
      </c>
      <c r="V3" s="19" t="s">
        <v>22</v>
      </c>
      <c r="W3" s="20" t="s">
        <v>23</v>
      </c>
      <c r="X3" s="15" t="s">
        <v>23</v>
      </c>
      <c r="Y3" s="21" t="s">
        <v>23</v>
      </c>
      <c r="Z3" s="17" t="s">
        <v>24</v>
      </c>
      <c r="AA3" s="18" t="s">
        <v>25</v>
      </c>
      <c r="AB3" s="19" t="s">
        <v>25</v>
      </c>
      <c r="AC3" s="14" t="s">
        <v>25</v>
      </c>
      <c r="AD3" s="15" t="s">
        <v>25</v>
      </c>
      <c r="AE3" s="21" t="s">
        <v>25</v>
      </c>
      <c r="AF3" s="17" t="s">
        <v>26</v>
      </c>
      <c r="AG3" s="18" t="s">
        <v>26</v>
      </c>
      <c r="AH3" s="19" t="s">
        <v>26</v>
      </c>
      <c r="AI3" s="17" t="s">
        <v>26</v>
      </c>
      <c r="AJ3" s="18" t="s">
        <v>26</v>
      </c>
      <c r="AK3" s="19" t="s">
        <v>26</v>
      </c>
      <c r="AL3" s="14" t="s">
        <v>27</v>
      </c>
      <c r="AM3" s="15" t="s">
        <v>27</v>
      </c>
      <c r="AN3" s="21" t="s">
        <v>27</v>
      </c>
      <c r="AO3" s="17" t="s">
        <v>28</v>
      </c>
      <c r="AP3" s="17" t="s">
        <v>28</v>
      </c>
      <c r="AQ3" s="17" t="s">
        <v>28</v>
      </c>
      <c r="AR3" s="14" t="s">
        <v>29</v>
      </c>
      <c r="AS3" s="15" t="s">
        <v>29</v>
      </c>
      <c r="AT3" s="21" t="s">
        <v>29</v>
      </c>
      <c r="AU3" s="17" t="s">
        <v>30</v>
      </c>
      <c r="AV3" s="18" t="s">
        <v>30</v>
      </c>
      <c r="AW3" s="19" t="s">
        <v>30</v>
      </c>
      <c r="AX3" s="14" t="s">
        <v>30</v>
      </c>
      <c r="AY3" s="15" t="s">
        <v>30</v>
      </c>
      <c r="AZ3" s="21" t="s">
        <v>30</v>
      </c>
      <c r="BA3" s="17" t="s">
        <v>30</v>
      </c>
      <c r="BB3" s="18" t="s">
        <v>30</v>
      </c>
      <c r="BC3" s="19" t="s">
        <v>30</v>
      </c>
      <c r="BD3" s="14" t="s">
        <v>30</v>
      </c>
      <c r="BE3" s="15" t="s">
        <v>30</v>
      </c>
      <c r="BF3" s="21" t="s">
        <v>30</v>
      </c>
      <c r="BG3" s="17" t="s">
        <v>31</v>
      </c>
      <c r="BH3" s="18" t="s">
        <v>31</v>
      </c>
      <c r="BI3" s="19" t="s">
        <v>31</v>
      </c>
      <c r="BJ3" s="14" t="s">
        <v>26</v>
      </c>
      <c r="BK3" s="15" t="s">
        <v>26</v>
      </c>
      <c r="BL3" s="21" t="s">
        <v>26</v>
      </c>
      <c r="BM3" s="17" t="s">
        <v>26</v>
      </c>
      <c r="BN3" s="18" t="s">
        <v>26</v>
      </c>
      <c r="BO3" s="19" t="s">
        <v>26</v>
      </c>
    </row>
    <row r="4" customFormat="false" ht="37.5" hidden="false" customHeight="true" outlineLevel="0" collapsed="false">
      <c r="B4" s="22" t="s">
        <v>32</v>
      </c>
      <c r="C4" s="23" t="s">
        <v>33</v>
      </c>
      <c r="D4" s="23" t="s">
        <v>34</v>
      </c>
      <c r="E4" s="24" t="s">
        <v>35</v>
      </c>
      <c r="F4" s="24" t="s">
        <v>36</v>
      </c>
      <c r="G4" s="25" t="s">
        <v>37</v>
      </c>
      <c r="H4" s="26" t="s">
        <v>38</v>
      </c>
      <c r="I4" s="27" t="s">
        <v>39</v>
      </c>
      <c r="J4" s="28" t="s">
        <v>40</v>
      </c>
      <c r="K4" s="29" t="s">
        <v>38</v>
      </c>
      <c r="L4" s="30" t="s">
        <v>39</v>
      </c>
      <c r="M4" s="31" t="s">
        <v>40</v>
      </c>
      <c r="N4" s="32" t="s">
        <v>38</v>
      </c>
      <c r="O4" s="27" t="s">
        <v>39</v>
      </c>
      <c r="P4" s="33" t="s">
        <v>40</v>
      </c>
      <c r="Q4" s="32" t="s">
        <v>38</v>
      </c>
      <c r="R4" s="27" t="s">
        <v>39</v>
      </c>
      <c r="S4" s="33" t="s">
        <v>40</v>
      </c>
      <c r="T4" s="34" t="s">
        <v>38</v>
      </c>
      <c r="U4" s="35" t="s">
        <v>39</v>
      </c>
      <c r="V4" s="36" t="s">
        <v>40</v>
      </c>
      <c r="W4" s="26" t="s">
        <v>38</v>
      </c>
      <c r="X4" s="27" t="s">
        <v>39</v>
      </c>
      <c r="Y4" s="33" t="s">
        <v>40</v>
      </c>
      <c r="Z4" s="29" t="s">
        <v>38</v>
      </c>
      <c r="AA4" s="30" t="s">
        <v>39</v>
      </c>
      <c r="AB4" s="31" t="s">
        <v>40</v>
      </c>
      <c r="AC4" s="26" t="s">
        <v>38</v>
      </c>
      <c r="AD4" s="27" t="s">
        <v>39</v>
      </c>
      <c r="AE4" s="33" t="s">
        <v>40</v>
      </c>
      <c r="AF4" s="29" t="s">
        <v>38</v>
      </c>
      <c r="AG4" s="30" t="s">
        <v>39</v>
      </c>
      <c r="AH4" s="31" t="s">
        <v>40</v>
      </c>
      <c r="AI4" s="29" t="s">
        <v>38</v>
      </c>
      <c r="AJ4" s="30" t="s">
        <v>39</v>
      </c>
      <c r="AK4" s="31" t="s">
        <v>40</v>
      </c>
      <c r="AL4" s="26" t="s">
        <v>38</v>
      </c>
      <c r="AM4" s="27" t="s">
        <v>39</v>
      </c>
      <c r="AN4" s="33" t="s">
        <v>40</v>
      </c>
      <c r="AO4" s="29" t="s">
        <v>38</v>
      </c>
      <c r="AP4" s="30" t="s">
        <v>39</v>
      </c>
      <c r="AQ4" s="31" t="s">
        <v>40</v>
      </c>
      <c r="AR4" s="37" t="s">
        <v>38</v>
      </c>
      <c r="AS4" s="38" t="s">
        <v>39</v>
      </c>
      <c r="AT4" s="39" t="s">
        <v>40</v>
      </c>
      <c r="AU4" s="29" t="s">
        <v>38</v>
      </c>
      <c r="AV4" s="30" t="s">
        <v>39</v>
      </c>
      <c r="AW4" s="31" t="s">
        <v>40</v>
      </c>
      <c r="AX4" s="26" t="s">
        <v>38</v>
      </c>
      <c r="AY4" s="27" t="s">
        <v>39</v>
      </c>
      <c r="AZ4" s="33" t="s">
        <v>40</v>
      </c>
      <c r="BA4" s="29" t="s">
        <v>38</v>
      </c>
      <c r="BB4" s="30" t="s">
        <v>39</v>
      </c>
      <c r="BC4" s="31" t="s">
        <v>40</v>
      </c>
      <c r="BD4" s="26" t="s">
        <v>38</v>
      </c>
      <c r="BE4" s="27" t="s">
        <v>39</v>
      </c>
      <c r="BF4" s="33" t="s">
        <v>40</v>
      </c>
      <c r="BG4" s="29" t="s">
        <v>38</v>
      </c>
      <c r="BH4" s="30" t="s">
        <v>39</v>
      </c>
      <c r="BI4" s="31" t="s">
        <v>40</v>
      </c>
      <c r="BJ4" s="26" t="s">
        <v>38</v>
      </c>
      <c r="BK4" s="27" t="s">
        <v>39</v>
      </c>
      <c r="BL4" s="33" t="s">
        <v>40</v>
      </c>
      <c r="BM4" s="29" t="s">
        <v>38</v>
      </c>
      <c r="BN4" s="30" t="s">
        <v>39</v>
      </c>
      <c r="BO4" s="31" t="s">
        <v>40</v>
      </c>
    </row>
    <row r="5" customFormat="false" ht="15" hidden="false" customHeight="true" outlineLevel="0" collapsed="false">
      <c r="B5" s="40" t="s">
        <v>41</v>
      </c>
      <c r="C5" s="41" t="s">
        <v>42</v>
      </c>
      <c r="D5" s="42" t="s">
        <v>43</v>
      </c>
      <c r="E5" s="43" t="s">
        <v>44</v>
      </c>
      <c r="F5" s="44" t="s">
        <v>45</v>
      </c>
      <c r="G5" s="45"/>
      <c r="H5" s="46" t="n">
        <v>38.569821615199</v>
      </c>
      <c r="I5" s="47" t="n">
        <f aca="false">AVERAGE(H5,J5)</f>
        <v>39.7206846203141</v>
      </c>
      <c r="J5" s="48" t="n">
        <v>40.8715476254292</v>
      </c>
      <c r="K5" s="49" t="s">
        <v>46</v>
      </c>
      <c r="L5" s="50"/>
      <c r="M5" s="51" t="s">
        <v>46</v>
      </c>
      <c r="N5" s="52" t="s">
        <v>46</v>
      </c>
      <c r="O5" s="53"/>
      <c r="P5" s="54" t="s">
        <v>46</v>
      </c>
      <c r="Q5" s="52" t="s">
        <v>46</v>
      </c>
      <c r="R5" s="53"/>
      <c r="S5" s="53" t="s">
        <v>46</v>
      </c>
      <c r="T5" s="55" t="n">
        <v>83.8</v>
      </c>
      <c r="U5" s="56" t="n">
        <f aca="false">AVERAGEA(V5, T5)</f>
        <v>84.4</v>
      </c>
      <c r="V5" s="57" t="n">
        <v>85</v>
      </c>
      <c r="W5" s="58" t="n">
        <v>50</v>
      </c>
      <c r="X5" s="59" t="n">
        <f aca="false">AVERAGEA(Y5, W5)</f>
        <v>35</v>
      </c>
      <c r="Y5" s="60" t="n">
        <v>20</v>
      </c>
      <c r="Z5" s="61" t="n">
        <v>0.58</v>
      </c>
      <c r="AA5" s="62" t="n">
        <f aca="false">AVERAGEA(AB5, Z5)</f>
        <v>4.29</v>
      </c>
      <c r="AB5" s="63" t="n">
        <v>8</v>
      </c>
      <c r="AC5" s="64" t="n">
        <v>0.58</v>
      </c>
      <c r="AD5" s="59" t="n">
        <f aca="false">AVERAGEA(AE5, AC5)</f>
        <v>4.29</v>
      </c>
      <c r="AE5" s="60" t="n">
        <v>8</v>
      </c>
      <c r="AF5" s="61" t="n">
        <v>3</v>
      </c>
      <c r="AG5" s="62" t="n">
        <f aca="false">AVERAGEA(AH5, AF5)</f>
        <v>9.5</v>
      </c>
      <c r="AH5" s="63" t="n">
        <v>16</v>
      </c>
      <c r="AI5" s="65" t="n">
        <v>1.5</v>
      </c>
      <c r="AJ5" s="66" t="n">
        <f aca="false">AVERAGEA(AK5, AI5)</f>
        <v>2.25</v>
      </c>
      <c r="AK5" s="63" t="n">
        <v>3</v>
      </c>
      <c r="AL5" s="58" t="n">
        <v>715</v>
      </c>
      <c r="AM5" s="59" t="n">
        <f aca="false">AVERAGEA(AN5, AL5)</f>
        <v>1107.5</v>
      </c>
      <c r="AN5" s="60" t="n">
        <v>1500</v>
      </c>
      <c r="AO5" s="61" t="n">
        <v>19.9</v>
      </c>
      <c r="AP5" s="62" t="n">
        <f aca="false">AVERAGEA(AQ5, AO5)</f>
        <v>24.95</v>
      </c>
      <c r="AQ5" s="63" t="n">
        <v>30</v>
      </c>
      <c r="AR5" s="58" t="n">
        <v>2</v>
      </c>
      <c r="AS5" s="59" t="n">
        <f aca="false">AVERAGEA(AT5, AR5)</f>
        <v>5.75</v>
      </c>
      <c r="AT5" s="60" t="n">
        <v>9.5</v>
      </c>
      <c r="AU5" s="61" t="n">
        <v>8.4</v>
      </c>
      <c r="AV5" s="67" t="n">
        <f aca="false">AVERAGE(AU5,AW5)</f>
        <v>39.45</v>
      </c>
      <c r="AW5" s="63" t="n">
        <v>70.5</v>
      </c>
      <c r="AX5" s="64" t="n">
        <v>46</v>
      </c>
      <c r="AY5" s="59" t="n">
        <f aca="false">AVERAGE(AX5,AZ5)</f>
        <v>81.5</v>
      </c>
      <c r="AZ5" s="60" t="n">
        <v>117</v>
      </c>
      <c r="BA5" s="61" t="n">
        <v>67</v>
      </c>
      <c r="BB5" s="62" t="n">
        <f aca="false">AVERAGE(BA5,BC5)</f>
        <v>88.5</v>
      </c>
      <c r="BC5" s="63" t="n">
        <v>110</v>
      </c>
      <c r="BD5" s="58" t="n">
        <v>1.5</v>
      </c>
      <c r="BE5" s="59" t="n">
        <f aca="false">AVERAGEA(BF5, BD5)</f>
        <v>1.65</v>
      </c>
      <c r="BF5" s="60" t="n">
        <v>1.8</v>
      </c>
      <c r="BG5" s="61" t="n">
        <v>60</v>
      </c>
      <c r="BH5" s="62" t="n">
        <f aca="false">AVERAGEA(BG5,BI5)</f>
        <v>120</v>
      </c>
      <c r="BI5" s="63" t="n">
        <v>180</v>
      </c>
      <c r="BJ5" s="64" t="n">
        <v>1.4</v>
      </c>
      <c r="BK5" s="68" t="n">
        <f aca="false">AVERAGEA(BJ5,BL5)</f>
        <v>3.7</v>
      </c>
      <c r="BL5" s="60" t="n">
        <v>6</v>
      </c>
      <c r="BM5" s="61" t="n">
        <v>1.3</v>
      </c>
      <c r="BN5" s="67" t="n">
        <f aca="false">AVERAGEA(BM5,BO5)</f>
        <v>5.65</v>
      </c>
      <c r="BO5" s="63" t="n">
        <v>10</v>
      </c>
    </row>
    <row r="6" customFormat="false" ht="15" hidden="false" customHeight="true" outlineLevel="0" collapsed="false">
      <c r="B6" s="40"/>
      <c r="C6" s="41"/>
      <c r="D6" s="42"/>
      <c r="E6" s="43"/>
      <c r="F6" s="44" t="s">
        <v>47</v>
      </c>
      <c r="G6" s="69"/>
      <c r="H6" s="70" t="n">
        <v>35.7858580162282</v>
      </c>
      <c r="I6" s="71" t="n">
        <f aca="false">AVERAGE(H6,J6)</f>
        <v>37.1742874015756</v>
      </c>
      <c r="J6" s="72" t="n">
        <v>38.562716786923</v>
      </c>
      <c r="K6" s="49" t="s">
        <v>46</v>
      </c>
      <c r="L6" s="50"/>
      <c r="M6" s="51" t="s">
        <v>46</v>
      </c>
      <c r="N6" s="52" t="s">
        <v>46</v>
      </c>
      <c r="O6" s="53"/>
      <c r="P6" s="54" t="s">
        <v>46</v>
      </c>
      <c r="Q6" s="52" t="s">
        <v>46</v>
      </c>
      <c r="R6" s="53"/>
      <c r="S6" s="53" t="s">
        <v>46</v>
      </c>
      <c r="T6" s="49" t="n">
        <v>83.8</v>
      </c>
      <c r="U6" s="50" t="n">
        <f aca="false">AVERAGEA(V6, T6)</f>
        <v>84.4</v>
      </c>
      <c r="V6" s="51" t="n">
        <v>85</v>
      </c>
      <c r="W6" s="73" t="n">
        <v>50</v>
      </c>
      <c r="X6" s="74" t="n">
        <f aca="false">AVERAGEA(Y6, W6)</f>
        <v>35</v>
      </c>
      <c r="Y6" s="75" t="n">
        <v>20</v>
      </c>
      <c r="Z6" s="55" t="n">
        <v>0.58</v>
      </c>
      <c r="AA6" s="56" t="n">
        <f aca="false">AVERAGEA(AB6, Z6)</f>
        <v>4.29</v>
      </c>
      <c r="AB6" s="57" t="n">
        <v>8</v>
      </c>
      <c r="AC6" s="73" t="n">
        <v>0.58</v>
      </c>
      <c r="AD6" s="74" t="n">
        <f aca="false">AVERAGEA(AE6, AC6)</f>
        <v>4.29</v>
      </c>
      <c r="AE6" s="75" t="n">
        <v>8</v>
      </c>
      <c r="AF6" s="55" t="n">
        <v>3</v>
      </c>
      <c r="AG6" s="50" t="n">
        <f aca="false">AVERAGEA(AH6, AF6)</f>
        <v>9.5</v>
      </c>
      <c r="AH6" s="57" t="n">
        <v>16</v>
      </c>
      <c r="AI6" s="76" t="n">
        <v>1.5</v>
      </c>
      <c r="AJ6" s="77" t="n">
        <f aca="false">AVERAGEA(AK6, AI6)</f>
        <v>2.25</v>
      </c>
      <c r="AK6" s="57" t="n">
        <v>3</v>
      </c>
      <c r="AL6" s="73" t="n">
        <v>715</v>
      </c>
      <c r="AM6" s="74" t="n">
        <f aca="false">AVERAGEA(AN6, AL6)</f>
        <v>1107.5</v>
      </c>
      <c r="AN6" s="75" t="n">
        <v>1500</v>
      </c>
      <c r="AO6" s="55" t="n">
        <v>19.9</v>
      </c>
      <c r="AP6" s="56" t="n">
        <f aca="false">AVERAGEA(AQ6, AO6)</f>
        <v>24.95</v>
      </c>
      <c r="AQ6" s="57" t="n">
        <v>30</v>
      </c>
      <c r="AR6" s="78" t="n">
        <v>2</v>
      </c>
      <c r="AS6" s="53" t="n">
        <f aca="false">AVERAGEA(AT6, AR6)</f>
        <v>5.75</v>
      </c>
      <c r="AT6" s="54" t="n">
        <v>9.5</v>
      </c>
      <c r="AU6" s="49" t="n">
        <v>8.4</v>
      </c>
      <c r="AV6" s="50" t="n">
        <f aca="false">AVERAGE(AU6,AW6)</f>
        <v>39.45</v>
      </c>
      <c r="AW6" s="51" t="n">
        <v>70.5</v>
      </c>
      <c r="AX6" s="79" t="n">
        <v>46</v>
      </c>
      <c r="AY6" s="53" t="n">
        <f aca="false">AVERAGE(AX6,AZ6)</f>
        <v>81.5</v>
      </c>
      <c r="AZ6" s="54" t="n">
        <v>117</v>
      </c>
      <c r="BA6" s="49" t="n">
        <v>67</v>
      </c>
      <c r="BB6" s="50" t="n">
        <f aca="false">AVERAGE(BA6,BC6)</f>
        <v>88.5</v>
      </c>
      <c r="BC6" s="51" t="n">
        <v>110</v>
      </c>
      <c r="BD6" s="78" t="n">
        <v>1.5</v>
      </c>
      <c r="BE6" s="53" t="n">
        <f aca="false">AVERAGEA(BF6, BD6)</f>
        <v>1.65</v>
      </c>
      <c r="BF6" s="54" t="n">
        <v>1.8</v>
      </c>
      <c r="BG6" s="49" t="n">
        <v>60</v>
      </c>
      <c r="BH6" s="50" t="n">
        <f aca="false">AVERAGEA(BG6,BI6)</f>
        <v>120</v>
      </c>
      <c r="BI6" s="51" t="n">
        <v>180</v>
      </c>
      <c r="BJ6" s="79" t="n">
        <v>1.4</v>
      </c>
      <c r="BK6" s="53" t="n">
        <f aca="false">AVERAGEA(BJ6,BL6)</f>
        <v>3.7</v>
      </c>
      <c r="BL6" s="54" t="n">
        <v>6</v>
      </c>
      <c r="BM6" s="49" t="n">
        <v>1.3</v>
      </c>
      <c r="BN6" s="50" t="n">
        <f aca="false">AVERAGEA(BM6,BO6)</f>
        <v>5.65</v>
      </c>
      <c r="BO6" s="51" t="n">
        <v>10</v>
      </c>
    </row>
    <row r="7" customFormat="false" ht="15" hidden="false" customHeight="true" outlineLevel="0" collapsed="false">
      <c r="B7" s="40"/>
      <c r="C7" s="41"/>
      <c r="D7" s="42"/>
      <c r="E7" s="43"/>
      <c r="F7" s="44" t="s">
        <v>48</v>
      </c>
      <c r="G7" s="69"/>
      <c r="H7" s="70" t="n">
        <v>27.2828391918737</v>
      </c>
      <c r="I7" s="71" t="n">
        <f aca="false">AVERAGE(H7,J7)</f>
        <v>31.5248556676053</v>
      </c>
      <c r="J7" s="72" t="n">
        <v>35.7668721433369</v>
      </c>
      <c r="K7" s="49" t="s">
        <v>46</v>
      </c>
      <c r="L7" s="50"/>
      <c r="M7" s="51" t="s">
        <v>46</v>
      </c>
      <c r="N7" s="52" t="s">
        <v>46</v>
      </c>
      <c r="O7" s="53"/>
      <c r="P7" s="54" t="s">
        <v>46</v>
      </c>
      <c r="Q7" s="52" t="s">
        <v>46</v>
      </c>
      <c r="R7" s="53"/>
      <c r="S7" s="53" t="s">
        <v>46</v>
      </c>
      <c r="T7" s="49" t="n">
        <v>83.8</v>
      </c>
      <c r="U7" s="50" t="n">
        <f aca="false">AVERAGEA(V7, T7)</f>
        <v>84.4</v>
      </c>
      <c r="V7" s="51" t="n">
        <v>85</v>
      </c>
      <c r="W7" s="73" t="n">
        <v>50</v>
      </c>
      <c r="X7" s="74" t="n">
        <f aca="false">AVERAGEA(Y7, W7)</f>
        <v>35</v>
      </c>
      <c r="Y7" s="75" t="n">
        <v>20</v>
      </c>
      <c r="Z7" s="55" t="n">
        <v>0.58</v>
      </c>
      <c r="AA7" s="56" t="n">
        <f aca="false">AVERAGEA(AB7, Z7)</f>
        <v>4.29</v>
      </c>
      <c r="AB7" s="57" t="n">
        <v>8</v>
      </c>
      <c r="AC7" s="73" t="n">
        <v>0.58</v>
      </c>
      <c r="AD7" s="74" t="n">
        <f aca="false">AVERAGEA(AE7, AC7)</f>
        <v>4.29</v>
      </c>
      <c r="AE7" s="75" t="n">
        <v>8</v>
      </c>
      <c r="AF7" s="55" t="n">
        <v>3</v>
      </c>
      <c r="AG7" s="50" t="n">
        <f aca="false">AVERAGEA(AH7, AF7)</f>
        <v>9.5</v>
      </c>
      <c r="AH7" s="57" t="n">
        <v>16</v>
      </c>
      <c r="AI7" s="76" t="n">
        <v>1.5</v>
      </c>
      <c r="AJ7" s="77" t="n">
        <f aca="false">AVERAGEA(AK7, AI7)</f>
        <v>2.25</v>
      </c>
      <c r="AK7" s="57" t="n">
        <v>3</v>
      </c>
      <c r="AL7" s="73" t="n">
        <v>715</v>
      </c>
      <c r="AM7" s="74" t="n">
        <f aca="false">AVERAGEA(AN7, AL7)</f>
        <v>1107.5</v>
      </c>
      <c r="AN7" s="75" t="n">
        <v>1500</v>
      </c>
      <c r="AO7" s="55" t="n">
        <v>19.9</v>
      </c>
      <c r="AP7" s="56" t="n">
        <f aca="false">AVERAGEA(AQ7, AO7)</f>
        <v>24.95</v>
      </c>
      <c r="AQ7" s="57" t="n">
        <v>30</v>
      </c>
      <c r="AR7" s="78" t="n">
        <v>2</v>
      </c>
      <c r="AS7" s="53" t="n">
        <f aca="false">AVERAGEA(AT7, AR7)</f>
        <v>5.75</v>
      </c>
      <c r="AT7" s="54" t="n">
        <v>9.5</v>
      </c>
      <c r="AU7" s="49" t="n">
        <v>8.4</v>
      </c>
      <c r="AV7" s="50" t="n">
        <f aca="false">AVERAGE(AU7,AW7)</f>
        <v>39.45</v>
      </c>
      <c r="AW7" s="51" t="n">
        <v>70.5</v>
      </c>
      <c r="AX7" s="79" t="n">
        <v>46</v>
      </c>
      <c r="AY7" s="53" t="n">
        <f aca="false">AVERAGE(AX7,AZ7)</f>
        <v>81.5</v>
      </c>
      <c r="AZ7" s="54" t="n">
        <v>117</v>
      </c>
      <c r="BA7" s="49" t="n">
        <v>67</v>
      </c>
      <c r="BB7" s="50" t="n">
        <f aca="false">AVERAGE(BA7,BC7)</f>
        <v>88.5</v>
      </c>
      <c r="BC7" s="51" t="n">
        <v>110</v>
      </c>
      <c r="BD7" s="78" t="n">
        <v>1.5</v>
      </c>
      <c r="BE7" s="53" t="n">
        <f aca="false">AVERAGEA(BF7, BD7)</f>
        <v>1.65</v>
      </c>
      <c r="BF7" s="54" t="n">
        <v>1.8</v>
      </c>
      <c r="BG7" s="49" t="n">
        <v>60</v>
      </c>
      <c r="BH7" s="50" t="n">
        <f aca="false">AVERAGEA(BG7,BI7)</f>
        <v>120</v>
      </c>
      <c r="BI7" s="51" t="n">
        <v>180</v>
      </c>
      <c r="BJ7" s="79" t="n">
        <v>1.4</v>
      </c>
      <c r="BK7" s="53" t="n">
        <f aca="false">AVERAGEA(BJ7,BL7)</f>
        <v>3.7</v>
      </c>
      <c r="BL7" s="54" t="n">
        <v>6</v>
      </c>
      <c r="BM7" s="49" t="n">
        <v>1.3</v>
      </c>
      <c r="BN7" s="50" t="n">
        <f aca="false">AVERAGEA(BM7,BO7)</f>
        <v>5.65</v>
      </c>
      <c r="BO7" s="51" t="n">
        <v>10</v>
      </c>
    </row>
    <row r="8" customFormat="false" ht="15" hidden="false" customHeight="true" outlineLevel="0" collapsed="false">
      <c r="B8" s="40"/>
      <c r="C8" s="41"/>
      <c r="D8" s="42"/>
      <c r="E8" s="43"/>
      <c r="F8" s="44" t="s">
        <v>49</v>
      </c>
      <c r="G8" s="69"/>
      <c r="H8" s="70" t="n">
        <v>21.5637839664899</v>
      </c>
      <c r="I8" s="71" t="n">
        <f aca="false">AVERAGE(H8,J8)</f>
        <v>24.404261780311</v>
      </c>
      <c r="J8" s="72" t="n">
        <v>27.2447395941321</v>
      </c>
      <c r="K8" s="49" t="s">
        <v>46</v>
      </c>
      <c r="L8" s="50"/>
      <c r="M8" s="51" t="s">
        <v>46</v>
      </c>
      <c r="N8" s="52" t="s">
        <v>46</v>
      </c>
      <c r="O8" s="53"/>
      <c r="P8" s="54" t="s">
        <v>46</v>
      </c>
      <c r="Q8" s="52" t="s">
        <v>46</v>
      </c>
      <c r="R8" s="53"/>
      <c r="S8" s="53" t="s">
        <v>46</v>
      </c>
      <c r="T8" s="49" t="n">
        <v>83.8</v>
      </c>
      <c r="U8" s="50" t="n">
        <f aca="false">AVERAGEA(V8, T8)</f>
        <v>84.4</v>
      </c>
      <c r="V8" s="51" t="n">
        <v>85</v>
      </c>
      <c r="W8" s="73" t="n">
        <v>50</v>
      </c>
      <c r="X8" s="74" t="n">
        <f aca="false">AVERAGEA(Y8, W8)</f>
        <v>35</v>
      </c>
      <c r="Y8" s="75" t="n">
        <v>20</v>
      </c>
      <c r="Z8" s="55" t="n">
        <v>0.58</v>
      </c>
      <c r="AA8" s="56" t="n">
        <f aca="false">AVERAGEA(AB8, Z8)</f>
        <v>4.29</v>
      </c>
      <c r="AB8" s="57" t="n">
        <v>8</v>
      </c>
      <c r="AC8" s="73" t="n">
        <v>0.58</v>
      </c>
      <c r="AD8" s="74" t="n">
        <f aca="false">AVERAGEA(AE8, AC8)</f>
        <v>4.29</v>
      </c>
      <c r="AE8" s="75" t="n">
        <v>8</v>
      </c>
      <c r="AF8" s="55" t="n">
        <v>3</v>
      </c>
      <c r="AG8" s="50" t="n">
        <f aca="false">AVERAGEA(AH8, AF8)</f>
        <v>9.5</v>
      </c>
      <c r="AH8" s="57" t="n">
        <v>16</v>
      </c>
      <c r="AI8" s="76" t="n">
        <v>1.5</v>
      </c>
      <c r="AJ8" s="77" t="n">
        <f aca="false">AVERAGEA(AK8, AI8)</f>
        <v>2.25</v>
      </c>
      <c r="AK8" s="57" t="n">
        <v>3</v>
      </c>
      <c r="AL8" s="73" t="n">
        <v>715</v>
      </c>
      <c r="AM8" s="74" t="n">
        <f aca="false">AVERAGEA(AN8, AL8)</f>
        <v>1107.5</v>
      </c>
      <c r="AN8" s="75" t="n">
        <v>1500</v>
      </c>
      <c r="AO8" s="55" t="n">
        <v>19.9</v>
      </c>
      <c r="AP8" s="56" t="n">
        <f aca="false">AVERAGEA(AQ8, AO8)</f>
        <v>24.95</v>
      </c>
      <c r="AQ8" s="57" t="n">
        <v>30</v>
      </c>
      <c r="AR8" s="78" t="n">
        <v>2</v>
      </c>
      <c r="AS8" s="53" t="n">
        <f aca="false">AVERAGEA(AT8, AR8)</f>
        <v>5.75</v>
      </c>
      <c r="AT8" s="54" t="n">
        <v>9.5</v>
      </c>
      <c r="AU8" s="49" t="n">
        <v>8.4</v>
      </c>
      <c r="AV8" s="50" t="n">
        <f aca="false">AVERAGE(AU8,AW8)</f>
        <v>39.45</v>
      </c>
      <c r="AW8" s="51" t="n">
        <v>70.5</v>
      </c>
      <c r="AX8" s="79" t="n">
        <v>46</v>
      </c>
      <c r="AY8" s="53" t="n">
        <f aca="false">AVERAGE(AX8,AZ8)</f>
        <v>81.5</v>
      </c>
      <c r="AZ8" s="54" t="n">
        <v>117</v>
      </c>
      <c r="BA8" s="49" t="n">
        <v>67</v>
      </c>
      <c r="BB8" s="50" t="n">
        <f aca="false">AVERAGE(BA8,BC8)</f>
        <v>88.5</v>
      </c>
      <c r="BC8" s="51" t="n">
        <v>110</v>
      </c>
      <c r="BD8" s="78" t="n">
        <v>1.5</v>
      </c>
      <c r="BE8" s="53" t="n">
        <f aca="false">AVERAGEA(BF8, BD8)</f>
        <v>1.65</v>
      </c>
      <c r="BF8" s="54" t="n">
        <v>1.8</v>
      </c>
      <c r="BG8" s="49" t="n">
        <v>60</v>
      </c>
      <c r="BH8" s="50" t="n">
        <f aca="false">AVERAGEA(BG8,BI8)</f>
        <v>120</v>
      </c>
      <c r="BI8" s="51" t="n">
        <v>180</v>
      </c>
      <c r="BJ8" s="79" t="n">
        <v>1.4</v>
      </c>
      <c r="BK8" s="53" t="n">
        <f aca="false">AVERAGEA(BJ8,BL8)</f>
        <v>3.7</v>
      </c>
      <c r="BL8" s="54" t="n">
        <v>6</v>
      </c>
      <c r="BM8" s="49" t="n">
        <v>1.3</v>
      </c>
      <c r="BN8" s="50" t="n">
        <f aca="false">AVERAGEA(BM8,BO8)</f>
        <v>5.65</v>
      </c>
      <c r="BO8" s="51" t="n">
        <v>10</v>
      </c>
    </row>
    <row r="9" customFormat="false" ht="15" hidden="false" customHeight="true" outlineLevel="0" collapsed="false">
      <c r="B9" s="40"/>
      <c r="C9" s="41"/>
      <c r="D9" s="42"/>
      <c r="E9" s="80" t="s">
        <v>50</v>
      </c>
      <c r="F9" s="44" t="s">
        <v>45</v>
      </c>
      <c r="G9" s="81"/>
      <c r="H9" s="82" t="n">
        <v>37.8243623384122</v>
      </c>
      <c r="I9" s="71" t="n">
        <f aca="false">AVERAGE(H9,J9)</f>
        <v>38.95298200748</v>
      </c>
      <c r="J9" s="83" t="n">
        <v>40.0816016765477</v>
      </c>
      <c r="K9" s="49" t="s">
        <v>46</v>
      </c>
      <c r="L9" s="50"/>
      <c r="M9" s="51" t="s">
        <v>46</v>
      </c>
      <c r="N9" s="52" t="s">
        <v>46</v>
      </c>
      <c r="O9" s="53"/>
      <c r="P9" s="54" t="s">
        <v>46</v>
      </c>
      <c r="Q9" s="52" t="s">
        <v>46</v>
      </c>
      <c r="R9" s="53"/>
      <c r="S9" s="53" t="s">
        <v>46</v>
      </c>
      <c r="T9" s="49" t="n">
        <v>83.8</v>
      </c>
      <c r="U9" s="50" t="n">
        <f aca="false">AVERAGEA(V9, T9)</f>
        <v>84.4</v>
      </c>
      <c r="V9" s="51" t="n">
        <v>85</v>
      </c>
      <c r="W9" s="78" t="n">
        <v>50</v>
      </c>
      <c r="X9" s="53" t="n">
        <f aca="false">AVERAGEA(Y9, W9)</f>
        <v>35</v>
      </c>
      <c r="Y9" s="75" t="n">
        <v>20</v>
      </c>
      <c r="Z9" s="55" t="n">
        <v>0.58</v>
      </c>
      <c r="AA9" s="50" t="n">
        <f aca="false">AVERAGEA(AB9, Z9)</f>
        <v>4.29</v>
      </c>
      <c r="AB9" s="57" t="n">
        <v>8</v>
      </c>
      <c r="AC9" s="78" t="n">
        <v>0.58</v>
      </c>
      <c r="AD9" s="53" t="n">
        <f aca="false">AVERAGEA(AE9, AC9)</f>
        <v>4.29</v>
      </c>
      <c r="AE9" s="54" t="n">
        <v>8</v>
      </c>
      <c r="AF9" s="49" t="n">
        <v>3</v>
      </c>
      <c r="AG9" s="50" t="n">
        <f aca="false">AVERAGEA(AH9, AF9)</f>
        <v>9.5</v>
      </c>
      <c r="AH9" s="51" t="n">
        <v>16</v>
      </c>
      <c r="AI9" s="84" t="n">
        <v>2</v>
      </c>
      <c r="AJ9" s="77" t="n">
        <f aca="false">AVERAGEA(AK9, AI9)</f>
        <v>8.5</v>
      </c>
      <c r="AK9" s="51" t="n">
        <v>15</v>
      </c>
      <c r="AL9" s="73" t="n">
        <v>715</v>
      </c>
      <c r="AM9" s="53" t="n">
        <f aca="false">AVERAGEA(AN9, AL9)</f>
        <v>1107.5</v>
      </c>
      <c r="AN9" s="75" t="n">
        <v>1500</v>
      </c>
      <c r="AO9" s="55" t="n">
        <v>19.9</v>
      </c>
      <c r="AP9" s="50" t="n">
        <f aca="false">AVERAGEA(AQ9, AO9)</f>
        <v>24.95</v>
      </c>
      <c r="AQ9" s="57" t="n">
        <v>30</v>
      </c>
      <c r="AR9" s="78" t="n">
        <v>2</v>
      </c>
      <c r="AS9" s="53" t="n">
        <f aca="false">AVERAGEA(AT9, AR9)</f>
        <v>5.75</v>
      </c>
      <c r="AT9" s="54" t="n">
        <v>9.5</v>
      </c>
      <c r="AU9" s="49" t="n">
        <v>8.4</v>
      </c>
      <c r="AV9" s="50" t="n">
        <f aca="false">AVERAGE(AU9,AW9)</f>
        <v>39.45</v>
      </c>
      <c r="AW9" s="51" t="n">
        <v>70.5</v>
      </c>
      <c r="AX9" s="79" t="n">
        <v>46</v>
      </c>
      <c r="AY9" s="53" t="n">
        <f aca="false">AVERAGE(AX9,AZ9)</f>
        <v>81.5</v>
      </c>
      <c r="AZ9" s="54" t="n">
        <v>117</v>
      </c>
      <c r="BA9" s="49" t="n">
        <v>67</v>
      </c>
      <c r="BB9" s="50" t="n">
        <f aca="false">AVERAGE(BA9,BC9)</f>
        <v>88.5</v>
      </c>
      <c r="BC9" s="51" t="n">
        <v>110</v>
      </c>
      <c r="BD9" s="78" t="n">
        <v>1.5</v>
      </c>
      <c r="BE9" s="53" t="n">
        <f aca="false">AVERAGEA(BF9, BD9)</f>
        <v>1.65</v>
      </c>
      <c r="BF9" s="54" t="n">
        <v>1.8</v>
      </c>
      <c r="BG9" s="49" t="n">
        <v>60</v>
      </c>
      <c r="BH9" s="50" t="n">
        <f aca="false">AVERAGEA(BG9,BI9)</f>
        <v>120</v>
      </c>
      <c r="BI9" s="51" t="n">
        <v>180</v>
      </c>
      <c r="BJ9" s="79" t="n">
        <v>1.4</v>
      </c>
      <c r="BK9" s="53" t="n">
        <f aca="false">AVERAGEA(BJ9,BL9)</f>
        <v>3.7</v>
      </c>
      <c r="BL9" s="54" t="n">
        <v>6</v>
      </c>
      <c r="BM9" s="49" t="n">
        <v>1.3</v>
      </c>
      <c r="BN9" s="50" t="n">
        <f aca="false">AVERAGEA(BM9,BO9)</f>
        <v>5.65</v>
      </c>
      <c r="BO9" s="51" t="n">
        <v>10</v>
      </c>
    </row>
    <row r="10" customFormat="false" ht="15" hidden="false" customHeight="true" outlineLevel="0" collapsed="false">
      <c r="B10" s="40"/>
      <c r="C10" s="41"/>
      <c r="D10" s="42"/>
      <c r="E10" s="80"/>
      <c r="F10" s="44" t="s">
        <v>47</v>
      </c>
      <c r="G10" s="81"/>
      <c r="H10" s="82" t="n">
        <v>35.0942058716547</v>
      </c>
      <c r="I10" s="71" t="n">
        <f aca="false">AVERAGE(H10,J10)</f>
        <v>36.4558003502764</v>
      </c>
      <c r="J10" s="83" t="n">
        <v>37.8173948288981</v>
      </c>
      <c r="K10" s="49" t="s">
        <v>46</v>
      </c>
      <c r="L10" s="50"/>
      <c r="M10" s="51" t="s">
        <v>46</v>
      </c>
      <c r="N10" s="52" t="s">
        <v>46</v>
      </c>
      <c r="O10" s="53"/>
      <c r="P10" s="54" t="s">
        <v>46</v>
      </c>
      <c r="Q10" s="52" t="s">
        <v>46</v>
      </c>
      <c r="R10" s="53"/>
      <c r="S10" s="53" t="s">
        <v>46</v>
      </c>
      <c r="T10" s="49" t="n">
        <v>83.8</v>
      </c>
      <c r="U10" s="50" t="n">
        <f aca="false">AVERAGEA(V10, T10)</f>
        <v>84.4</v>
      </c>
      <c r="V10" s="51" t="n">
        <v>85</v>
      </c>
      <c r="W10" s="78" t="n">
        <v>50</v>
      </c>
      <c r="X10" s="53" t="n">
        <f aca="false">AVERAGEA(Y10, W10)</f>
        <v>35</v>
      </c>
      <c r="Y10" s="75" t="n">
        <v>20</v>
      </c>
      <c r="Z10" s="55" t="n">
        <v>0.58</v>
      </c>
      <c r="AA10" s="50" t="n">
        <f aca="false">AVERAGEA(AB10, Z10)</f>
        <v>4.29</v>
      </c>
      <c r="AB10" s="57" t="n">
        <v>8</v>
      </c>
      <c r="AC10" s="78" t="n">
        <v>0.58</v>
      </c>
      <c r="AD10" s="53" t="n">
        <f aca="false">AVERAGEA(AE10, AC10)</f>
        <v>4.29</v>
      </c>
      <c r="AE10" s="54" t="n">
        <v>8</v>
      </c>
      <c r="AF10" s="49" t="n">
        <v>3</v>
      </c>
      <c r="AG10" s="50" t="n">
        <f aca="false">AVERAGEA(AH10, AF10)</f>
        <v>9.5</v>
      </c>
      <c r="AH10" s="51" t="n">
        <v>16</v>
      </c>
      <c r="AI10" s="84" t="n">
        <v>2</v>
      </c>
      <c r="AJ10" s="77" t="n">
        <f aca="false">AVERAGEA(AK10, AI10)</f>
        <v>8.5</v>
      </c>
      <c r="AK10" s="51" t="n">
        <v>15</v>
      </c>
      <c r="AL10" s="73" t="n">
        <v>715</v>
      </c>
      <c r="AM10" s="53" t="n">
        <f aca="false">AVERAGEA(AN10, AL10)</f>
        <v>1107.5</v>
      </c>
      <c r="AN10" s="75" t="n">
        <v>1500</v>
      </c>
      <c r="AO10" s="55" t="n">
        <v>19.9</v>
      </c>
      <c r="AP10" s="50" t="n">
        <f aca="false">AVERAGEA(AQ10, AO10)</f>
        <v>24.95</v>
      </c>
      <c r="AQ10" s="57" t="n">
        <v>30</v>
      </c>
      <c r="AR10" s="78" t="n">
        <v>2</v>
      </c>
      <c r="AS10" s="53" t="n">
        <f aca="false">AVERAGEA(AT10, AR10)</f>
        <v>5.75</v>
      </c>
      <c r="AT10" s="54" t="n">
        <v>9.5</v>
      </c>
      <c r="AU10" s="49" t="n">
        <v>8.4</v>
      </c>
      <c r="AV10" s="50" t="n">
        <f aca="false">AVERAGE(AU10,AW10)</f>
        <v>39.45</v>
      </c>
      <c r="AW10" s="51" t="n">
        <v>70.5</v>
      </c>
      <c r="AX10" s="79" t="n">
        <v>46</v>
      </c>
      <c r="AY10" s="53" t="n">
        <f aca="false">AVERAGE(AX10,AZ10)</f>
        <v>81.5</v>
      </c>
      <c r="AZ10" s="54" t="n">
        <v>117</v>
      </c>
      <c r="BA10" s="49" t="n">
        <v>67</v>
      </c>
      <c r="BB10" s="50" t="n">
        <f aca="false">AVERAGE(BA10,BC10)</f>
        <v>88.5</v>
      </c>
      <c r="BC10" s="51" t="n">
        <v>110</v>
      </c>
      <c r="BD10" s="78" t="n">
        <v>1.5</v>
      </c>
      <c r="BE10" s="53" t="n">
        <f aca="false">AVERAGEA(BF10, BD10)</f>
        <v>1.65</v>
      </c>
      <c r="BF10" s="54" t="n">
        <v>1.8</v>
      </c>
      <c r="BG10" s="49" t="n">
        <v>60</v>
      </c>
      <c r="BH10" s="50" t="n">
        <f aca="false">AVERAGEA(BG10,BI10)</f>
        <v>120</v>
      </c>
      <c r="BI10" s="51" t="n">
        <v>180</v>
      </c>
      <c r="BJ10" s="79" t="n">
        <v>1.4</v>
      </c>
      <c r="BK10" s="53" t="n">
        <f aca="false">AVERAGEA(BJ10,BL10)</f>
        <v>3.7</v>
      </c>
      <c r="BL10" s="54" t="n">
        <v>6</v>
      </c>
      <c r="BM10" s="49" t="n">
        <v>1.3</v>
      </c>
      <c r="BN10" s="50" t="n">
        <f aca="false">AVERAGEA(BM10,BO10)</f>
        <v>5.65</v>
      </c>
      <c r="BO10" s="51" t="n">
        <v>10</v>
      </c>
    </row>
    <row r="11" customFormat="false" ht="15" hidden="false" customHeight="true" outlineLevel="0" collapsed="false">
      <c r="B11" s="40"/>
      <c r="C11" s="41"/>
      <c r="D11" s="42"/>
      <c r="E11" s="80"/>
      <c r="F11" s="44" t="s">
        <v>48</v>
      </c>
      <c r="G11" s="81"/>
      <c r="H11" s="82" t="n">
        <v>26.7555293750025</v>
      </c>
      <c r="I11" s="71" t="n">
        <f aca="false">AVERAGE(H11,J11)</f>
        <v>30.9155581618704</v>
      </c>
      <c r="J11" s="83" t="n">
        <v>35.0755869487383</v>
      </c>
      <c r="K11" s="49" t="s">
        <v>46</v>
      </c>
      <c r="L11" s="50"/>
      <c r="M11" s="51" t="s">
        <v>46</v>
      </c>
      <c r="N11" s="52" t="s">
        <v>46</v>
      </c>
      <c r="O11" s="53"/>
      <c r="P11" s="54" t="s">
        <v>46</v>
      </c>
      <c r="Q11" s="52" t="s">
        <v>46</v>
      </c>
      <c r="R11" s="53"/>
      <c r="S11" s="53" t="s">
        <v>46</v>
      </c>
      <c r="T11" s="49" t="n">
        <v>83.8</v>
      </c>
      <c r="U11" s="50" t="n">
        <f aca="false">AVERAGEA(V11, T11)</f>
        <v>84.4</v>
      </c>
      <c r="V11" s="51" t="n">
        <v>85</v>
      </c>
      <c r="W11" s="78" t="n">
        <v>50</v>
      </c>
      <c r="X11" s="53" t="n">
        <f aca="false">AVERAGEA(Y11, W11)</f>
        <v>35</v>
      </c>
      <c r="Y11" s="75" t="n">
        <v>20</v>
      </c>
      <c r="Z11" s="55" t="n">
        <v>0.58</v>
      </c>
      <c r="AA11" s="50" t="n">
        <f aca="false">AVERAGEA(AB11, Z11)</f>
        <v>4.29</v>
      </c>
      <c r="AB11" s="57" t="n">
        <v>8</v>
      </c>
      <c r="AC11" s="78" t="n">
        <v>0.58</v>
      </c>
      <c r="AD11" s="53" t="n">
        <f aca="false">AVERAGEA(AE11, AC11)</f>
        <v>4.29</v>
      </c>
      <c r="AE11" s="54" t="n">
        <v>8</v>
      </c>
      <c r="AF11" s="49" t="n">
        <v>3</v>
      </c>
      <c r="AG11" s="50" t="n">
        <f aca="false">AVERAGEA(AH11, AF11)</f>
        <v>9.5</v>
      </c>
      <c r="AH11" s="51" t="n">
        <v>16</v>
      </c>
      <c r="AI11" s="84" t="n">
        <v>2</v>
      </c>
      <c r="AJ11" s="77" t="n">
        <f aca="false">AVERAGEA(AK11, AI11)</f>
        <v>8.5</v>
      </c>
      <c r="AK11" s="51" t="n">
        <v>15</v>
      </c>
      <c r="AL11" s="73" t="n">
        <v>715</v>
      </c>
      <c r="AM11" s="53" t="n">
        <f aca="false">AVERAGEA(AN11, AL11)</f>
        <v>1107.5</v>
      </c>
      <c r="AN11" s="75" t="n">
        <v>1500</v>
      </c>
      <c r="AO11" s="55" t="n">
        <v>19.9</v>
      </c>
      <c r="AP11" s="50" t="n">
        <f aca="false">AVERAGEA(AQ11, AO11)</f>
        <v>24.95</v>
      </c>
      <c r="AQ11" s="57" t="n">
        <v>30</v>
      </c>
      <c r="AR11" s="78" t="n">
        <v>2</v>
      </c>
      <c r="AS11" s="53" t="n">
        <f aca="false">AVERAGEA(AT11, AR11)</f>
        <v>5.75</v>
      </c>
      <c r="AT11" s="54" t="n">
        <v>9.5</v>
      </c>
      <c r="AU11" s="49" t="n">
        <v>8.4</v>
      </c>
      <c r="AV11" s="50" t="n">
        <f aca="false">AVERAGE(AU11,AW11)</f>
        <v>39.45</v>
      </c>
      <c r="AW11" s="51" t="n">
        <v>70.5</v>
      </c>
      <c r="AX11" s="79" t="n">
        <v>46</v>
      </c>
      <c r="AY11" s="53" t="n">
        <f aca="false">AVERAGE(AX11,AZ11)</f>
        <v>81.5</v>
      </c>
      <c r="AZ11" s="54" t="n">
        <v>117</v>
      </c>
      <c r="BA11" s="49" t="n">
        <v>67</v>
      </c>
      <c r="BB11" s="50" t="n">
        <f aca="false">AVERAGE(BA11,BC11)</f>
        <v>88.5</v>
      </c>
      <c r="BC11" s="51" t="n">
        <v>110</v>
      </c>
      <c r="BD11" s="78" t="n">
        <v>1.5</v>
      </c>
      <c r="BE11" s="53" t="n">
        <f aca="false">AVERAGEA(BF11, BD11)</f>
        <v>1.65</v>
      </c>
      <c r="BF11" s="54" t="n">
        <v>1.8</v>
      </c>
      <c r="BG11" s="49" t="n">
        <v>60</v>
      </c>
      <c r="BH11" s="50" t="n">
        <f aca="false">AVERAGEA(BG11,BI11)</f>
        <v>120</v>
      </c>
      <c r="BI11" s="51" t="n">
        <v>180</v>
      </c>
      <c r="BJ11" s="79" t="n">
        <v>1.4</v>
      </c>
      <c r="BK11" s="53" t="n">
        <f aca="false">AVERAGEA(BJ11,BL11)</f>
        <v>3.7</v>
      </c>
      <c r="BL11" s="54" t="n">
        <v>6</v>
      </c>
      <c r="BM11" s="49" t="n">
        <v>1.3</v>
      </c>
      <c r="BN11" s="50" t="n">
        <f aca="false">AVERAGEA(BM11,BO11)</f>
        <v>5.65</v>
      </c>
      <c r="BO11" s="51" t="n">
        <v>10</v>
      </c>
    </row>
    <row r="12" customFormat="false" ht="15" hidden="false" customHeight="true" outlineLevel="0" collapsed="false">
      <c r="B12" s="40"/>
      <c r="C12" s="41"/>
      <c r="D12" s="42"/>
      <c r="E12" s="80"/>
      <c r="F12" s="44" t="s">
        <v>49</v>
      </c>
      <c r="G12" s="81"/>
      <c r="H12" s="82" t="n">
        <v>21.147009345108</v>
      </c>
      <c r="I12" s="71" t="n">
        <f aca="false">AVERAGE(H12,J12)</f>
        <v>23.9325877466905</v>
      </c>
      <c r="J12" s="83" t="n">
        <v>26.718166148273</v>
      </c>
      <c r="K12" s="49" t="s">
        <v>46</v>
      </c>
      <c r="L12" s="50"/>
      <c r="M12" s="51" t="s">
        <v>46</v>
      </c>
      <c r="N12" s="52" t="s">
        <v>46</v>
      </c>
      <c r="O12" s="53"/>
      <c r="P12" s="54" t="s">
        <v>46</v>
      </c>
      <c r="Q12" s="52" t="s">
        <v>46</v>
      </c>
      <c r="R12" s="53"/>
      <c r="S12" s="53" t="s">
        <v>46</v>
      </c>
      <c r="T12" s="49" t="n">
        <v>83.8</v>
      </c>
      <c r="U12" s="50" t="n">
        <f aca="false">AVERAGEA(V12, T12)</f>
        <v>84.4</v>
      </c>
      <c r="V12" s="51" t="n">
        <v>85</v>
      </c>
      <c r="W12" s="78" t="n">
        <v>50</v>
      </c>
      <c r="X12" s="53" t="n">
        <f aca="false">AVERAGEA(Y12, W12)</f>
        <v>35</v>
      </c>
      <c r="Y12" s="75" t="n">
        <v>20</v>
      </c>
      <c r="Z12" s="55" t="n">
        <v>0.58</v>
      </c>
      <c r="AA12" s="50" t="n">
        <f aca="false">AVERAGEA(AB12, Z12)</f>
        <v>4.29</v>
      </c>
      <c r="AB12" s="57" t="n">
        <v>8</v>
      </c>
      <c r="AC12" s="78" t="n">
        <v>0.58</v>
      </c>
      <c r="AD12" s="53" t="n">
        <f aca="false">AVERAGEA(AE12, AC12)</f>
        <v>4.29</v>
      </c>
      <c r="AE12" s="54" t="n">
        <v>8</v>
      </c>
      <c r="AF12" s="49" t="n">
        <v>3</v>
      </c>
      <c r="AG12" s="50" t="n">
        <f aca="false">AVERAGEA(AH12, AF12)</f>
        <v>9.5</v>
      </c>
      <c r="AH12" s="51" t="n">
        <v>16</v>
      </c>
      <c r="AI12" s="84" t="n">
        <v>2</v>
      </c>
      <c r="AJ12" s="77" t="n">
        <f aca="false">AVERAGEA(AK12, AI12)</f>
        <v>8.5</v>
      </c>
      <c r="AK12" s="51" t="n">
        <v>15</v>
      </c>
      <c r="AL12" s="73" t="n">
        <v>715</v>
      </c>
      <c r="AM12" s="53" t="n">
        <f aca="false">AVERAGEA(AN12, AL12)</f>
        <v>1107.5</v>
      </c>
      <c r="AN12" s="75" t="n">
        <v>1500</v>
      </c>
      <c r="AO12" s="55" t="n">
        <v>19.9</v>
      </c>
      <c r="AP12" s="50" t="n">
        <f aca="false">AVERAGEA(AQ12, AO12)</f>
        <v>24.95</v>
      </c>
      <c r="AQ12" s="57" t="n">
        <v>30</v>
      </c>
      <c r="AR12" s="78" t="n">
        <v>2</v>
      </c>
      <c r="AS12" s="53" t="n">
        <f aca="false">AVERAGEA(AT12, AR12)</f>
        <v>5.75</v>
      </c>
      <c r="AT12" s="54" t="n">
        <v>9.5</v>
      </c>
      <c r="AU12" s="49" t="n">
        <v>8.4</v>
      </c>
      <c r="AV12" s="50" t="n">
        <f aca="false">AVERAGE(AU12,AW12)</f>
        <v>39.45</v>
      </c>
      <c r="AW12" s="51" t="n">
        <v>70.5</v>
      </c>
      <c r="AX12" s="79" t="n">
        <v>46</v>
      </c>
      <c r="AY12" s="53" t="n">
        <f aca="false">AVERAGE(AX12,AZ12)</f>
        <v>81.5</v>
      </c>
      <c r="AZ12" s="54" t="n">
        <v>117</v>
      </c>
      <c r="BA12" s="49" t="n">
        <v>67</v>
      </c>
      <c r="BB12" s="50" t="n">
        <f aca="false">AVERAGE(BA12,BC12)</f>
        <v>88.5</v>
      </c>
      <c r="BC12" s="51" t="n">
        <v>110</v>
      </c>
      <c r="BD12" s="78" t="n">
        <v>1.5</v>
      </c>
      <c r="BE12" s="53" t="n">
        <f aca="false">AVERAGEA(BF12, BD12)</f>
        <v>1.65</v>
      </c>
      <c r="BF12" s="54" t="n">
        <v>1.8</v>
      </c>
      <c r="BG12" s="49" t="n">
        <v>60</v>
      </c>
      <c r="BH12" s="50" t="n">
        <f aca="false">AVERAGEA(BG12,BI12)</f>
        <v>120</v>
      </c>
      <c r="BI12" s="51" t="n">
        <v>180</v>
      </c>
      <c r="BJ12" s="79" t="n">
        <v>1.4</v>
      </c>
      <c r="BK12" s="53" t="n">
        <f aca="false">AVERAGEA(BJ12,BL12)</f>
        <v>3.7</v>
      </c>
      <c r="BL12" s="54" t="n">
        <v>6</v>
      </c>
      <c r="BM12" s="49" t="n">
        <v>1.3</v>
      </c>
      <c r="BN12" s="50" t="n">
        <f aca="false">AVERAGEA(BM12,BO12)</f>
        <v>5.65</v>
      </c>
      <c r="BO12" s="51" t="n">
        <v>10</v>
      </c>
    </row>
    <row r="13" customFormat="false" ht="15" hidden="false" customHeight="true" outlineLevel="0" collapsed="false">
      <c r="B13" s="40"/>
      <c r="C13" s="41"/>
      <c r="D13" s="42"/>
      <c r="E13" s="80" t="s">
        <v>51</v>
      </c>
      <c r="F13" s="44" t="s">
        <v>45</v>
      </c>
      <c r="G13" s="81"/>
      <c r="H13" s="82" t="n">
        <v>36.6053488967538</v>
      </c>
      <c r="I13" s="71" t="n">
        <f aca="false">AVERAGE(H13,J13)</f>
        <v>37.6975951159586</v>
      </c>
      <c r="J13" s="83" t="n">
        <v>38.7898413351634</v>
      </c>
      <c r="K13" s="49" t="s">
        <v>46</v>
      </c>
      <c r="L13" s="50"/>
      <c r="M13" s="51" t="s">
        <v>46</v>
      </c>
      <c r="N13" s="52" t="s">
        <v>46</v>
      </c>
      <c r="O13" s="53"/>
      <c r="P13" s="54" t="s">
        <v>46</v>
      </c>
      <c r="Q13" s="52" t="s">
        <v>46</v>
      </c>
      <c r="R13" s="53"/>
      <c r="S13" s="53" t="s">
        <v>46</v>
      </c>
      <c r="T13" s="49" t="n">
        <v>83.8</v>
      </c>
      <c r="U13" s="50" t="n">
        <f aca="false">AVERAGEA(V13, T13)</f>
        <v>84.4</v>
      </c>
      <c r="V13" s="51" t="n">
        <v>85</v>
      </c>
      <c r="W13" s="78" t="n">
        <v>50</v>
      </c>
      <c r="X13" s="53" t="n">
        <f aca="false">AVERAGEA(Y13, W13)</f>
        <v>35</v>
      </c>
      <c r="Y13" s="75" t="n">
        <v>20</v>
      </c>
      <c r="Z13" s="55" t="n">
        <v>0.58</v>
      </c>
      <c r="AA13" s="50" t="n">
        <f aca="false">AVERAGEA(AB13, Z13)</f>
        <v>4.29</v>
      </c>
      <c r="AB13" s="57" t="n">
        <v>8</v>
      </c>
      <c r="AC13" s="78" t="n">
        <v>0.58</v>
      </c>
      <c r="AD13" s="53" t="n">
        <f aca="false">AVERAGEA(AE13, AC13)</f>
        <v>4.29</v>
      </c>
      <c r="AE13" s="54" t="n">
        <v>8</v>
      </c>
      <c r="AF13" s="49" t="n">
        <v>3</v>
      </c>
      <c r="AG13" s="50" t="n">
        <f aca="false">AVERAGEA(AH13, AF13)</f>
        <v>9.5</v>
      </c>
      <c r="AH13" s="51" t="n">
        <v>16</v>
      </c>
      <c r="AI13" s="84" t="n">
        <v>2</v>
      </c>
      <c r="AJ13" s="77" t="n">
        <f aca="false">AVERAGEA(AK13, AI13)</f>
        <v>8.5</v>
      </c>
      <c r="AK13" s="51" t="n">
        <v>15</v>
      </c>
      <c r="AL13" s="73" t="n">
        <v>715</v>
      </c>
      <c r="AM13" s="53" t="n">
        <f aca="false">AVERAGEA(AN13, AL13)</f>
        <v>1107.5</v>
      </c>
      <c r="AN13" s="75" t="n">
        <v>1500</v>
      </c>
      <c r="AO13" s="55" t="n">
        <v>19.9</v>
      </c>
      <c r="AP13" s="50" t="n">
        <f aca="false">AVERAGEA(AQ13, AO13)</f>
        <v>24.95</v>
      </c>
      <c r="AQ13" s="57" t="n">
        <v>30</v>
      </c>
      <c r="AR13" s="78" t="n">
        <v>2</v>
      </c>
      <c r="AS13" s="53" t="n">
        <f aca="false">AVERAGEA(AT13, AR13)</f>
        <v>5.75</v>
      </c>
      <c r="AT13" s="54" t="n">
        <v>9.5</v>
      </c>
      <c r="AU13" s="49" t="n">
        <v>8.4</v>
      </c>
      <c r="AV13" s="50" t="n">
        <f aca="false">AVERAGE(AU13,AW13)</f>
        <v>39.45</v>
      </c>
      <c r="AW13" s="51" t="n">
        <v>70.5</v>
      </c>
      <c r="AX13" s="79" t="n">
        <v>46</v>
      </c>
      <c r="AY13" s="53" t="n">
        <f aca="false">AVERAGE(AX13,AZ13)</f>
        <v>81.5</v>
      </c>
      <c r="AZ13" s="54" t="n">
        <v>117</v>
      </c>
      <c r="BA13" s="49" t="n">
        <v>67</v>
      </c>
      <c r="BB13" s="50" t="n">
        <f aca="false">AVERAGE(BA13,BC13)</f>
        <v>88.5</v>
      </c>
      <c r="BC13" s="51" t="n">
        <v>110</v>
      </c>
      <c r="BD13" s="78" t="n">
        <v>1.5</v>
      </c>
      <c r="BE13" s="53" t="n">
        <f aca="false">AVERAGEA(BF13, BD13)</f>
        <v>1.65</v>
      </c>
      <c r="BF13" s="54" t="n">
        <v>1.8</v>
      </c>
      <c r="BG13" s="49" t="n">
        <v>60</v>
      </c>
      <c r="BH13" s="50" t="n">
        <f aca="false">AVERAGEA(BG13,BI13)</f>
        <v>120</v>
      </c>
      <c r="BI13" s="51" t="n">
        <v>180</v>
      </c>
      <c r="BJ13" s="79" t="n">
        <v>1.4</v>
      </c>
      <c r="BK13" s="53" t="n">
        <f aca="false">AVERAGEA(BJ13,BL13)</f>
        <v>3.7</v>
      </c>
      <c r="BL13" s="54" t="n">
        <v>6</v>
      </c>
      <c r="BM13" s="49" t="n">
        <v>1.3</v>
      </c>
      <c r="BN13" s="50" t="n">
        <f aca="false">AVERAGEA(BM13,BO13)</f>
        <v>5.65</v>
      </c>
      <c r="BO13" s="51" t="n">
        <v>10</v>
      </c>
    </row>
    <row r="14" customFormat="false" ht="15" hidden="false" customHeight="true" outlineLevel="0" collapsed="false">
      <c r="B14" s="40"/>
      <c r="C14" s="41"/>
      <c r="D14" s="42"/>
      <c r="E14" s="80"/>
      <c r="F14" s="44" t="s">
        <v>47</v>
      </c>
      <c r="G14" s="81"/>
      <c r="H14" s="82" t="n">
        <v>33.9631806266255</v>
      </c>
      <c r="I14" s="71" t="n">
        <f aca="false">AVERAGE(H14,J14)</f>
        <v>35.280893282292</v>
      </c>
      <c r="J14" s="83" t="n">
        <v>36.5986059379585</v>
      </c>
      <c r="K14" s="49" t="s">
        <v>46</v>
      </c>
      <c r="L14" s="50"/>
      <c r="M14" s="51" t="s">
        <v>46</v>
      </c>
      <c r="N14" s="52" t="s">
        <v>46</v>
      </c>
      <c r="O14" s="53"/>
      <c r="P14" s="54" t="s">
        <v>46</v>
      </c>
      <c r="Q14" s="52" t="s">
        <v>46</v>
      </c>
      <c r="R14" s="53"/>
      <c r="S14" s="53" t="s">
        <v>46</v>
      </c>
      <c r="T14" s="49" t="n">
        <v>83.8</v>
      </c>
      <c r="U14" s="50" t="n">
        <f aca="false">AVERAGEA(V14, T14)</f>
        <v>84.4</v>
      </c>
      <c r="V14" s="51" t="n">
        <v>85</v>
      </c>
      <c r="W14" s="78" t="n">
        <v>50</v>
      </c>
      <c r="X14" s="53" t="n">
        <f aca="false">AVERAGEA(Y14, W14)</f>
        <v>35</v>
      </c>
      <c r="Y14" s="75" t="n">
        <v>20</v>
      </c>
      <c r="Z14" s="55" t="n">
        <v>0.58</v>
      </c>
      <c r="AA14" s="50" t="n">
        <f aca="false">AVERAGEA(AB14, Z14)</f>
        <v>4.29</v>
      </c>
      <c r="AB14" s="57" t="n">
        <v>8</v>
      </c>
      <c r="AC14" s="78" t="n">
        <v>0.58</v>
      </c>
      <c r="AD14" s="53" t="n">
        <f aca="false">AVERAGEA(AE14, AC14)</f>
        <v>4.29</v>
      </c>
      <c r="AE14" s="54" t="n">
        <v>8</v>
      </c>
      <c r="AF14" s="49" t="n">
        <v>3</v>
      </c>
      <c r="AG14" s="50" t="n">
        <f aca="false">AVERAGEA(AH14, AF14)</f>
        <v>9.5</v>
      </c>
      <c r="AH14" s="51" t="n">
        <v>16</v>
      </c>
      <c r="AI14" s="84" t="n">
        <v>2</v>
      </c>
      <c r="AJ14" s="77" t="n">
        <f aca="false">AVERAGEA(AK14, AI14)</f>
        <v>8.5</v>
      </c>
      <c r="AK14" s="51" t="n">
        <v>15</v>
      </c>
      <c r="AL14" s="73" t="n">
        <v>715</v>
      </c>
      <c r="AM14" s="53" t="n">
        <f aca="false">AVERAGEA(AN14, AL14)</f>
        <v>1107.5</v>
      </c>
      <c r="AN14" s="75" t="n">
        <v>1500</v>
      </c>
      <c r="AO14" s="55" t="n">
        <v>19.9</v>
      </c>
      <c r="AP14" s="50" t="n">
        <f aca="false">AVERAGEA(AQ14, AO14)</f>
        <v>24.95</v>
      </c>
      <c r="AQ14" s="57" t="n">
        <v>30</v>
      </c>
      <c r="AR14" s="78" t="n">
        <v>2</v>
      </c>
      <c r="AS14" s="53" t="n">
        <f aca="false">AVERAGEA(AT14, AR14)</f>
        <v>5.75</v>
      </c>
      <c r="AT14" s="54" t="n">
        <v>9.5</v>
      </c>
      <c r="AU14" s="49" t="n">
        <v>8.4</v>
      </c>
      <c r="AV14" s="50" t="n">
        <f aca="false">AVERAGE(AU14,AW14)</f>
        <v>39.45</v>
      </c>
      <c r="AW14" s="51" t="n">
        <v>70.5</v>
      </c>
      <c r="AX14" s="79" t="n">
        <v>46</v>
      </c>
      <c r="AY14" s="53" t="n">
        <f aca="false">AVERAGE(AX14,AZ14)</f>
        <v>81.5</v>
      </c>
      <c r="AZ14" s="54" t="n">
        <v>117</v>
      </c>
      <c r="BA14" s="49" t="n">
        <v>67</v>
      </c>
      <c r="BB14" s="50" t="n">
        <f aca="false">AVERAGE(BA14,BC14)</f>
        <v>88.5</v>
      </c>
      <c r="BC14" s="51" t="n">
        <v>110</v>
      </c>
      <c r="BD14" s="78" t="n">
        <v>1.5</v>
      </c>
      <c r="BE14" s="53" t="n">
        <f aca="false">AVERAGEA(BF14, BD14)</f>
        <v>1.65</v>
      </c>
      <c r="BF14" s="54" t="n">
        <v>1.8</v>
      </c>
      <c r="BG14" s="49" t="n">
        <v>60</v>
      </c>
      <c r="BH14" s="50" t="n">
        <f aca="false">AVERAGEA(BG14,BI14)</f>
        <v>120</v>
      </c>
      <c r="BI14" s="51" t="n">
        <v>180</v>
      </c>
      <c r="BJ14" s="79" t="n">
        <v>1.4</v>
      </c>
      <c r="BK14" s="53" t="n">
        <f aca="false">AVERAGEA(BJ14,BL14)</f>
        <v>3.7</v>
      </c>
      <c r="BL14" s="54" t="n">
        <v>6</v>
      </c>
      <c r="BM14" s="49" t="n">
        <v>1.3</v>
      </c>
      <c r="BN14" s="50" t="n">
        <f aca="false">AVERAGEA(BM14,BO14)</f>
        <v>5.65</v>
      </c>
      <c r="BO14" s="51" t="n">
        <v>10</v>
      </c>
    </row>
    <row r="15" customFormat="false" ht="15" hidden="false" customHeight="true" outlineLevel="0" collapsed="false">
      <c r="B15" s="40"/>
      <c r="C15" s="41"/>
      <c r="D15" s="42"/>
      <c r="E15" s="80"/>
      <c r="F15" s="44" t="s">
        <v>48</v>
      </c>
      <c r="G15" s="81"/>
      <c r="H15" s="82" t="n">
        <v>25.8932451769239</v>
      </c>
      <c r="I15" s="71" t="n">
        <f aca="false">AVERAGE(H15,J15)</f>
        <v>29.9192034680751</v>
      </c>
      <c r="J15" s="83" t="n">
        <v>33.9451617592263</v>
      </c>
      <c r="K15" s="49" t="s">
        <v>46</v>
      </c>
      <c r="L15" s="50"/>
      <c r="M15" s="51" t="s">
        <v>46</v>
      </c>
      <c r="N15" s="52" t="s">
        <v>46</v>
      </c>
      <c r="O15" s="53"/>
      <c r="P15" s="54" t="s">
        <v>46</v>
      </c>
      <c r="Q15" s="52" t="s">
        <v>46</v>
      </c>
      <c r="R15" s="53"/>
      <c r="S15" s="53" t="s">
        <v>46</v>
      </c>
      <c r="T15" s="49" t="n">
        <v>83.8</v>
      </c>
      <c r="U15" s="50" t="n">
        <f aca="false">AVERAGEA(V15, T15)</f>
        <v>84.4</v>
      </c>
      <c r="V15" s="51" t="n">
        <v>85</v>
      </c>
      <c r="W15" s="78" t="n">
        <v>50</v>
      </c>
      <c r="X15" s="53" t="n">
        <f aca="false">AVERAGEA(Y15, W15)</f>
        <v>35</v>
      </c>
      <c r="Y15" s="75" t="n">
        <v>20</v>
      </c>
      <c r="Z15" s="55" t="n">
        <v>0.58</v>
      </c>
      <c r="AA15" s="50" t="n">
        <f aca="false">AVERAGEA(AB15, Z15)</f>
        <v>4.29</v>
      </c>
      <c r="AB15" s="57" t="n">
        <v>8</v>
      </c>
      <c r="AC15" s="78" t="n">
        <v>0.58</v>
      </c>
      <c r="AD15" s="53" t="n">
        <f aca="false">AVERAGEA(AE15, AC15)</f>
        <v>4.29</v>
      </c>
      <c r="AE15" s="54" t="n">
        <v>8</v>
      </c>
      <c r="AF15" s="49" t="n">
        <v>3</v>
      </c>
      <c r="AG15" s="50" t="n">
        <f aca="false">AVERAGEA(AH15, AF15)</f>
        <v>9.5</v>
      </c>
      <c r="AH15" s="51" t="n">
        <v>16</v>
      </c>
      <c r="AI15" s="84" t="n">
        <v>2</v>
      </c>
      <c r="AJ15" s="77" t="n">
        <f aca="false">AVERAGEA(AK15, AI15)</f>
        <v>8.5</v>
      </c>
      <c r="AK15" s="51" t="n">
        <v>15</v>
      </c>
      <c r="AL15" s="73" t="n">
        <v>715</v>
      </c>
      <c r="AM15" s="53" t="n">
        <f aca="false">AVERAGEA(AN15, AL15)</f>
        <v>1107.5</v>
      </c>
      <c r="AN15" s="75" t="n">
        <v>1500</v>
      </c>
      <c r="AO15" s="55" t="n">
        <v>19.9</v>
      </c>
      <c r="AP15" s="50" t="n">
        <f aca="false">AVERAGEA(AQ15, AO15)</f>
        <v>24.95</v>
      </c>
      <c r="AQ15" s="57" t="n">
        <v>30</v>
      </c>
      <c r="AR15" s="78" t="n">
        <v>2</v>
      </c>
      <c r="AS15" s="53" t="n">
        <f aca="false">AVERAGEA(AT15, AR15)</f>
        <v>5.75</v>
      </c>
      <c r="AT15" s="54" t="n">
        <v>9.5</v>
      </c>
      <c r="AU15" s="49" t="n">
        <v>8.4</v>
      </c>
      <c r="AV15" s="50" t="n">
        <f aca="false">AVERAGE(AU15,AW15)</f>
        <v>39.45</v>
      </c>
      <c r="AW15" s="51" t="n">
        <v>70.5</v>
      </c>
      <c r="AX15" s="79" t="n">
        <v>46</v>
      </c>
      <c r="AY15" s="53" t="n">
        <f aca="false">AVERAGE(AX15,AZ15)</f>
        <v>81.5</v>
      </c>
      <c r="AZ15" s="54" t="n">
        <v>117</v>
      </c>
      <c r="BA15" s="49" t="n">
        <v>67</v>
      </c>
      <c r="BB15" s="50" t="n">
        <f aca="false">AVERAGE(BA15,BC15)</f>
        <v>88.5</v>
      </c>
      <c r="BC15" s="51" t="n">
        <v>110</v>
      </c>
      <c r="BD15" s="78" t="n">
        <v>1.5</v>
      </c>
      <c r="BE15" s="53" t="n">
        <f aca="false">AVERAGEA(BF15, BD15)</f>
        <v>1.65</v>
      </c>
      <c r="BF15" s="54" t="n">
        <v>1.8</v>
      </c>
      <c r="BG15" s="49" t="n">
        <v>60</v>
      </c>
      <c r="BH15" s="50" t="n">
        <f aca="false">AVERAGEA(BG15,BI15)</f>
        <v>120</v>
      </c>
      <c r="BI15" s="51" t="n">
        <v>180</v>
      </c>
      <c r="BJ15" s="79" t="n">
        <v>1.4</v>
      </c>
      <c r="BK15" s="53" t="n">
        <f aca="false">AVERAGEA(BJ15,BL15)</f>
        <v>3.7</v>
      </c>
      <c r="BL15" s="54" t="n">
        <v>6</v>
      </c>
      <c r="BM15" s="49" t="n">
        <v>1.3</v>
      </c>
      <c r="BN15" s="50" t="n">
        <f aca="false">AVERAGEA(BM15,BO15)</f>
        <v>5.65</v>
      </c>
      <c r="BO15" s="51" t="n">
        <v>10</v>
      </c>
    </row>
    <row r="16" customFormat="false" ht="15" hidden="false" customHeight="true" outlineLevel="0" collapsed="false">
      <c r="B16" s="40"/>
      <c r="C16" s="41"/>
      <c r="D16" s="42"/>
      <c r="E16" s="80"/>
      <c r="F16" s="44" t="s">
        <v>49</v>
      </c>
      <c r="G16" s="81"/>
      <c r="H16" s="82" t="n">
        <v>20.4654779973505</v>
      </c>
      <c r="I16" s="71" t="n">
        <f aca="false">AVERAGE(H16,J16)</f>
        <v>23.1612820496938</v>
      </c>
      <c r="J16" s="83" t="n">
        <v>25.857086102037</v>
      </c>
      <c r="K16" s="49" t="s">
        <v>46</v>
      </c>
      <c r="L16" s="50"/>
      <c r="M16" s="51" t="s">
        <v>46</v>
      </c>
      <c r="N16" s="52" t="s">
        <v>46</v>
      </c>
      <c r="O16" s="53"/>
      <c r="P16" s="54" t="s">
        <v>46</v>
      </c>
      <c r="Q16" s="52" t="s">
        <v>46</v>
      </c>
      <c r="R16" s="53"/>
      <c r="S16" s="53" t="s">
        <v>46</v>
      </c>
      <c r="T16" s="49" t="n">
        <v>83.8</v>
      </c>
      <c r="U16" s="50" t="n">
        <f aca="false">AVERAGEA(V16, T16)</f>
        <v>84.4</v>
      </c>
      <c r="V16" s="51" t="n">
        <v>85</v>
      </c>
      <c r="W16" s="78" t="n">
        <v>50</v>
      </c>
      <c r="X16" s="53" t="n">
        <f aca="false">AVERAGEA(Y16, W16)</f>
        <v>35</v>
      </c>
      <c r="Y16" s="75" t="n">
        <v>20</v>
      </c>
      <c r="Z16" s="55" t="n">
        <v>0.58</v>
      </c>
      <c r="AA16" s="50" t="n">
        <f aca="false">AVERAGEA(AB16, Z16)</f>
        <v>4.29</v>
      </c>
      <c r="AB16" s="57" t="n">
        <v>8</v>
      </c>
      <c r="AC16" s="78" t="n">
        <v>0.58</v>
      </c>
      <c r="AD16" s="53" t="n">
        <f aca="false">AVERAGEA(AE16, AC16)</f>
        <v>4.29</v>
      </c>
      <c r="AE16" s="54" t="n">
        <v>8</v>
      </c>
      <c r="AF16" s="49" t="n">
        <v>3</v>
      </c>
      <c r="AG16" s="50" t="n">
        <f aca="false">AVERAGEA(AH16, AF16)</f>
        <v>9.5</v>
      </c>
      <c r="AH16" s="51" t="n">
        <v>16</v>
      </c>
      <c r="AI16" s="84" t="n">
        <v>2</v>
      </c>
      <c r="AJ16" s="77" t="n">
        <f aca="false">AVERAGEA(AK16, AI16)</f>
        <v>8.5</v>
      </c>
      <c r="AK16" s="51" t="n">
        <v>15</v>
      </c>
      <c r="AL16" s="73" t="n">
        <v>715</v>
      </c>
      <c r="AM16" s="53" t="n">
        <f aca="false">AVERAGEA(AN16, AL16)</f>
        <v>1107.5</v>
      </c>
      <c r="AN16" s="75" t="n">
        <v>1500</v>
      </c>
      <c r="AO16" s="55" t="n">
        <v>19.9</v>
      </c>
      <c r="AP16" s="50" t="n">
        <f aca="false">AVERAGEA(AQ16, AO16)</f>
        <v>24.95</v>
      </c>
      <c r="AQ16" s="57" t="n">
        <v>30</v>
      </c>
      <c r="AR16" s="78" t="n">
        <v>2</v>
      </c>
      <c r="AS16" s="53" t="n">
        <f aca="false">AVERAGEA(AT16, AR16)</f>
        <v>5.75</v>
      </c>
      <c r="AT16" s="54" t="n">
        <v>9.5</v>
      </c>
      <c r="AU16" s="49" t="n">
        <v>8.4</v>
      </c>
      <c r="AV16" s="50" t="n">
        <f aca="false">AVERAGE(AU16,AW16)</f>
        <v>39.45</v>
      </c>
      <c r="AW16" s="51" t="n">
        <v>70.5</v>
      </c>
      <c r="AX16" s="79" t="n">
        <v>46</v>
      </c>
      <c r="AY16" s="53" t="n">
        <f aca="false">AVERAGE(AX16,AZ16)</f>
        <v>81.5</v>
      </c>
      <c r="AZ16" s="54" t="n">
        <v>117</v>
      </c>
      <c r="BA16" s="49" t="n">
        <v>67</v>
      </c>
      <c r="BB16" s="50" t="n">
        <f aca="false">AVERAGE(BA16,BC16)</f>
        <v>88.5</v>
      </c>
      <c r="BC16" s="51" t="n">
        <v>110</v>
      </c>
      <c r="BD16" s="78" t="n">
        <v>1.5</v>
      </c>
      <c r="BE16" s="53" t="n">
        <f aca="false">AVERAGEA(BF16, BD16)</f>
        <v>1.65</v>
      </c>
      <c r="BF16" s="54" t="n">
        <v>1.8</v>
      </c>
      <c r="BG16" s="49" t="n">
        <v>60</v>
      </c>
      <c r="BH16" s="50" t="n">
        <f aca="false">AVERAGEA(BG16,BI16)</f>
        <v>120</v>
      </c>
      <c r="BI16" s="51" t="n">
        <v>180</v>
      </c>
      <c r="BJ16" s="79" t="n">
        <v>1.4</v>
      </c>
      <c r="BK16" s="53" t="n">
        <f aca="false">AVERAGEA(BJ16,BL16)</f>
        <v>3.7</v>
      </c>
      <c r="BL16" s="54" t="n">
        <v>6</v>
      </c>
      <c r="BM16" s="49" t="n">
        <v>1.3</v>
      </c>
      <c r="BN16" s="50" t="n">
        <f aca="false">AVERAGEA(BM16,BO16)</f>
        <v>5.65</v>
      </c>
      <c r="BO16" s="51" t="n">
        <v>10</v>
      </c>
    </row>
    <row r="17" customFormat="false" ht="15" hidden="false" customHeight="true" outlineLevel="0" collapsed="false">
      <c r="B17" s="40"/>
      <c r="C17" s="41" t="s">
        <v>52</v>
      </c>
      <c r="D17" s="85" t="s">
        <v>53</v>
      </c>
      <c r="E17" s="80" t="s">
        <v>44</v>
      </c>
      <c r="F17" s="44" t="s">
        <v>45</v>
      </c>
      <c r="G17" s="81"/>
      <c r="H17" s="82" t="n">
        <v>41.7382594495549</v>
      </c>
      <c r="I17" s="71" t="n">
        <f aca="false">AVERAGE(H17,J17)</f>
        <v>42.9836636719965</v>
      </c>
      <c r="J17" s="83" t="n">
        <v>44.2290678944381</v>
      </c>
      <c r="K17" s="49" t="s">
        <v>46</v>
      </c>
      <c r="L17" s="50"/>
      <c r="M17" s="51" t="s">
        <v>46</v>
      </c>
      <c r="N17" s="52" t="s">
        <v>46</v>
      </c>
      <c r="O17" s="53"/>
      <c r="P17" s="54" t="s">
        <v>46</v>
      </c>
      <c r="Q17" s="52" t="s">
        <v>46</v>
      </c>
      <c r="R17" s="53"/>
      <c r="S17" s="53" t="s">
        <v>46</v>
      </c>
      <c r="T17" s="49" t="n">
        <v>82</v>
      </c>
      <c r="U17" s="50" t="n">
        <f aca="false">AVERAGEA(V17, T17)</f>
        <v>86.6</v>
      </c>
      <c r="V17" s="51" t="n">
        <v>91.2</v>
      </c>
      <c r="W17" s="78" t="n">
        <v>50</v>
      </c>
      <c r="X17" s="53" t="n">
        <f aca="false">AVERAGEA(Y17, W17)</f>
        <v>35</v>
      </c>
      <c r="Y17" s="54" t="n">
        <v>20</v>
      </c>
      <c r="Z17" s="49" t="n">
        <v>0.66</v>
      </c>
      <c r="AA17" s="50" t="n">
        <f aca="false">AVERAGEA(AB17, Z17)</f>
        <v>4.33</v>
      </c>
      <c r="AB17" s="57" t="n">
        <v>8</v>
      </c>
      <c r="AC17" s="78" t="n">
        <v>0.66</v>
      </c>
      <c r="AD17" s="53" t="n">
        <f aca="false">AVERAGEA(AE17, AC17)</f>
        <v>3.33</v>
      </c>
      <c r="AE17" s="54" t="n">
        <v>6</v>
      </c>
      <c r="AF17" s="49" t="n">
        <v>3</v>
      </c>
      <c r="AG17" s="50" t="n">
        <f aca="false">AVERAGEA(AH17, AF17)</f>
        <v>6.5</v>
      </c>
      <c r="AH17" s="51" t="n">
        <v>10</v>
      </c>
      <c r="AI17" s="84" t="n">
        <v>1.5</v>
      </c>
      <c r="AJ17" s="77" t="n">
        <f aca="false">AVERAGEA(AK17, AI17)</f>
        <v>2.25</v>
      </c>
      <c r="AK17" s="51" t="n">
        <v>3</v>
      </c>
      <c r="AL17" s="73" t="n">
        <v>715</v>
      </c>
      <c r="AM17" s="53" t="n">
        <f aca="false">AVERAGEA(AN17, AL17)</f>
        <v>1530.5</v>
      </c>
      <c r="AN17" s="54" t="n">
        <v>2346</v>
      </c>
      <c r="AO17" s="49" t="n">
        <v>14.7</v>
      </c>
      <c r="AP17" s="50" t="n">
        <f aca="false">AVERAGEA(AQ17, AO17)</f>
        <v>28.85</v>
      </c>
      <c r="AQ17" s="51" t="n">
        <v>43</v>
      </c>
      <c r="AR17" s="78" t="n">
        <v>2</v>
      </c>
      <c r="AS17" s="53" t="n">
        <f aca="false">AVERAGEA(AT17, AR17)</f>
        <v>4</v>
      </c>
      <c r="AT17" s="54" t="n">
        <v>6</v>
      </c>
      <c r="AU17" s="49" t="n">
        <v>3.56</v>
      </c>
      <c r="AV17" s="50" t="n">
        <f aca="false">AVERAGE(AU17,AW17)</f>
        <v>22.03</v>
      </c>
      <c r="AW17" s="51" t="n">
        <v>40.5</v>
      </c>
      <c r="AX17" s="79" t="n">
        <v>5.7</v>
      </c>
      <c r="AY17" s="53" t="n">
        <f aca="false">AVERAGE(AX17,AZ17)</f>
        <v>26.85</v>
      </c>
      <c r="AZ17" s="54" t="n">
        <v>48</v>
      </c>
      <c r="BA17" s="49" t="n">
        <v>6.2</v>
      </c>
      <c r="BB17" s="50" t="n">
        <f aca="false">AVERAGE(BA17,BC17)</f>
        <v>42.1</v>
      </c>
      <c r="BC17" s="51" t="n">
        <v>78</v>
      </c>
      <c r="BD17" s="78" t="n">
        <v>1.3</v>
      </c>
      <c r="BE17" s="53" t="n">
        <f aca="false">AVERAGEA(BF17, BD17)</f>
        <v>1.55</v>
      </c>
      <c r="BF17" s="54" t="n">
        <v>1.8</v>
      </c>
      <c r="BG17" s="49" t="n">
        <v>60</v>
      </c>
      <c r="BH17" s="50" t="n">
        <f aca="false">AVERAGEA(BG17,BI17)</f>
        <v>180</v>
      </c>
      <c r="BI17" s="51" t="n">
        <v>300</v>
      </c>
      <c r="BJ17" s="79" t="n">
        <v>2</v>
      </c>
      <c r="BK17" s="53" t="n">
        <f aca="false">AVERAGEA(BJ17,BL17)</f>
        <v>5</v>
      </c>
      <c r="BL17" s="54" t="n">
        <v>8</v>
      </c>
      <c r="BM17" s="49" t="n">
        <v>4</v>
      </c>
      <c r="BN17" s="50" t="n">
        <f aca="false">AVERAGEA(BM17,BO17)</f>
        <v>8</v>
      </c>
      <c r="BO17" s="51" t="n">
        <v>12</v>
      </c>
    </row>
    <row r="18" customFormat="false" ht="15" hidden="false" customHeight="true" outlineLevel="0" collapsed="false">
      <c r="B18" s="40"/>
      <c r="C18" s="41"/>
      <c r="D18" s="85"/>
      <c r="E18" s="80"/>
      <c r="F18" s="44" t="s">
        <v>47</v>
      </c>
      <c r="G18" s="81"/>
      <c r="H18" s="82" t="n">
        <v>38.725598510875</v>
      </c>
      <c r="I18" s="71" t="n">
        <f aca="false">AVERAGE(H18,J18)</f>
        <v>40.2280847419801</v>
      </c>
      <c r="J18" s="83" t="n">
        <v>41.7305709730852</v>
      </c>
      <c r="K18" s="49" t="s">
        <v>46</v>
      </c>
      <c r="L18" s="50"/>
      <c r="M18" s="51" t="s">
        <v>46</v>
      </c>
      <c r="N18" s="52" t="s">
        <v>46</v>
      </c>
      <c r="O18" s="53"/>
      <c r="P18" s="54" t="s">
        <v>46</v>
      </c>
      <c r="Q18" s="52" t="s">
        <v>46</v>
      </c>
      <c r="R18" s="53"/>
      <c r="S18" s="53" t="s">
        <v>46</v>
      </c>
      <c r="T18" s="49" t="n">
        <v>82</v>
      </c>
      <c r="U18" s="50" t="n">
        <f aca="false">AVERAGEA(V18, T18)</f>
        <v>86.6</v>
      </c>
      <c r="V18" s="51" t="n">
        <v>91.2</v>
      </c>
      <c r="W18" s="78" t="n">
        <v>50</v>
      </c>
      <c r="X18" s="53" t="n">
        <f aca="false">AVERAGEA(Y18, W18)</f>
        <v>35</v>
      </c>
      <c r="Y18" s="54" t="n">
        <v>20</v>
      </c>
      <c r="Z18" s="49" t="n">
        <v>0.66</v>
      </c>
      <c r="AA18" s="50" t="n">
        <f aca="false">AVERAGEA(AB18, Z18)</f>
        <v>4.33</v>
      </c>
      <c r="AB18" s="57" t="n">
        <v>8</v>
      </c>
      <c r="AC18" s="78" t="n">
        <v>0.66</v>
      </c>
      <c r="AD18" s="53" t="n">
        <f aca="false">AVERAGEA(AE18, AC18)</f>
        <v>3.33</v>
      </c>
      <c r="AE18" s="54" t="n">
        <v>6</v>
      </c>
      <c r="AF18" s="49" t="n">
        <v>3</v>
      </c>
      <c r="AG18" s="50" t="n">
        <f aca="false">AVERAGEA(AH18, AF18)</f>
        <v>6.5</v>
      </c>
      <c r="AH18" s="51" t="n">
        <v>10</v>
      </c>
      <c r="AI18" s="84" t="n">
        <v>1.5</v>
      </c>
      <c r="AJ18" s="77" t="n">
        <f aca="false">AVERAGEA(AK18, AI18)</f>
        <v>2.25</v>
      </c>
      <c r="AK18" s="51" t="n">
        <v>3</v>
      </c>
      <c r="AL18" s="73" t="n">
        <v>715</v>
      </c>
      <c r="AM18" s="53" t="n">
        <f aca="false">AVERAGEA(AN18, AL18)</f>
        <v>1530.5</v>
      </c>
      <c r="AN18" s="54" t="n">
        <v>2346</v>
      </c>
      <c r="AO18" s="49" t="n">
        <v>14.7</v>
      </c>
      <c r="AP18" s="50" t="n">
        <f aca="false">AVERAGEA(AQ18, AO18)</f>
        <v>28.85</v>
      </c>
      <c r="AQ18" s="51" t="n">
        <v>43</v>
      </c>
      <c r="AR18" s="78" t="n">
        <v>2</v>
      </c>
      <c r="AS18" s="53" t="n">
        <f aca="false">AVERAGEA(AT18, AR18)</f>
        <v>4</v>
      </c>
      <c r="AT18" s="54" t="n">
        <v>6</v>
      </c>
      <c r="AU18" s="49" t="n">
        <v>3.56</v>
      </c>
      <c r="AV18" s="50" t="n">
        <f aca="false">AVERAGE(AU18,AW18)</f>
        <v>22.03</v>
      </c>
      <c r="AW18" s="51" t="n">
        <v>40.5</v>
      </c>
      <c r="AX18" s="79" t="n">
        <v>5.7</v>
      </c>
      <c r="AY18" s="53" t="n">
        <f aca="false">AVERAGE(AX18,AZ18)</f>
        <v>26.85</v>
      </c>
      <c r="AZ18" s="54" t="n">
        <v>48</v>
      </c>
      <c r="BA18" s="49" t="n">
        <v>6.2</v>
      </c>
      <c r="BB18" s="50" t="n">
        <f aca="false">AVERAGE(BA18,BC18)</f>
        <v>42.1</v>
      </c>
      <c r="BC18" s="51" t="n">
        <v>78</v>
      </c>
      <c r="BD18" s="78" t="n">
        <v>1.3</v>
      </c>
      <c r="BE18" s="53" t="n">
        <f aca="false">AVERAGEA(BF18, BD18)</f>
        <v>1.55</v>
      </c>
      <c r="BF18" s="54" t="n">
        <v>1.8</v>
      </c>
      <c r="BG18" s="49" t="n">
        <v>60</v>
      </c>
      <c r="BH18" s="50" t="n">
        <f aca="false">AVERAGEA(BG18,BI18)</f>
        <v>180</v>
      </c>
      <c r="BI18" s="51" t="n">
        <v>300</v>
      </c>
      <c r="BJ18" s="79" t="n">
        <v>2</v>
      </c>
      <c r="BK18" s="53" t="n">
        <f aca="false">AVERAGEA(BJ18,BL18)</f>
        <v>5</v>
      </c>
      <c r="BL18" s="54" t="n">
        <v>8</v>
      </c>
      <c r="BM18" s="49" t="n">
        <v>4</v>
      </c>
      <c r="BN18" s="50" t="n">
        <f aca="false">AVERAGEA(BM18,BO18)</f>
        <v>8</v>
      </c>
      <c r="BO18" s="51" t="n">
        <v>12</v>
      </c>
    </row>
    <row r="19" customFormat="false" ht="15" hidden="false" customHeight="true" outlineLevel="0" collapsed="false">
      <c r="B19" s="40"/>
      <c r="C19" s="41"/>
      <c r="D19" s="85"/>
      <c r="E19" s="80"/>
      <c r="F19" s="44" t="s">
        <v>48</v>
      </c>
      <c r="G19" s="81"/>
      <c r="H19" s="82" t="n">
        <v>29.5240727860191</v>
      </c>
      <c r="I19" s="71" t="n">
        <f aca="false">AVERAGE(H19,J19)</f>
        <v>34.1145628852422</v>
      </c>
      <c r="J19" s="83" t="n">
        <v>38.7050529844653</v>
      </c>
      <c r="K19" s="49" t="s">
        <v>46</v>
      </c>
      <c r="L19" s="50"/>
      <c r="M19" s="51" t="s">
        <v>46</v>
      </c>
      <c r="N19" s="52" t="s">
        <v>46</v>
      </c>
      <c r="O19" s="53"/>
      <c r="P19" s="54" t="s">
        <v>46</v>
      </c>
      <c r="Q19" s="52" t="s">
        <v>46</v>
      </c>
      <c r="R19" s="53"/>
      <c r="S19" s="53" t="s">
        <v>46</v>
      </c>
      <c r="T19" s="49" t="n">
        <v>82</v>
      </c>
      <c r="U19" s="50" t="n">
        <f aca="false">AVERAGEA(V19, T19)</f>
        <v>86.6</v>
      </c>
      <c r="V19" s="51" t="n">
        <v>91.2</v>
      </c>
      <c r="W19" s="78" t="n">
        <v>50</v>
      </c>
      <c r="X19" s="53" t="n">
        <f aca="false">AVERAGEA(Y19, W19)</f>
        <v>35</v>
      </c>
      <c r="Y19" s="54" t="n">
        <v>20</v>
      </c>
      <c r="Z19" s="49" t="n">
        <v>0.66</v>
      </c>
      <c r="AA19" s="50" t="n">
        <f aca="false">AVERAGEA(AB19, Z19)</f>
        <v>4.33</v>
      </c>
      <c r="AB19" s="57" t="n">
        <v>8</v>
      </c>
      <c r="AC19" s="78" t="n">
        <v>0.66</v>
      </c>
      <c r="AD19" s="53" t="n">
        <f aca="false">AVERAGEA(AE19, AC19)</f>
        <v>3.33</v>
      </c>
      <c r="AE19" s="54" t="n">
        <v>6</v>
      </c>
      <c r="AF19" s="49" t="n">
        <v>3</v>
      </c>
      <c r="AG19" s="50" t="n">
        <f aca="false">AVERAGEA(AH19, AF19)</f>
        <v>6.5</v>
      </c>
      <c r="AH19" s="51" t="n">
        <v>10</v>
      </c>
      <c r="AI19" s="84" t="n">
        <v>1.5</v>
      </c>
      <c r="AJ19" s="77" t="n">
        <f aca="false">AVERAGEA(AK19, AI19)</f>
        <v>2.25</v>
      </c>
      <c r="AK19" s="51" t="n">
        <v>3</v>
      </c>
      <c r="AL19" s="73" t="n">
        <v>715</v>
      </c>
      <c r="AM19" s="53" t="n">
        <f aca="false">AVERAGEA(AN19, AL19)</f>
        <v>1530.5</v>
      </c>
      <c r="AN19" s="54" t="n">
        <v>2346</v>
      </c>
      <c r="AO19" s="49" t="n">
        <v>14.7</v>
      </c>
      <c r="AP19" s="50" t="n">
        <f aca="false">AVERAGEA(AQ19, AO19)</f>
        <v>28.85</v>
      </c>
      <c r="AQ19" s="51" t="n">
        <v>43</v>
      </c>
      <c r="AR19" s="78" t="n">
        <v>2</v>
      </c>
      <c r="AS19" s="53" t="n">
        <f aca="false">AVERAGEA(AT19, AR19)</f>
        <v>4</v>
      </c>
      <c r="AT19" s="54" t="n">
        <v>6</v>
      </c>
      <c r="AU19" s="49" t="n">
        <v>3.56</v>
      </c>
      <c r="AV19" s="50" t="n">
        <f aca="false">AVERAGE(AU19,AW19)</f>
        <v>22.03</v>
      </c>
      <c r="AW19" s="51" t="n">
        <v>40.5</v>
      </c>
      <c r="AX19" s="79" t="n">
        <v>5.7</v>
      </c>
      <c r="AY19" s="53" t="n">
        <f aca="false">AVERAGE(AX19,AZ19)</f>
        <v>26.85</v>
      </c>
      <c r="AZ19" s="54" t="n">
        <v>48</v>
      </c>
      <c r="BA19" s="49" t="n">
        <v>6.2</v>
      </c>
      <c r="BB19" s="50" t="n">
        <f aca="false">AVERAGE(BA19,BC19)</f>
        <v>42.1</v>
      </c>
      <c r="BC19" s="51" t="n">
        <v>78</v>
      </c>
      <c r="BD19" s="78" t="n">
        <v>1.3</v>
      </c>
      <c r="BE19" s="53" t="n">
        <f aca="false">AVERAGEA(BF19, BD19)</f>
        <v>1.55</v>
      </c>
      <c r="BF19" s="54" t="n">
        <v>1.8</v>
      </c>
      <c r="BG19" s="49" t="n">
        <v>60</v>
      </c>
      <c r="BH19" s="50" t="n">
        <f aca="false">AVERAGEA(BG19,BI19)</f>
        <v>180</v>
      </c>
      <c r="BI19" s="51" t="n">
        <v>300</v>
      </c>
      <c r="BJ19" s="79" t="n">
        <v>2</v>
      </c>
      <c r="BK19" s="53" t="n">
        <f aca="false">AVERAGEA(BJ19,BL19)</f>
        <v>5</v>
      </c>
      <c r="BL19" s="54" t="n">
        <v>8</v>
      </c>
      <c r="BM19" s="49" t="n">
        <v>4</v>
      </c>
      <c r="BN19" s="50" t="n">
        <f aca="false">AVERAGEA(BM19,BO19)</f>
        <v>8</v>
      </c>
      <c r="BO19" s="51" t="n">
        <v>12</v>
      </c>
    </row>
    <row r="20" customFormat="false" ht="15" hidden="false" customHeight="true" outlineLevel="0" collapsed="false">
      <c r="B20" s="40"/>
      <c r="C20" s="41"/>
      <c r="D20" s="85"/>
      <c r="E20" s="80"/>
      <c r="F20" s="44" t="s">
        <v>49</v>
      </c>
      <c r="G20" s="81"/>
      <c r="H20" s="82" t="n">
        <v>23.335207999843</v>
      </c>
      <c r="I20" s="71" t="n">
        <f aca="false">AVERAGE(H20,J20)</f>
        <v>26.4090256891436</v>
      </c>
      <c r="J20" s="83" t="n">
        <v>29.4828433784443</v>
      </c>
      <c r="K20" s="49" t="s">
        <v>46</v>
      </c>
      <c r="L20" s="50"/>
      <c r="M20" s="51" t="s">
        <v>46</v>
      </c>
      <c r="N20" s="52" t="s">
        <v>46</v>
      </c>
      <c r="O20" s="53"/>
      <c r="P20" s="54" t="s">
        <v>46</v>
      </c>
      <c r="Q20" s="52" t="s">
        <v>46</v>
      </c>
      <c r="R20" s="53"/>
      <c r="S20" s="53" t="s">
        <v>46</v>
      </c>
      <c r="T20" s="49" t="n">
        <v>82</v>
      </c>
      <c r="U20" s="50" t="n">
        <f aca="false">AVERAGEA(V20, T20)</f>
        <v>86.6</v>
      </c>
      <c r="V20" s="51" t="n">
        <v>91.2</v>
      </c>
      <c r="W20" s="78" t="n">
        <v>50</v>
      </c>
      <c r="X20" s="53" t="n">
        <f aca="false">AVERAGEA(Y20, W20)</f>
        <v>35</v>
      </c>
      <c r="Y20" s="54" t="n">
        <v>20</v>
      </c>
      <c r="Z20" s="49" t="n">
        <v>0.66</v>
      </c>
      <c r="AA20" s="50" t="n">
        <f aca="false">AVERAGEA(AB20, Z20)</f>
        <v>4.33</v>
      </c>
      <c r="AB20" s="57" t="n">
        <v>8</v>
      </c>
      <c r="AC20" s="78" t="n">
        <v>0.66</v>
      </c>
      <c r="AD20" s="53" t="n">
        <f aca="false">AVERAGEA(AE20, AC20)</f>
        <v>3.33</v>
      </c>
      <c r="AE20" s="54" t="n">
        <v>6</v>
      </c>
      <c r="AF20" s="49" t="n">
        <v>3</v>
      </c>
      <c r="AG20" s="50" t="n">
        <f aca="false">AVERAGEA(AH20, AF20)</f>
        <v>6.5</v>
      </c>
      <c r="AH20" s="51" t="n">
        <v>10</v>
      </c>
      <c r="AI20" s="84" t="n">
        <v>1.5</v>
      </c>
      <c r="AJ20" s="77" t="n">
        <f aca="false">AVERAGEA(AK20, AI20)</f>
        <v>2.25</v>
      </c>
      <c r="AK20" s="51" t="n">
        <v>3</v>
      </c>
      <c r="AL20" s="73" t="n">
        <v>715</v>
      </c>
      <c r="AM20" s="53" t="n">
        <f aca="false">AVERAGEA(AN20, AL20)</f>
        <v>1530.5</v>
      </c>
      <c r="AN20" s="54" t="n">
        <v>2346</v>
      </c>
      <c r="AO20" s="49" t="n">
        <v>14.7</v>
      </c>
      <c r="AP20" s="50" t="n">
        <f aca="false">AVERAGEA(AQ20, AO20)</f>
        <v>28.85</v>
      </c>
      <c r="AQ20" s="51" t="n">
        <v>43</v>
      </c>
      <c r="AR20" s="78" t="n">
        <v>2</v>
      </c>
      <c r="AS20" s="53" t="n">
        <f aca="false">AVERAGEA(AT20, AR20)</f>
        <v>4</v>
      </c>
      <c r="AT20" s="54" t="n">
        <v>6</v>
      </c>
      <c r="AU20" s="49" t="n">
        <v>3.56</v>
      </c>
      <c r="AV20" s="50" t="n">
        <f aca="false">AVERAGE(AU20,AW20)</f>
        <v>22.03</v>
      </c>
      <c r="AW20" s="51" t="n">
        <v>40.5</v>
      </c>
      <c r="AX20" s="79" t="n">
        <v>5.7</v>
      </c>
      <c r="AY20" s="53" t="n">
        <f aca="false">AVERAGE(AX20,AZ20)</f>
        <v>26.85</v>
      </c>
      <c r="AZ20" s="54" t="n">
        <v>48</v>
      </c>
      <c r="BA20" s="49" t="n">
        <v>6.2</v>
      </c>
      <c r="BB20" s="50" t="n">
        <f aca="false">AVERAGE(BA20,BC20)</f>
        <v>42.1</v>
      </c>
      <c r="BC20" s="51" t="n">
        <v>78</v>
      </c>
      <c r="BD20" s="78" t="n">
        <v>1.3</v>
      </c>
      <c r="BE20" s="53" t="n">
        <f aca="false">AVERAGEA(BF20, BD20)</f>
        <v>1.55</v>
      </c>
      <c r="BF20" s="54" t="n">
        <v>1.8</v>
      </c>
      <c r="BG20" s="49" t="n">
        <v>60</v>
      </c>
      <c r="BH20" s="50" t="n">
        <f aca="false">AVERAGEA(BG20,BI20)</f>
        <v>180</v>
      </c>
      <c r="BI20" s="51" t="n">
        <v>300</v>
      </c>
      <c r="BJ20" s="79" t="n">
        <v>2</v>
      </c>
      <c r="BK20" s="53" t="n">
        <f aca="false">AVERAGEA(BJ20,BL20)</f>
        <v>5</v>
      </c>
      <c r="BL20" s="54" t="n">
        <v>8</v>
      </c>
      <c r="BM20" s="49" t="n">
        <v>4</v>
      </c>
      <c r="BN20" s="50" t="n">
        <f aca="false">AVERAGEA(BM20,BO20)</f>
        <v>8</v>
      </c>
      <c r="BO20" s="51" t="n">
        <v>12</v>
      </c>
    </row>
    <row r="21" customFormat="false" ht="15" hidden="false" customHeight="true" outlineLevel="0" collapsed="false">
      <c r="B21" s="40"/>
      <c r="C21" s="41"/>
      <c r="D21" s="85"/>
      <c r="E21" s="80" t="s">
        <v>50</v>
      </c>
      <c r="F21" s="44" t="s">
        <v>45</v>
      </c>
      <c r="G21" s="81"/>
      <c r="H21" s="82" t="n">
        <v>38.4335162183416</v>
      </c>
      <c r="I21" s="71" t="n">
        <f aca="false">AVERAGE(H21,J21)</f>
        <v>39.5803120841215</v>
      </c>
      <c r="J21" s="83" t="n">
        <v>40.7271079499015</v>
      </c>
      <c r="K21" s="49" t="s">
        <v>46</v>
      </c>
      <c r="L21" s="50"/>
      <c r="M21" s="51" t="s">
        <v>46</v>
      </c>
      <c r="N21" s="52" t="s">
        <v>46</v>
      </c>
      <c r="O21" s="53"/>
      <c r="P21" s="54" t="s">
        <v>46</v>
      </c>
      <c r="Q21" s="52" t="s">
        <v>46</v>
      </c>
      <c r="R21" s="53"/>
      <c r="S21" s="53" t="s">
        <v>46</v>
      </c>
      <c r="T21" s="49" t="n">
        <v>82</v>
      </c>
      <c r="U21" s="50" t="n">
        <f aca="false">AVERAGEA(V21, T21)</f>
        <v>86.6</v>
      </c>
      <c r="V21" s="51" t="n">
        <v>91.2</v>
      </c>
      <c r="W21" s="78" t="n">
        <v>50</v>
      </c>
      <c r="X21" s="53" t="n">
        <f aca="false">AVERAGEA(Y21, W21)</f>
        <v>35</v>
      </c>
      <c r="Y21" s="54" t="n">
        <v>20</v>
      </c>
      <c r="Z21" s="49" t="n">
        <v>0.66</v>
      </c>
      <c r="AA21" s="50" t="n">
        <f aca="false">AVERAGEA(AB21, Z21)</f>
        <v>4.33</v>
      </c>
      <c r="AB21" s="57" t="n">
        <v>8</v>
      </c>
      <c r="AC21" s="78" t="n">
        <v>0.66</v>
      </c>
      <c r="AD21" s="53" t="n">
        <f aca="false">AVERAGEA(AE21, AC21)</f>
        <v>3.33</v>
      </c>
      <c r="AE21" s="54" t="n">
        <v>6</v>
      </c>
      <c r="AF21" s="49" t="n">
        <v>3</v>
      </c>
      <c r="AG21" s="50" t="n">
        <f aca="false">AVERAGEA(AH21, AF21)</f>
        <v>6.5</v>
      </c>
      <c r="AH21" s="51" t="n">
        <v>10</v>
      </c>
      <c r="AI21" s="84" t="n">
        <v>1.5</v>
      </c>
      <c r="AJ21" s="77" t="n">
        <f aca="false">AVERAGEA(AK21, AI21)</f>
        <v>2.25</v>
      </c>
      <c r="AK21" s="51" t="n">
        <v>3</v>
      </c>
      <c r="AL21" s="73" t="n">
        <v>715</v>
      </c>
      <c r="AM21" s="53" t="n">
        <f aca="false">AVERAGEA(AN21, AL21)</f>
        <v>1530.5</v>
      </c>
      <c r="AN21" s="54" t="n">
        <v>2346</v>
      </c>
      <c r="AO21" s="49" t="n">
        <v>14.7</v>
      </c>
      <c r="AP21" s="50" t="n">
        <f aca="false">AVERAGEA(AQ21, AO21)</f>
        <v>28.85</v>
      </c>
      <c r="AQ21" s="51" t="n">
        <v>43</v>
      </c>
      <c r="AR21" s="78" t="n">
        <v>2</v>
      </c>
      <c r="AS21" s="53" t="n">
        <f aca="false">AVERAGEA(AT21, AR21)</f>
        <v>4</v>
      </c>
      <c r="AT21" s="54" t="n">
        <v>6</v>
      </c>
      <c r="AU21" s="49" t="n">
        <v>3.56</v>
      </c>
      <c r="AV21" s="50" t="n">
        <f aca="false">AVERAGE(AU21,AW21)</f>
        <v>22.03</v>
      </c>
      <c r="AW21" s="51" t="n">
        <v>40.5</v>
      </c>
      <c r="AX21" s="79" t="n">
        <v>5.7</v>
      </c>
      <c r="AY21" s="53" t="n">
        <f aca="false">AVERAGE(AX21,AZ21)</f>
        <v>26.85</v>
      </c>
      <c r="AZ21" s="54" t="n">
        <v>48</v>
      </c>
      <c r="BA21" s="49" t="n">
        <v>6.2</v>
      </c>
      <c r="BB21" s="50" t="n">
        <f aca="false">AVERAGE(BA21,BC21)</f>
        <v>42.1</v>
      </c>
      <c r="BC21" s="51" t="n">
        <v>78</v>
      </c>
      <c r="BD21" s="78" t="n">
        <v>1.3</v>
      </c>
      <c r="BE21" s="53" t="n">
        <f aca="false">AVERAGEA(BF21, BD21)</f>
        <v>1.55</v>
      </c>
      <c r="BF21" s="54" t="n">
        <v>1.8</v>
      </c>
      <c r="BG21" s="49" t="n">
        <v>60</v>
      </c>
      <c r="BH21" s="50" t="n">
        <f aca="false">AVERAGEA(BG21,BI21)</f>
        <v>180</v>
      </c>
      <c r="BI21" s="51" t="n">
        <v>300</v>
      </c>
      <c r="BJ21" s="79" t="n">
        <v>2</v>
      </c>
      <c r="BK21" s="53" t="n">
        <f aca="false">AVERAGEA(BJ21,BL21)</f>
        <v>5</v>
      </c>
      <c r="BL21" s="54" t="n">
        <v>8</v>
      </c>
      <c r="BM21" s="49" t="n">
        <v>4</v>
      </c>
      <c r="BN21" s="50" t="n">
        <f aca="false">AVERAGEA(BM21,BO21)</f>
        <v>8</v>
      </c>
      <c r="BO21" s="51" t="n">
        <v>12</v>
      </c>
    </row>
    <row r="22" customFormat="false" ht="15" hidden="false" customHeight="true" outlineLevel="0" collapsed="false">
      <c r="B22" s="40"/>
      <c r="C22" s="41"/>
      <c r="D22" s="85"/>
      <c r="E22" s="80"/>
      <c r="F22" s="44" t="s">
        <v>47</v>
      </c>
      <c r="G22" s="81"/>
      <c r="H22" s="82" t="n">
        <v>35.6593911212695</v>
      </c>
      <c r="I22" s="71" t="n">
        <f aca="false">AVERAGE(H22,J22)</f>
        <v>37.0429138098666</v>
      </c>
      <c r="J22" s="83" t="n">
        <v>38.4264364984637</v>
      </c>
      <c r="K22" s="49" t="s">
        <v>46</v>
      </c>
      <c r="L22" s="50"/>
      <c r="M22" s="51" t="s">
        <v>46</v>
      </c>
      <c r="N22" s="52" t="s">
        <v>46</v>
      </c>
      <c r="O22" s="53"/>
      <c r="P22" s="54" t="s">
        <v>46</v>
      </c>
      <c r="Q22" s="52" t="s">
        <v>46</v>
      </c>
      <c r="R22" s="53"/>
      <c r="S22" s="53" t="s">
        <v>46</v>
      </c>
      <c r="T22" s="49" t="n">
        <v>82</v>
      </c>
      <c r="U22" s="50" t="n">
        <f aca="false">AVERAGEA(V22, T22)</f>
        <v>86.6</v>
      </c>
      <c r="V22" s="51" t="n">
        <v>91.2</v>
      </c>
      <c r="W22" s="78" t="n">
        <v>50</v>
      </c>
      <c r="X22" s="53" t="n">
        <f aca="false">AVERAGEA(Y22, W22)</f>
        <v>35</v>
      </c>
      <c r="Y22" s="54" t="n">
        <v>20</v>
      </c>
      <c r="Z22" s="49" t="n">
        <v>0.66</v>
      </c>
      <c r="AA22" s="50" t="n">
        <f aca="false">AVERAGEA(AB22, Z22)</f>
        <v>4.33</v>
      </c>
      <c r="AB22" s="57" t="n">
        <v>8</v>
      </c>
      <c r="AC22" s="78" t="n">
        <v>0.66</v>
      </c>
      <c r="AD22" s="53" t="n">
        <f aca="false">AVERAGEA(AE22, AC22)</f>
        <v>3.33</v>
      </c>
      <c r="AE22" s="54" t="n">
        <v>6</v>
      </c>
      <c r="AF22" s="49" t="n">
        <v>3</v>
      </c>
      <c r="AG22" s="50" t="n">
        <f aca="false">AVERAGEA(AH22, AF22)</f>
        <v>6.5</v>
      </c>
      <c r="AH22" s="51" t="n">
        <v>10</v>
      </c>
      <c r="AI22" s="84" t="n">
        <v>1.5</v>
      </c>
      <c r="AJ22" s="77" t="n">
        <f aca="false">AVERAGEA(AK22, AI22)</f>
        <v>2.25</v>
      </c>
      <c r="AK22" s="51" t="n">
        <v>3</v>
      </c>
      <c r="AL22" s="73" t="n">
        <v>715</v>
      </c>
      <c r="AM22" s="53" t="n">
        <f aca="false">AVERAGEA(AN22, AL22)</f>
        <v>1530.5</v>
      </c>
      <c r="AN22" s="54" t="n">
        <v>2346</v>
      </c>
      <c r="AO22" s="49" t="n">
        <v>14.7</v>
      </c>
      <c r="AP22" s="50" t="n">
        <f aca="false">AVERAGEA(AQ22, AO22)</f>
        <v>28.85</v>
      </c>
      <c r="AQ22" s="51" t="n">
        <v>43</v>
      </c>
      <c r="AR22" s="78" t="n">
        <v>2</v>
      </c>
      <c r="AS22" s="53" t="n">
        <f aca="false">AVERAGEA(AT22, AR22)</f>
        <v>4</v>
      </c>
      <c r="AT22" s="54" t="n">
        <v>6</v>
      </c>
      <c r="AU22" s="49" t="n">
        <v>3.56</v>
      </c>
      <c r="AV22" s="50" t="n">
        <f aca="false">AVERAGE(AU22,AW22)</f>
        <v>22.03</v>
      </c>
      <c r="AW22" s="51" t="n">
        <v>40.5</v>
      </c>
      <c r="AX22" s="79" t="n">
        <v>5.7</v>
      </c>
      <c r="AY22" s="53" t="n">
        <f aca="false">AVERAGE(AX22,AZ22)</f>
        <v>26.85</v>
      </c>
      <c r="AZ22" s="54" t="n">
        <v>48</v>
      </c>
      <c r="BA22" s="49" t="n">
        <v>6.2</v>
      </c>
      <c r="BB22" s="50" t="n">
        <f aca="false">AVERAGE(BA22,BC22)</f>
        <v>42.1</v>
      </c>
      <c r="BC22" s="51" t="n">
        <v>78</v>
      </c>
      <c r="BD22" s="78" t="n">
        <v>1.3</v>
      </c>
      <c r="BE22" s="53" t="n">
        <f aca="false">AVERAGEA(BF22, BD22)</f>
        <v>1.55</v>
      </c>
      <c r="BF22" s="54" t="n">
        <v>1.8</v>
      </c>
      <c r="BG22" s="49" t="n">
        <v>60</v>
      </c>
      <c r="BH22" s="50" t="n">
        <f aca="false">AVERAGEA(BG22,BI22)</f>
        <v>180</v>
      </c>
      <c r="BI22" s="51" t="n">
        <v>300</v>
      </c>
      <c r="BJ22" s="79" t="n">
        <v>2</v>
      </c>
      <c r="BK22" s="53" t="n">
        <f aca="false">AVERAGEA(BJ22,BL22)</f>
        <v>5</v>
      </c>
      <c r="BL22" s="54" t="n">
        <v>8</v>
      </c>
      <c r="BM22" s="49" t="n">
        <v>4</v>
      </c>
      <c r="BN22" s="50" t="n">
        <f aca="false">AVERAGEA(BM22,BO22)</f>
        <v>8</v>
      </c>
      <c r="BO22" s="51" t="n">
        <v>12</v>
      </c>
    </row>
    <row r="23" customFormat="false" ht="15" hidden="false" customHeight="true" outlineLevel="0" collapsed="false">
      <c r="B23" s="40"/>
      <c r="C23" s="41"/>
      <c r="D23" s="85"/>
      <c r="E23" s="80"/>
      <c r="F23" s="44" t="s">
        <v>48</v>
      </c>
      <c r="G23" s="81"/>
      <c r="H23" s="82" t="n">
        <v>27.186421887678</v>
      </c>
      <c r="I23" s="71" t="n">
        <f aca="false">AVERAGE(H23,J23)</f>
        <v>31.4134471159787</v>
      </c>
      <c r="J23" s="83" t="n">
        <v>35.6404723442794</v>
      </c>
      <c r="K23" s="49" t="s">
        <v>46</v>
      </c>
      <c r="L23" s="50"/>
      <c r="M23" s="51" t="s">
        <v>46</v>
      </c>
      <c r="N23" s="52" t="s">
        <v>46</v>
      </c>
      <c r="O23" s="53"/>
      <c r="P23" s="54" t="s">
        <v>46</v>
      </c>
      <c r="Q23" s="52" t="s">
        <v>46</v>
      </c>
      <c r="R23" s="53"/>
      <c r="S23" s="53" t="s">
        <v>46</v>
      </c>
      <c r="T23" s="49" t="n">
        <v>82</v>
      </c>
      <c r="U23" s="50" t="n">
        <f aca="false">AVERAGEA(V23, T23)</f>
        <v>86.6</v>
      </c>
      <c r="V23" s="51" t="n">
        <v>91.2</v>
      </c>
      <c r="W23" s="78" t="n">
        <v>50</v>
      </c>
      <c r="X23" s="53" t="n">
        <f aca="false">AVERAGEA(Y23, W23)</f>
        <v>35</v>
      </c>
      <c r="Y23" s="54" t="n">
        <v>20</v>
      </c>
      <c r="Z23" s="49" t="n">
        <v>0.66</v>
      </c>
      <c r="AA23" s="50" t="n">
        <f aca="false">AVERAGEA(AB23, Z23)</f>
        <v>4.33</v>
      </c>
      <c r="AB23" s="57" t="n">
        <v>8</v>
      </c>
      <c r="AC23" s="78" t="n">
        <v>0.66</v>
      </c>
      <c r="AD23" s="53" t="n">
        <f aca="false">AVERAGEA(AE23, AC23)</f>
        <v>3.33</v>
      </c>
      <c r="AE23" s="54" t="n">
        <v>6</v>
      </c>
      <c r="AF23" s="49" t="n">
        <v>3</v>
      </c>
      <c r="AG23" s="50" t="n">
        <f aca="false">AVERAGEA(AH23, AF23)</f>
        <v>6.5</v>
      </c>
      <c r="AH23" s="51" t="n">
        <v>10</v>
      </c>
      <c r="AI23" s="84" t="n">
        <v>1.5</v>
      </c>
      <c r="AJ23" s="77" t="n">
        <f aca="false">AVERAGEA(AK23, AI23)</f>
        <v>2.25</v>
      </c>
      <c r="AK23" s="51" t="n">
        <v>3</v>
      </c>
      <c r="AL23" s="73" t="n">
        <v>715</v>
      </c>
      <c r="AM23" s="53" t="n">
        <f aca="false">AVERAGEA(AN23, AL23)</f>
        <v>1530.5</v>
      </c>
      <c r="AN23" s="54" t="n">
        <v>2346</v>
      </c>
      <c r="AO23" s="49" t="n">
        <v>14.7</v>
      </c>
      <c r="AP23" s="50" t="n">
        <f aca="false">AVERAGEA(AQ23, AO23)</f>
        <v>28.85</v>
      </c>
      <c r="AQ23" s="51" t="n">
        <v>43</v>
      </c>
      <c r="AR23" s="78" t="n">
        <v>2</v>
      </c>
      <c r="AS23" s="53" t="n">
        <f aca="false">AVERAGEA(AT23, AR23)</f>
        <v>4</v>
      </c>
      <c r="AT23" s="54" t="n">
        <v>6</v>
      </c>
      <c r="AU23" s="49" t="n">
        <v>3.56</v>
      </c>
      <c r="AV23" s="50" t="n">
        <f aca="false">AVERAGE(AU23,AW23)</f>
        <v>22.03</v>
      </c>
      <c r="AW23" s="51" t="n">
        <v>40.5</v>
      </c>
      <c r="AX23" s="79" t="n">
        <v>5.7</v>
      </c>
      <c r="AY23" s="53" t="n">
        <f aca="false">AVERAGE(AX23,AZ23)</f>
        <v>26.85</v>
      </c>
      <c r="AZ23" s="54" t="n">
        <v>48</v>
      </c>
      <c r="BA23" s="49" t="n">
        <v>6.2</v>
      </c>
      <c r="BB23" s="50" t="n">
        <f aca="false">AVERAGE(BA23,BC23)</f>
        <v>42.1</v>
      </c>
      <c r="BC23" s="51" t="n">
        <v>78</v>
      </c>
      <c r="BD23" s="78" t="n">
        <v>1.3</v>
      </c>
      <c r="BE23" s="53" t="n">
        <f aca="false">AVERAGEA(BF23, BD23)</f>
        <v>1.55</v>
      </c>
      <c r="BF23" s="54" t="n">
        <v>1.8</v>
      </c>
      <c r="BG23" s="49" t="n">
        <v>60</v>
      </c>
      <c r="BH23" s="50" t="n">
        <f aca="false">AVERAGEA(BG23,BI23)</f>
        <v>180</v>
      </c>
      <c r="BI23" s="51" t="n">
        <v>300</v>
      </c>
      <c r="BJ23" s="79" t="n">
        <v>2</v>
      </c>
      <c r="BK23" s="53" t="n">
        <f aca="false">AVERAGEA(BJ23,BL23)</f>
        <v>5</v>
      </c>
      <c r="BL23" s="54" t="n">
        <v>8</v>
      </c>
      <c r="BM23" s="49" t="n">
        <v>4</v>
      </c>
      <c r="BN23" s="50" t="n">
        <f aca="false">AVERAGEA(BM23,BO23)</f>
        <v>8</v>
      </c>
      <c r="BO23" s="51" t="n">
        <v>12</v>
      </c>
    </row>
    <row r="24" customFormat="false" ht="15" hidden="false" customHeight="true" outlineLevel="0" collapsed="false">
      <c r="B24" s="40"/>
      <c r="C24" s="41"/>
      <c r="D24" s="85"/>
      <c r="E24" s="80"/>
      <c r="F24" s="44" t="s">
        <v>49</v>
      </c>
      <c r="G24" s="81"/>
      <c r="H24" s="82" t="n">
        <v>21.4875777511586</v>
      </c>
      <c r="I24" s="71" t="n">
        <f aca="false">AVERAGE(H24,J24)</f>
        <v>24.3180173423625</v>
      </c>
      <c r="J24" s="83" t="n">
        <v>27.1484569335664</v>
      </c>
      <c r="K24" s="49" t="s">
        <v>46</v>
      </c>
      <c r="L24" s="50"/>
      <c r="M24" s="51" t="s">
        <v>46</v>
      </c>
      <c r="N24" s="52" t="s">
        <v>46</v>
      </c>
      <c r="O24" s="53"/>
      <c r="P24" s="54" t="s">
        <v>46</v>
      </c>
      <c r="Q24" s="52" t="s">
        <v>46</v>
      </c>
      <c r="R24" s="53"/>
      <c r="S24" s="53" t="s">
        <v>46</v>
      </c>
      <c r="T24" s="49" t="n">
        <v>82</v>
      </c>
      <c r="U24" s="50" t="n">
        <f aca="false">AVERAGEA(V24, T24)</f>
        <v>86.6</v>
      </c>
      <c r="V24" s="51" t="n">
        <v>91.2</v>
      </c>
      <c r="W24" s="78" t="n">
        <v>50</v>
      </c>
      <c r="X24" s="53" t="n">
        <f aca="false">AVERAGEA(Y24, W24)</f>
        <v>35</v>
      </c>
      <c r="Y24" s="54" t="n">
        <v>20</v>
      </c>
      <c r="Z24" s="49" t="n">
        <v>0.66</v>
      </c>
      <c r="AA24" s="50" t="n">
        <f aca="false">AVERAGEA(AB24, Z24)</f>
        <v>4.33</v>
      </c>
      <c r="AB24" s="57" t="n">
        <v>8</v>
      </c>
      <c r="AC24" s="78" t="n">
        <v>0.66</v>
      </c>
      <c r="AD24" s="53" t="n">
        <f aca="false">AVERAGEA(AE24, AC24)</f>
        <v>3.33</v>
      </c>
      <c r="AE24" s="54" t="n">
        <v>6</v>
      </c>
      <c r="AF24" s="49" t="n">
        <v>3</v>
      </c>
      <c r="AG24" s="50" t="n">
        <f aca="false">AVERAGEA(AH24, AF24)</f>
        <v>6.5</v>
      </c>
      <c r="AH24" s="51" t="n">
        <v>10</v>
      </c>
      <c r="AI24" s="84" t="n">
        <v>1.5</v>
      </c>
      <c r="AJ24" s="77" t="n">
        <f aca="false">AVERAGEA(AK24, AI24)</f>
        <v>2.25</v>
      </c>
      <c r="AK24" s="51" t="n">
        <v>3</v>
      </c>
      <c r="AL24" s="73" t="n">
        <v>715</v>
      </c>
      <c r="AM24" s="53" t="n">
        <f aca="false">AVERAGEA(AN24, AL24)</f>
        <v>1530.5</v>
      </c>
      <c r="AN24" s="54" t="n">
        <v>2346</v>
      </c>
      <c r="AO24" s="49" t="n">
        <v>14.7</v>
      </c>
      <c r="AP24" s="50" t="n">
        <f aca="false">AVERAGEA(AQ24, AO24)</f>
        <v>28.85</v>
      </c>
      <c r="AQ24" s="51" t="n">
        <v>43</v>
      </c>
      <c r="AR24" s="78" t="n">
        <v>2</v>
      </c>
      <c r="AS24" s="53" t="n">
        <f aca="false">AVERAGEA(AT24, AR24)</f>
        <v>4</v>
      </c>
      <c r="AT24" s="54" t="n">
        <v>6</v>
      </c>
      <c r="AU24" s="49" t="n">
        <v>3.56</v>
      </c>
      <c r="AV24" s="50" t="n">
        <f aca="false">AVERAGE(AU24,AW24)</f>
        <v>22.03</v>
      </c>
      <c r="AW24" s="51" t="n">
        <v>40.5</v>
      </c>
      <c r="AX24" s="79" t="n">
        <v>5.7</v>
      </c>
      <c r="AY24" s="53" t="n">
        <f aca="false">AVERAGE(AX24,AZ24)</f>
        <v>26.85</v>
      </c>
      <c r="AZ24" s="54" t="n">
        <v>48</v>
      </c>
      <c r="BA24" s="49" t="n">
        <v>6.2</v>
      </c>
      <c r="BB24" s="50" t="n">
        <f aca="false">AVERAGE(BA24,BC24)</f>
        <v>42.1</v>
      </c>
      <c r="BC24" s="51" t="n">
        <v>78</v>
      </c>
      <c r="BD24" s="78" t="n">
        <v>1.3</v>
      </c>
      <c r="BE24" s="53" t="n">
        <f aca="false">AVERAGEA(BF24, BD24)</f>
        <v>1.55</v>
      </c>
      <c r="BF24" s="54" t="n">
        <v>1.8</v>
      </c>
      <c r="BG24" s="49" t="n">
        <v>60</v>
      </c>
      <c r="BH24" s="50" t="n">
        <f aca="false">AVERAGEA(BG24,BI24)</f>
        <v>180</v>
      </c>
      <c r="BI24" s="51" t="n">
        <v>300</v>
      </c>
      <c r="BJ24" s="79" t="n">
        <v>2</v>
      </c>
      <c r="BK24" s="53" t="n">
        <f aca="false">AVERAGEA(BJ24,BL24)</f>
        <v>5</v>
      </c>
      <c r="BL24" s="54" t="n">
        <v>8</v>
      </c>
      <c r="BM24" s="49" t="n">
        <v>4</v>
      </c>
      <c r="BN24" s="50" t="n">
        <f aca="false">AVERAGEA(BM24,BO24)</f>
        <v>8</v>
      </c>
      <c r="BO24" s="51" t="n">
        <v>12</v>
      </c>
    </row>
    <row r="25" customFormat="false" ht="15" hidden="false" customHeight="true" outlineLevel="0" collapsed="false">
      <c r="B25" s="40"/>
      <c r="C25" s="41"/>
      <c r="D25" s="85"/>
      <c r="E25" s="80" t="s">
        <v>51</v>
      </c>
      <c r="F25" s="44" t="s">
        <v>45</v>
      </c>
      <c r="G25" s="81"/>
      <c r="H25" s="82" t="n">
        <v>36.6053488967538</v>
      </c>
      <c r="I25" s="71" t="n">
        <f aca="false">AVERAGE(H25,J25)</f>
        <v>37.6975951159586</v>
      </c>
      <c r="J25" s="83" t="n">
        <v>38.7898413351634</v>
      </c>
      <c r="K25" s="49" t="s">
        <v>46</v>
      </c>
      <c r="L25" s="50"/>
      <c r="M25" s="51" t="s">
        <v>46</v>
      </c>
      <c r="N25" s="52" t="s">
        <v>46</v>
      </c>
      <c r="O25" s="53"/>
      <c r="P25" s="54" t="s">
        <v>46</v>
      </c>
      <c r="Q25" s="52" t="s">
        <v>46</v>
      </c>
      <c r="R25" s="53"/>
      <c r="S25" s="53" t="s">
        <v>46</v>
      </c>
      <c r="T25" s="49" t="n">
        <v>82</v>
      </c>
      <c r="U25" s="50" t="n">
        <f aca="false">AVERAGEA(V25, T25)</f>
        <v>86.6</v>
      </c>
      <c r="V25" s="51" t="n">
        <v>91.2</v>
      </c>
      <c r="W25" s="78" t="n">
        <v>50</v>
      </c>
      <c r="X25" s="53" t="n">
        <f aca="false">AVERAGEA(Y25, W25)</f>
        <v>35</v>
      </c>
      <c r="Y25" s="54" t="n">
        <v>20</v>
      </c>
      <c r="Z25" s="49" t="n">
        <v>0.66</v>
      </c>
      <c r="AA25" s="50" t="n">
        <f aca="false">AVERAGEA(AB25, Z25)</f>
        <v>4.33</v>
      </c>
      <c r="AB25" s="57" t="n">
        <v>8</v>
      </c>
      <c r="AC25" s="78" t="n">
        <v>0.66</v>
      </c>
      <c r="AD25" s="53" t="n">
        <f aca="false">AVERAGEA(AE25, AC25)</f>
        <v>3.33</v>
      </c>
      <c r="AE25" s="54" t="n">
        <v>6</v>
      </c>
      <c r="AF25" s="49" t="n">
        <v>3</v>
      </c>
      <c r="AG25" s="50" t="n">
        <f aca="false">AVERAGEA(AH25, AF25)</f>
        <v>6.5</v>
      </c>
      <c r="AH25" s="51" t="n">
        <v>10</v>
      </c>
      <c r="AI25" s="84" t="n">
        <v>2</v>
      </c>
      <c r="AJ25" s="77" t="n">
        <f aca="false">AVERAGEA(AK25, AI25)</f>
        <v>8.5</v>
      </c>
      <c r="AK25" s="51" t="n">
        <v>15</v>
      </c>
      <c r="AL25" s="73" t="n">
        <v>715</v>
      </c>
      <c r="AM25" s="53" t="n">
        <f aca="false">AVERAGEA(AN25, AL25)</f>
        <v>1530.5</v>
      </c>
      <c r="AN25" s="54" t="n">
        <v>2346</v>
      </c>
      <c r="AO25" s="49" t="n">
        <v>14.7</v>
      </c>
      <c r="AP25" s="50" t="n">
        <f aca="false">AVERAGEA(AQ25, AO25)</f>
        <v>28.85</v>
      </c>
      <c r="AQ25" s="51" t="n">
        <v>43</v>
      </c>
      <c r="AR25" s="78" t="n">
        <v>2</v>
      </c>
      <c r="AS25" s="53" t="n">
        <f aca="false">AVERAGEA(AT25, AR25)</f>
        <v>4</v>
      </c>
      <c r="AT25" s="54" t="n">
        <v>6</v>
      </c>
      <c r="AU25" s="49" t="n">
        <v>3.56</v>
      </c>
      <c r="AV25" s="50" t="n">
        <f aca="false">AVERAGE(AU25,AW25)</f>
        <v>22.03</v>
      </c>
      <c r="AW25" s="51" t="n">
        <v>40.5</v>
      </c>
      <c r="AX25" s="79" t="n">
        <v>5.7</v>
      </c>
      <c r="AY25" s="53" t="n">
        <f aca="false">AVERAGE(AX25,AZ25)</f>
        <v>26.85</v>
      </c>
      <c r="AZ25" s="54" t="n">
        <v>48</v>
      </c>
      <c r="BA25" s="49" t="n">
        <v>6.2</v>
      </c>
      <c r="BB25" s="50" t="n">
        <f aca="false">AVERAGE(BA25,BC25)</f>
        <v>42.1</v>
      </c>
      <c r="BC25" s="51" t="n">
        <v>78</v>
      </c>
      <c r="BD25" s="78" t="n">
        <v>1.3</v>
      </c>
      <c r="BE25" s="53" t="n">
        <f aca="false">AVERAGEA(BF25, BD25)</f>
        <v>1.55</v>
      </c>
      <c r="BF25" s="54" t="n">
        <v>1.8</v>
      </c>
      <c r="BG25" s="49" t="n">
        <v>60</v>
      </c>
      <c r="BH25" s="50" t="n">
        <f aca="false">AVERAGEA(BG25,BI25)</f>
        <v>180</v>
      </c>
      <c r="BI25" s="51" t="n">
        <v>300</v>
      </c>
      <c r="BJ25" s="79" t="n">
        <v>2</v>
      </c>
      <c r="BK25" s="53" t="n">
        <f aca="false">AVERAGEA(BJ25,BL25)</f>
        <v>5</v>
      </c>
      <c r="BL25" s="54" t="n">
        <v>8</v>
      </c>
      <c r="BM25" s="49" t="n">
        <v>4</v>
      </c>
      <c r="BN25" s="50" t="n">
        <f aca="false">AVERAGEA(BM25,BO25)</f>
        <v>8</v>
      </c>
      <c r="BO25" s="51" t="n">
        <v>12</v>
      </c>
    </row>
    <row r="26" customFormat="false" ht="15" hidden="false" customHeight="true" outlineLevel="0" collapsed="false">
      <c r="B26" s="40"/>
      <c r="C26" s="41"/>
      <c r="D26" s="85"/>
      <c r="E26" s="80"/>
      <c r="F26" s="44" t="s">
        <v>47</v>
      </c>
      <c r="G26" s="81"/>
      <c r="H26" s="82" t="n">
        <v>33.9631806266255</v>
      </c>
      <c r="I26" s="71" t="n">
        <f aca="false">AVERAGE(H26,J26)</f>
        <v>35.280893282292</v>
      </c>
      <c r="J26" s="83" t="n">
        <v>36.5986059379585</v>
      </c>
      <c r="K26" s="49" t="s">
        <v>46</v>
      </c>
      <c r="L26" s="50"/>
      <c r="M26" s="51" t="s">
        <v>46</v>
      </c>
      <c r="N26" s="52" t="s">
        <v>46</v>
      </c>
      <c r="O26" s="53"/>
      <c r="P26" s="54" t="s">
        <v>46</v>
      </c>
      <c r="Q26" s="52" t="s">
        <v>46</v>
      </c>
      <c r="R26" s="53"/>
      <c r="S26" s="53" t="s">
        <v>46</v>
      </c>
      <c r="T26" s="49" t="n">
        <v>82</v>
      </c>
      <c r="U26" s="50" t="n">
        <f aca="false">AVERAGEA(V26, T26)</f>
        <v>86.6</v>
      </c>
      <c r="V26" s="51" t="n">
        <v>91.2</v>
      </c>
      <c r="W26" s="78" t="n">
        <v>50</v>
      </c>
      <c r="X26" s="53" t="n">
        <f aca="false">AVERAGEA(Y26, W26)</f>
        <v>35</v>
      </c>
      <c r="Y26" s="54" t="n">
        <v>20</v>
      </c>
      <c r="Z26" s="49" t="n">
        <v>0.66</v>
      </c>
      <c r="AA26" s="50" t="n">
        <f aca="false">AVERAGEA(AB26, Z26)</f>
        <v>4.33</v>
      </c>
      <c r="AB26" s="57" t="n">
        <v>8</v>
      </c>
      <c r="AC26" s="78" t="n">
        <v>0.66</v>
      </c>
      <c r="AD26" s="53" t="n">
        <f aca="false">AVERAGEA(AE26, AC26)</f>
        <v>3.33</v>
      </c>
      <c r="AE26" s="54" t="n">
        <v>6</v>
      </c>
      <c r="AF26" s="49" t="n">
        <v>3</v>
      </c>
      <c r="AG26" s="50" t="n">
        <f aca="false">AVERAGEA(AH26, AF26)</f>
        <v>6.5</v>
      </c>
      <c r="AH26" s="51" t="n">
        <v>10</v>
      </c>
      <c r="AI26" s="84" t="n">
        <v>2</v>
      </c>
      <c r="AJ26" s="77" t="n">
        <f aca="false">AVERAGEA(AK26, AI26)</f>
        <v>8.5</v>
      </c>
      <c r="AK26" s="51" t="n">
        <v>15</v>
      </c>
      <c r="AL26" s="73" t="n">
        <v>715</v>
      </c>
      <c r="AM26" s="53" t="n">
        <f aca="false">AVERAGEA(AN26, AL26)</f>
        <v>1530.5</v>
      </c>
      <c r="AN26" s="54" t="n">
        <v>2346</v>
      </c>
      <c r="AO26" s="49" t="n">
        <v>14.7</v>
      </c>
      <c r="AP26" s="50" t="n">
        <f aca="false">AVERAGEA(AQ26, AO26)</f>
        <v>28.85</v>
      </c>
      <c r="AQ26" s="51" t="n">
        <v>43</v>
      </c>
      <c r="AR26" s="78" t="n">
        <v>2</v>
      </c>
      <c r="AS26" s="53" t="n">
        <f aca="false">AVERAGEA(AT26, AR26)</f>
        <v>4</v>
      </c>
      <c r="AT26" s="54" t="n">
        <v>6</v>
      </c>
      <c r="AU26" s="49" t="n">
        <v>3.56</v>
      </c>
      <c r="AV26" s="50" t="n">
        <f aca="false">AVERAGE(AU26,AW26)</f>
        <v>22.03</v>
      </c>
      <c r="AW26" s="51" t="n">
        <v>40.5</v>
      </c>
      <c r="AX26" s="79" t="n">
        <v>5.7</v>
      </c>
      <c r="AY26" s="53" t="n">
        <f aca="false">AVERAGE(AX26,AZ26)</f>
        <v>26.85</v>
      </c>
      <c r="AZ26" s="54" t="n">
        <v>48</v>
      </c>
      <c r="BA26" s="49" t="n">
        <v>6.2</v>
      </c>
      <c r="BB26" s="50" t="n">
        <f aca="false">AVERAGE(BA26,BC26)</f>
        <v>42.1</v>
      </c>
      <c r="BC26" s="51" t="n">
        <v>78</v>
      </c>
      <c r="BD26" s="78" t="n">
        <v>1.3</v>
      </c>
      <c r="BE26" s="53" t="n">
        <f aca="false">AVERAGEA(BF26, BD26)</f>
        <v>1.55</v>
      </c>
      <c r="BF26" s="54" t="n">
        <v>1.8</v>
      </c>
      <c r="BG26" s="49" t="n">
        <v>60</v>
      </c>
      <c r="BH26" s="50" t="n">
        <f aca="false">AVERAGEA(BG26,BI26)</f>
        <v>180</v>
      </c>
      <c r="BI26" s="51" t="n">
        <v>300</v>
      </c>
      <c r="BJ26" s="79" t="n">
        <v>2</v>
      </c>
      <c r="BK26" s="53" t="n">
        <f aca="false">AVERAGEA(BJ26,BL26)</f>
        <v>5</v>
      </c>
      <c r="BL26" s="54" t="n">
        <v>8</v>
      </c>
      <c r="BM26" s="49" t="n">
        <v>4</v>
      </c>
      <c r="BN26" s="50" t="n">
        <f aca="false">AVERAGEA(BM26,BO26)</f>
        <v>8</v>
      </c>
      <c r="BO26" s="51" t="n">
        <v>12</v>
      </c>
    </row>
    <row r="27" customFormat="false" ht="15" hidden="false" customHeight="true" outlineLevel="0" collapsed="false">
      <c r="B27" s="40"/>
      <c r="C27" s="41"/>
      <c r="D27" s="85"/>
      <c r="E27" s="80"/>
      <c r="F27" s="44" t="s">
        <v>48</v>
      </c>
      <c r="G27" s="81"/>
      <c r="H27" s="82" t="n">
        <v>25.8932451769239</v>
      </c>
      <c r="I27" s="71" t="n">
        <f aca="false">AVERAGE(H27,J27)</f>
        <v>29.9192034680751</v>
      </c>
      <c r="J27" s="83" t="n">
        <v>33.9451617592263</v>
      </c>
      <c r="K27" s="49" t="s">
        <v>46</v>
      </c>
      <c r="L27" s="50"/>
      <c r="M27" s="51" t="s">
        <v>46</v>
      </c>
      <c r="N27" s="52" t="s">
        <v>46</v>
      </c>
      <c r="O27" s="53"/>
      <c r="P27" s="54" t="s">
        <v>46</v>
      </c>
      <c r="Q27" s="52" t="s">
        <v>46</v>
      </c>
      <c r="R27" s="53"/>
      <c r="S27" s="53" t="s">
        <v>46</v>
      </c>
      <c r="T27" s="49" t="n">
        <v>82</v>
      </c>
      <c r="U27" s="50" t="n">
        <f aca="false">AVERAGEA(V27, T27)</f>
        <v>86.6</v>
      </c>
      <c r="V27" s="51" t="n">
        <v>91.2</v>
      </c>
      <c r="W27" s="78" t="n">
        <v>50</v>
      </c>
      <c r="X27" s="53" t="n">
        <f aca="false">AVERAGEA(Y27, W27)</f>
        <v>35</v>
      </c>
      <c r="Y27" s="54" t="n">
        <v>20</v>
      </c>
      <c r="Z27" s="49" t="n">
        <v>0.66</v>
      </c>
      <c r="AA27" s="50" t="n">
        <f aca="false">AVERAGEA(AB27, Z27)</f>
        <v>4.33</v>
      </c>
      <c r="AB27" s="57" t="n">
        <v>8</v>
      </c>
      <c r="AC27" s="78" t="n">
        <v>0.66</v>
      </c>
      <c r="AD27" s="53" t="n">
        <f aca="false">AVERAGEA(AE27, AC27)</f>
        <v>3.33</v>
      </c>
      <c r="AE27" s="54" t="n">
        <v>6</v>
      </c>
      <c r="AF27" s="49" t="n">
        <v>3</v>
      </c>
      <c r="AG27" s="50" t="n">
        <f aca="false">AVERAGEA(AH27, AF27)</f>
        <v>6.5</v>
      </c>
      <c r="AH27" s="51" t="n">
        <v>10</v>
      </c>
      <c r="AI27" s="84" t="n">
        <v>2</v>
      </c>
      <c r="AJ27" s="77" t="n">
        <f aca="false">AVERAGEA(AK27, AI27)</f>
        <v>8.5</v>
      </c>
      <c r="AK27" s="51" t="n">
        <v>15</v>
      </c>
      <c r="AL27" s="73" t="n">
        <v>715</v>
      </c>
      <c r="AM27" s="53" t="n">
        <f aca="false">AVERAGEA(AN27, AL27)</f>
        <v>1530.5</v>
      </c>
      <c r="AN27" s="54" t="n">
        <v>2346</v>
      </c>
      <c r="AO27" s="49" t="n">
        <v>14.7</v>
      </c>
      <c r="AP27" s="50" t="n">
        <f aca="false">AVERAGEA(AQ27, AO27)</f>
        <v>28.85</v>
      </c>
      <c r="AQ27" s="51" t="n">
        <v>43</v>
      </c>
      <c r="AR27" s="78" t="n">
        <v>2</v>
      </c>
      <c r="AS27" s="53" t="n">
        <f aca="false">AVERAGEA(AT27, AR27)</f>
        <v>4</v>
      </c>
      <c r="AT27" s="54" t="n">
        <v>6</v>
      </c>
      <c r="AU27" s="49" t="n">
        <v>3.56</v>
      </c>
      <c r="AV27" s="50" t="n">
        <f aca="false">AVERAGE(AU27,AW27)</f>
        <v>22.03</v>
      </c>
      <c r="AW27" s="51" t="n">
        <v>40.5</v>
      </c>
      <c r="AX27" s="79" t="n">
        <v>5.7</v>
      </c>
      <c r="AY27" s="53" t="n">
        <f aca="false">AVERAGE(AX27,AZ27)</f>
        <v>26.85</v>
      </c>
      <c r="AZ27" s="54" t="n">
        <v>48</v>
      </c>
      <c r="BA27" s="49" t="n">
        <v>6.2</v>
      </c>
      <c r="BB27" s="50" t="n">
        <f aca="false">AVERAGE(BA27,BC27)</f>
        <v>42.1</v>
      </c>
      <c r="BC27" s="51" t="n">
        <v>78</v>
      </c>
      <c r="BD27" s="78" t="n">
        <v>1.3</v>
      </c>
      <c r="BE27" s="53" t="n">
        <f aca="false">AVERAGEA(BF27, BD27)</f>
        <v>1.55</v>
      </c>
      <c r="BF27" s="54" t="n">
        <v>1.8</v>
      </c>
      <c r="BG27" s="49" t="n">
        <v>60</v>
      </c>
      <c r="BH27" s="50" t="n">
        <f aca="false">AVERAGEA(BG27,BI27)</f>
        <v>180</v>
      </c>
      <c r="BI27" s="51" t="n">
        <v>300</v>
      </c>
      <c r="BJ27" s="79" t="n">
        <v>2</v>
      </c>
      <c r="BK27" s="53" t="n">
        <f aca="false">AVERAGEA(BJ27,BL27)</f>
        <v>5</v>
      </c>
      <c r="BL27" s="54" t="n">
        <v>8</v>
      </c>
      <c r="BM27" s="49" t="n">
        <v>4</v>
      </c>
      <c r="BN27" s="50" t="n">
        <f aca="false">AVERAGEA(BM27,BO27)</f>
        <v>8</v>
      </c>
      <c r="BO27" s="51" t="n">
        <v>12</v>
      </c>
    </row>
    <row r="28" customFormat="false" ht="15" hidden="false" customHeight="true" outlineLevel="0" collapsed="false">
      <c r="B28" s="40"/>
      <c r="C28" s="41"/>
      <c r="D28" s="85"/>
      <c r="E28" s="80"/>
      <c r="F28" s="44" t="s">
        <v>49</v>
      </c>
      <c r="G28" s="81"/>
      <c r="H28" s="82" t="n">
        <v>20.4654779973505</v>
      </c>
      <c r="I28" s="71" t="n">
        <f aca="false">AVERAGE(H28,J28)</f>
        <v>23.1612820496938</v>
      </c>
      <c r="J28" s="83" t="n">
        <v>25.857086102037</v>
      </c>
      <c r="K28" s="49" t="s">
        <v>46</v>
      </c>
      <c r="L28" s="50"/>
      <c r="M28" s="51" t="s">
        <v>46</v>
      </c>
      <c r="N28" s="52" t="s">
        <v>46</v>
      </c>
      <c r="O28" s="53"/>
      <c r="P28" s="54" t="s">
        <v>46</v>
      </c>
      <c r="Q28" s="52" t="s">
        <v>46</v>
      </c>
      <c r="R28" s="53"/>
      <c r="S28" s="53" t="s">
        <v>46</v>
      </c>
      <c r="T28" s="49" t="n">
        <v>82</v>
      </c>
      <c r="U28" s="50" t="n">
        <f aca="false">AVERAGEA(V28, T28)</f>
        <v>86.6</v>
      </c>
      <c r="V28" s="51" t="n">
        <v>91.2</v>
      </c>
      <c r="W28" s="78" t="n">
        <v>50</v>
      </c>
      <c r="X28" s="53" t="n">
        <f aca="false">AVERAGEA(Y28, W28)</f>
        <v>35</v>
      </c>
      <c r="Y28" s="54" t="n">
        <v>20</v>
      </c>
      <c r="Z28" s="49" t="n">
        <v>0.66</v>
      </c>
      <c r="AA28" s="50" t="n">
        <f aca="false">AVERAGEA(AB28, Z28)</f>
        <v>4.33</v>
      </c>
      <c r="AB28" s="57" t="n">
        <v>8</v>
      </c>
      <c r="AC28" s="78" t="n">
        <v>0.66</v>
      </c>
      <c r="AD28" s="53" t="n">
        <f aca="false">AVERAGEA(AE28, AC28)</f>
        <v>3.33</v>
      </c>
      <c r="AE28" s="54" t="n">
        <v>6</v>
      </c>
      <c r="AF28" s="49" t="n">
        <v>3</v>
      </c>
      <c r="AG28" s="50" t="n">
        <f aca="false">AVERAGEA(AH28, AF28)</f>
        <v>6.5</v>
      </c>
      <c r="AH28" s="51" t="n">
        <v>10</v>
      </c>
      <c r="AI28" s="84" t="n">
        <v>2</v>
      </c>
      <c r="AJ28" s="77" t="n">
        <f aca="false">AVERAGEA(AK28, AI28)</f>
        <v>8.5</v>
      </c>
      <c r="AK28" s="51" t="n">
        <v>15</v>
      </c>
      <c r="AL28" s="73" t="n">
        <v>715</v>
      </c>
      <c r="AM28" s="53" t="n">
        <f aca="false">AVERAGEA(AN28, AL28)</f>
        <v>1530.5</v>
      </c>
      <c r="AN28" s="54" t="n">
        <v>2346</v>
      </c>
      <c r="AO28" s="49" t="n">
        <v>14.7</v>
      </c>
      <c r="AP28" s="50" t="n">
        <f aca="false">AVERAGEA(AQ28, AO28)</f>
        <v>28.85</v>
      </c>
      <c r="AQ28" s="51" t="n">
        <v>43</v>
      </c>
      <c r="AR28" s="78" t="n">
        <v>2</v>
      </c>
      <c r="AS28" s="53" t="n">
        <f aca="false">AVERAGEA(AT28, AR28)</f>
        <v>4</v>
      </c>
      <c r="AT28" s="54" t="n">
        <v>6</v>
      </c>
      <c r="AU28" s="49" t="n">
        <v>3.56</v>
      </c>
      <c r="AV28" s="50" t="n">
        <f aca="false">AVERAGE(AU28,AW28)</f>
        <v>22.03</v>
      </c>
      <c r="AW28" s="51" t="n">
        <v>40.5</v>
      </c>
      <c r="AX28" s="79" t="n">
        <v>5.7</v>
      </c>
      <c r="AY28" s="53" t="n">
        <f aca="false">AVERAGE(AX28,AZ28)</f>
        <v>26.85</v>
      </c>
      <c r="AZ28" s="54" t="n">
        <v>48</v>
      </c>
      <c r="BA28" s="49" t="n">
        <v>6.2</v>
      </c>
      <c r="BB28" s="50" t="n">
        <f aca="false">AVERAGE(BA28,BC28)</f>
        <v>42.1</v>
      </c>
      <c r="BC28" s="51" t="n">
        <v>78</v>
      </c>
      <c r="BD28" s="78" t="n">
        <v>1.3</v>
      </c>
      <c r="BE28" s="53" t="n">
        <f aca="false">AVERAGEA(BF28, BD28)</f>
        <v>1.55</v>
      </c>
      <c r="BF28" s="54" t="n">
        <v>1.8</v>
      </c>
      <c r="BG28" s="49" t="n">
        <v>60</v>
      </c>
      <c r="BH28" s="50" t="n">
        <f aca="false">AVERAGEA(BG28,BI28)</f>
        <v>180</v>
      </c>
      <c r="BI28" s="51" t="n">
        <v>300</v>
      </c>
      <c r="BJ28" s="79" t="n">
        <v>2</v>
      </c>
      <c r="BK28" s="53" t="n">
        <f aca="false">AVERAGEA(BJ28,BL28)</f>
        <v>5</v>
      </c>
      <c r="BL28" s="54" t="n">
        <v>8</v>
      </c>
      <c r="BM28" s="49" t="n">
        <v>4</v>
      </c>
      <c r="BN28" s="50" t="n">
        <f aca="false">AVERAGEA(BM28,BO28)</f>
        <v>8</v>
      </c>
      <c r="BO28" s="51" t="n">
        <v>12</v>
      </c>
    </row>
    <row r="29" customFormat="false" ht="15" hidden="false" customHeight="true" outlineLevel="0" collapsed="false">
      <c r="B29" s="40"/>
      <c r="C29" s="41" t="s">
        <v>52</v>
      </c>
      <c r="D29" s="86" t="s">
        <v>54</v>
      </c>
      <c r="E29" s="80" t="s">
        <v>44</v>
      </c>
      <c r="F29" s="44" t="s">
        <v>45</v>
      </c>
      <c r="G29" s="81"/>
      <c r="H29" s="82" t="n">
        <v>42.4438920890965</v>
      </c>
      <c r="I29" s="71" t="n">
        <f aca="false">AVERAGE(H29,J29)</f>
        <v>43.7103512831725</v>
      </c>
      <c r="J29" s="83" t="n">
        <v>44.9768104772485</v>
      </c>
      <c r="K29" s="49" t="s">
        <v>46</v>
      </c>
      <c r="L29" s="50"/>
      <c r="M29" s="51" t="s">
        <v>46</v>
      </c>
      <c r="N29" s="52" t="s">
        <v>46</v>
      </c>
      <c r="O29" s="53"/>
      <c r="P29" s="54" t="s">
        <v>46</v>
      </c>
      <c r="Q29" s="52" t="s">
        <v>46</v>
      </c>
      <c r="R29" s="53"/>
      <c r="S29" s="53" t="s">
        <v>46</v>
      </c>
      <c r="T29" s="49" t="n">
        <v>82</v>
      </c>
      <c r="U29" s="50" t="n">
        <f aca="false">AVERAGEA(V29, T29)</f>
        <v>86.6</v>
      </c>
      <c r="V29" s="51" t="n">
        <v>91.2</v>
      </c>
      <c r="W29" s="78" t="n">
        <v>50</v>
      </c>
      <c r="X29" s="53" t="n">
        <f aca="false">AVERAGEA(Y29, W29)</f>
        <v>35</v>
      </c>
      <c r="Y29" s="54" t="n">
        <v>20</v>
      </c>
      <c r="Z29" s="49" t="n">
        <v>0.66</v>
      </c>
      <c r="AA29" s="50" t="n">
        <f aca="false">AVERAGEA(AB29, Z29)</f>
        <v>4.33</v>
      </c>
      <c r="AB29" s="57" t="n">
        <v>8</v>
      </c>
      <c r="AC29" s="78" t="n">
        <v>0.66</v>
      </c>
      <c r="AD29" s="53" t="n">
        <f aca="false">AVERAGEA(AE29, AC29)</f>
        <v>3.33</v>
      </c>
      <c r="AE29" s="54" t="n">
        <v>6</v>
      </c>
      <c r="AF29" s="49" t="n">
        <v>3</v>
      </c>
      <c r="AG29" s="50" t="n">
        <f aca="false">AVERAGEA(AH29, AF29)</f>
        <v>6.5</v>
      </c>
      <c r="AH29" s="51" t="n">
        <v>10</v>
      </c>
      <c r="AI29" s="84" t="n">
        <v>1.5</v>
      </c>
      <c r="AJ29" s="77" t="n">
        <f aca="false">AVERAGEA(AK29, AI29)</f>
        <v>2.25</v>
      </c>
      <c r="AK29" s="51" t="n">
        <v>3</v>
      </c>
      <c r="AL29" s="73" t="n">
        <v>715</v>
      </c>
      <c r="AM29" s="53" t="n">
        <f aca="false">AVERAGEA(AN29, AL29)</f>
        <v>1530.5</v>
      </c>
      <c r="AN29" s="87" t="n">
        <v>2346</v>
      </c>
      <c r="AO29" s="49" t="n">
        <v>15.4</v>
      </c>
      <c r="AP29" s="50" t="n">
        <f aca="false">AVERAGEA(AQ29, AO29)</f>
        <v>37.2</v>
      </c>
      <c r="AQ29" s="51" t="n">
        <v>59</v>
      </c>
      <c r="AR29" s="78" t="n">
        <v>3</v>
      </c>
      <c r="AS29" s="53" t="n">
        <f aca="false">AVERAGEA(AT29, AR29)</f>
        <v>4.315</v>
      </c>
      <c r="AT29" s="54" t="n">
        <v>5.63</v>
      </c>
      <c r="AU29" s="49" t="n">
        <v>3.56</v>
      </c>
      <c r="AV29" s="50" t="n">
        <f aca="false">AVERAGE(AU29,AW29)</f>
        <v>22.03</v>
      </c>
      <c r="AW29" s="51" t="n">
        <v>40.5</v>
      </c>
      <c r="AX29" s="79" t="n">
        <v>5.7</v>
      </c>
      <c r="AY29" s="53" t="n">
        <f aca="false">AVERAGE(AX29,AZ29)</f>
        <v>26.85</v>
      </c>
      <c r="AZ29" s="54" t="n">
        <v>48</v>
      </c>
      <c r="BA29" s="49" t="n">
        <v>6.2</v>
      </c>
      <c r="BB29" s="50" t="n">
        <f aca="false">AVERAGE(BA29,BC29)</f>
        <v>42.1</v>
      </c>
      <c r="BC29" s="51" t="n">
        <v>78</v>
      </c>
      <c r="BD29" s="78" t="n">
        <v>1.8</v>
      </c>
      <c r="BE29" s="53" t="n">
        <f aca="false">AVERAGEA(BF29, BD29)</f>
        <v>1.8</v>
      </c>
      <c r="BF29" s="54" t="n">
        <v>1.8</v>
      </c>
      <c r="BG29" s="49" t="n">
        <v>60</v>
      </c>
      <c r="BH29" s="50" t="n">
        <f aca="false">AVERAGEA(BG29,BI29)</f>
        <v>180</v>
      </c>
      <c r="BI29" s="51" t="n">
        <v>300</v>
      </c>
      <c r="BJ29" s="79" t="n">
        <v>2</v>
      </c>
      <c r="BK29" s="53" t="n">
        <f aca="false">AVERAGEA(BJ29,BL29)</f>
        <v>5</v>
      </c>
      <c r="BL29" s="54" t="n">
        <v>8</v>
      </c>
      <c r="BM29" s="49" t="n">
        <v>4</v>
      </c>
      <c r="BN29" s="50" t="n">
        <f aca="false">AVERAGEA(BM29,BO29)</f>
        <v>8</v>
      </c>
      <c r="BO29" s="51" t="n">
        <v>12</v>
      </c>
    </row>
    <row r="30" customFormat="false" ht="15" hidden="false" customHeight="true" outlineLevel="0" collapsed="false">
      <c r="B30" s="40"/>
      <c r="C30" s="41"/>
      <c r="D30" s="86"/>
      <c r="E30" s="80"/>
      <c r="F30" s="44" t="s">
        <v>47</v>
      </c>
      <c r="G30" s="81"/>
      <c r="H30" s="82" t="n">
        <v>39.380298698555</v>
      </c>
      <c r="I30" s="71" t="n">
        <f aca="false">AVERAGE(H30,J30)</f>
        <v>40.9081861643812</v>
      </c>
      <c r="J30" s="83" t="n">
        <v>42.4360736302074</v>
      </c>
      <c r="K30" s="49" t="s">
        <v>46</v>
      </c>
      <c r="L30" s="50"/>
      <c r="M30" s="51" t="s">
        <v>46</v>
      </c>
      <c r="N30" s="52" t="s">
        <v>46</v>
      </c>
      <c r="O30" s="53"/>
      <c r="P30" s="54" t="s">
        <v>46</v>
      </c>
      <c r="Q30" s="52" t="s">
        <v>46</v>
      </c>
      <c r="R30" s="53"/>
      <c r="S30" s="53" t="s">
        <v>46</v>
      </c>
      <c r="T30" s="49" t="n">
        <v>82</v>
      </c>
      <c r="U30" s="50" t="n">
        <f aca="false">AVERAGEA(V30, T30)</f>
        <v>86.6</v>
      </c>
      <c r="V30" s="51" t="n">
        <v>91.2</v>
      </c>
      <c r="W30" s="78" t="n">
        <v>50</v>
      </c>
      <c r="X30" s="53" t="n">
        <f aca="false">AVERAGEA(Y30, W30)</f>
        <v>35</v>
      </c>
      <c r="Y30" s="54" t="n">
        <v>20</v>
      </c>
      <c r="Z30" s="49" t="n">
        <v>0.66</v>
      </c>
      <c r="AA30" s="50" t="n">
        <f aca="false">AVERAGEA(AB30, Z30)</f>
        <v>4.33</v>
      </c>
      <c r="AB30" s="57" t="n">
        <v>8</v>
      </c>
      <c r="AC30" s="78" t="n">
        <v>0.66</v>
      </c>
      <c r="AD30" s="53" t="n">
        <f aca="false">AVERAGEA(AE30, AC30)</f>
        <v>3.33</v>
      </c>
      <c r="AE30" s="54" t="n">
        <v>6</v>
      </c>
      <c r="AF30" s="49" t="n">
        <v>3</v>
      </c>
      <c r="AG30" s="50" t="n">
        <f aca="false">AVERAGEA(AH30, AF30)</f>
        <v>6.5</v>
      </c>
      <c r="AH30" s="51" t="n">
        <v>10</v>
      </c>
      <c r="AI30" s="84" t="n">
        <v>1.5</v>
      </c>
      <c r="AJ30" s="77" t="n">
        <f aca="false">AVERAGEA(AK30, AI30)</f>
        <v>2.25</v>
      </c>
      <c r="AK30" s="51" t="n">
        <v>3</v>
      </c>
      <c r="AL30" s="73" t="n">
        <v>715</v>
      </c>
      <c r="AM30" s="53" t="n">
        <f aca="false">AVERAGEA(AN30, AL30)</f>
        <v>1530.5</v>
      </c>
      <c r="AN30" s="87" t="n">
        <v>2346</v>
      </c>
      <c r="AO30" s="49" t="n">
        <v>15.4</v>
      </c>
      <c r="AP30" s="50" t="n">
        <f aca="false">AVERAGEA(AQ30, AO30)</f>
        <v>37.2</v>
      </c>
      <c r="AQ30" s="51" t="n">
        <v>59</v>
      </c>
      <c r="AR30" s="78" t="n">
        <v>3</v>
      </c>
      <c r="AS30" s="53" t="n">
        <f aca="false">AVERAGEA(AT30, AR30)</f>
        <v>4.315</v>
      </c>
      <c r="AT30" s="54" t="n">
        <v>5.63</v>
      </c>
      <c r="AU30" s="49" t="n">
        <v>3.56</v>
      </c>
      <c r="AV30" s="50" t="n">
        <f aca="false">AVERAGE(AU30,AW30)</f>
        <v>22.03</v>
      </c>
      <c r="AW30" s="51" t="n">
        <v>40.5</v>
      </c>
      <c r="AX30" s="79" t="n">
        <v>5.7</v>
      </c>
      <c r="AY30" s="53" t="n">
        <f aca="false">AVERAGE(AX30,AZ30)</f>
        <v>26.85</v>
      </c>
      <c r="AZ30" s="54" t="n">
        <v>48</v>
      </c>
      <c r="BA30" s="49" t="n">
        <v>6.2</v>
      </c>
      <c r="BB30" s="50" t="n">
        <f aca="false">AVERAGE(BA30,BC30)</f>
        <v>42.1</v>
      </c>
      <c r="BC30" s="51" t="n">
        <v>78</v>
      </c>
      <c r="BD30" s="78" t="n">
        <v>1.8</v>
      </c>
      <c r="BE30" s="53" t="n">
        <f aca="false">AVERAGEA(BF30, BD30)</f>
        <v>1.8</v>
      </c>
      <c r="BF30" s="54" t="n">
        <v>1.8</v>
      </c>
      <c r="BG30" s="49" t="n">
        <v>60</v>
      </c>
      <c r="BH30" s="50" t="n">
        <f aca="false">AVERAGEA(BG30,BI30)</f>
        <v>180</v>
      </c>
      <c r="BI30" s="51" t="n">
        <v>300</v>
      </c>
      <c r="BJ30" s="79" t="n">
        <v>2</v>
      </c>
      <c r="BK30" s="53" t="n">
        <f aca="false">AVERAGEA(BJ30,BL30)</f>
        <v>5</v>
      </c>
      <c r="BL30" s="54" t="n">
        <v>8</v>
      </c>
      <c r="BM30" s="49" t="n">
        <v>4</v>
      </c>
      <c r="BN30" s="50" t="n">
        <f aca="false">AVERAGEA(BM30,BO30)</f>
        <v>8</v>
      </c>
      <c r="BO30" s="51" t="n">
        <v>12</v>
      </c>
    </row>
    <row r="31" customFormat="false" ht="15" hidden="false" customHeight="true" outlineLevel="0" collapsed="false">
      <c r="B31" s="40"/>
      <c r="C31" s="41"/>
      <c r="D31" s="86"/>
      <c r="E31" s="80"/>
      <c r="F31" s="44" t="s">
        <v>48</v>
      </c>
      <c r="G31" s="81"/>
      <c r="H31" s="82" t="n">
        <v>30.023210739656</v>
      </c>
      <c r="I31" s="71" t="n">
        <f aca="false">AVERAGE(H31,J31)</f>
        <v>34.6913082831814</v>
      </c>
      <c r="J31" s="83" t="n">
        <v>39.3594058267068</v>
      </c>
      <c r="K31" s="49" t="s">
        <v>46</v>
      </c>
      <c r="L31" s="50"/>
      <c r="M31" s="51" t="s">
        <v>46</v>
      </c>
      <c r="N31" s="52" t="s">
        <v>46</v>
      </c>
      <c r="O31" s="53"/>
      <c r="P31" s="54" t="s">
        <v>46</v>
      </c>
      <c r="Q31" s="52" t="s">
        <v>46</v>
      </c>
      <c r="R31" s="53"/>
      <c r="S31" s="53" t="s">
        <v>46</v>
      </c>
      <c r="T31" s="49" t="n">
        <v>82</v>
      </c>
      <c r="U31" s="50" t="n">
        <f aca="false">AVERAGEA(V31, T31)</f>
        <v>86.6</v>
      </c>
      <c r="V31" s="51" t="n">
        <v>91.2</v>
      </c>
      <c r="W31" s="78" t="n">
        <v>50</v>
      </c>
      <c r="X31" s="53" t="n">
        <f aca="false">AVERAGEA(Y31, W31)</f>
        <v>35</v>
      </c>
      <c r="Y31" s="54" t="n">
        <v>20</v>
      </c>
      <c r="Z31" s="49" t="n">
        <v>0.66</v>
      </c>
      <c r="AA31" s="50" t="n">
        <f aca="false">AVERAGEA(AB31, Z31)</f>
        <v>4.33</v>
      </c>
      <c r="AB31" s="57" t="n">
        <v>8</v>
      </c>
      <c r="AC31" s="78" t="n">
        <v>0.66</v>
      </c>
      <c r="AD31" s="53" t="n">
        <f aca="false">AVERAGEA(AE31, AC31)</f>
        <v>3.33</v>
      </c>
      <c r="AE31" s="54" t="n">
        <v>6</v>
      </c>
      <c r="AF31" s="49" t="n">
        <v>3</v>
      </c>
      <c r="AG31" s="50" t="n">
        <f aca="false">AVERAGEA(AH31, AF31)</f>
        <v>6.5</v>
      </c>
      <c r="AH31" s="51" t="n">
        <v>10</v>
      </c>
      <c r="AI31" s="84" t="n">
        <v>1.5</v>
      </c>
      <c r="AJ31" s="77" t="n">
        <f aca="false">AVERAGEA(AK31, AI31)</f>
        <v>2.25</v>
      </c>
      <c r="AK31" s="51" t="n">
        <v>3</v>
      </c>
      <c r="AL31" s="73" t="n">
        <v>715</v>
      </c>
      <c r="AM31" s="53" t="n">
        <f aca="false">AVERAGEA(AN31, AL31)</f>
        <v>1530.5</v>
      </c>
      <c r="AN31" s="87" t="n">
        <v>2346</v>
      </c>
      <c r="AO31" s="49" t="n">
        <v>15.4</v>
      </c>
      <c r="AP31" s="50" t="n">
        <f aca="false">AVERAGEA(AQ31, AO31)</f>
        <v>37.2</v>
      </c>
      <c r="AQ31" s="51" t="n">
        <v>59</v>
      </c>
      <c r="AR31" s="78" t="n">
        <v>3</v>
      </c>
      <c r="AS31" s="53" t="n">
        <f aca="false">AVERAGEA(AT31, AR31)</f>
        <v>4.315</v>
      </c>
      <c r="AT31" s="54" t="n">
        <v>5.63</v>
      </c>
      <c r="AU31" s="49" t="n">
        <v>3.56</v>
      </c>
      <c r="AV31" s="50" t="n">
        <f aca="false">AVERAGE(AU31,AW31)</f>
        <v>22.03</v>
      </c>
      <c r="AW31" s="51" t="n">
        <v>40.5</v>
      </c>
      <c r="AX31" s="79" t="n">
        <v>5.7</v>
      </c>
      <c r="AY31" s="53" t="n">
        <f aca="false">AVERAGE(AX31,AZ31)</f>
        <v>26.85</v>
      </c>
      <c r="AZ31" s="54" t="n">
        <v>48</v>
      </c>
      <c r="BA31" s="49" t="n">
        <v>6.2</v>
      </c>
      <c r="BB31" s="50" t="n">
        <f aca="false">AVERAGE(BA31,BC31)</f>
        <v>42.1</v>
      </c>
      <c r="BC31" s="51" t="n">
        <v>78</v>
      </c>
      <c r="BD31" s="78" t="n">
        <v>1.8</v>
      </c>
      <c r="BE31" s="53" t="n">
        <f aca="false">AVERAGEA(BF31, BD31)</f>
        <v>1.8</v>
      </c>
      <c r="BF31" s="54" t="n">
        <v>1.8</v>
      </c>
      <c r="BG31" s="49" t="n">
        <v>60</v>
      </c>
      <c r="BH31" s="50" t="n">
        <f aca="false">AVERAGEA(BG31,BI31)</f>
        <v>180</v>
      </c>
      <c r="BI31" s="51" t="n">
        <v>300</v>
      </c>
      <c r="BJ31" s="79" t="n">
        <v>2</v>
      </c>
      <c r="BK31" s="53" t="n">
        <f aca="false">AVERAGEA(BJ31,BL31)</f>
        <v>5</v>
      </c>
      <c r="BL31" s="54" t="n">
        <v>8</v>
      </c>
      <c r="BM31" s="49" t="n">
        <v>4</v>
      </c>
      <c r="BN31" s="50" t="n">
        <f aca="false">AVERAGEA(BM31,BO31)</f>
        <v>8</v>
      </c>
      <c r="BO31" s="51" t="n">
        <v>12</v>
      </c>
    </row>
    <row r="32" customFormat="false" ht="15" hidden="false" customHeight="true" outlineLevel="0" collapsed="false">
      <c r="B32" s="40"/>
      <c r="C32" s="41"/>
      <c r="D32" s="86"/>
      <c r="E32" s="80"/>
      <c r="F32" s="44" t="s">
        <v>49</v>
      </c>
      <c r="G32" s="81"/>
      <c r="H32" s="82" t="n">
        <v>23.7297161712986</v>
      </c>
      <c r="I32" s="71" t="n">
        <f aca="false">AVERAGE(H32,J32)</f>
        <v>26.8555002367293</v>
      </c>
      <c r="J32" s="83" t="n">
        <v>29.98128430216</v>
      </c>
      <c r="K32" s="49" t="s">
        <v>46</v>
      </c>
      <c r="L32" s="50"/>
      <c r="M32" s="51" t="s">
        <v>46</v>
      </c>
      <c r="N32" s="52" t="s">
        <v>46</v>
      </c>
      <c r="O32" s="53"/>
      <c r="P32" s="54" t="s">
        <v>46</v>
      </c>
      <c r="Q32" s="52" t="s">
        <v>46</v>
      </c>
      <c r="R32" s="53"/>
      <c r="S32" s="53" t="s">
        <v>46</v>
      </c>
      <c r="T32" s="49" t="n">
        <v>82</v>
      </c>
      <c r="U32" s="50" t="n">
        <f aca="false">AVERAGEA(V32, T32)</f>
        <v>86.6</v>
      </c>
      <c r="V32" s="51" t="n">
        <v>91.2</v>
      </c>
      <c r="W32" s="78" t="n">
        <v>50</v>
      </c>
      <c r="X32" s="53" t="n">
        <f aca="false">AVERAGEA(Y32, W32)</f>
        <v>35</v>
      </c>
      <c r="Y32" s="54" t="n">
        <v>20</v>
      </c>
      <c r="Z32" s="49" t="n">
        <v>0.66</v>
      </c>
      <c r="AA32" s="50" t="n">
        <f aca="false">AVERAGEA(AB32, Z32)</f>
        <v>4.33</v>
      </c>
      <c r="AB32" s="57" t="n">
        <v>8</v>
      </c>
      <c r="AC32" s="78" t="n">
        <v>0.66</v>
      </c>
      <c r="AD32" s="53" t="n">
        <f aca="false">AVERAGEA(AE32, AC32)</f>
        <v>3.33</v>
      </c>
      <c r="AE32" s="54" t="n">
        <v>6</v>
      </c>
      <c r="AF32" s="49" t="n">
        <v>3</v>
      </c>
      <c r="AG32" s="50" t="n">
        <f aca="false">AVERAGEA(AH32, AF32)</f>
        <v>6.5</v>
      </c>
      <c r="AH32" s="51" t="n">
        <v>10</v>
      </c>
      <c r="AI32" s="84" t="n">
        <v>1.5</v>
      </c>
      <c r="AJ32" s="77" t="n">
        <f aca="false">AVERAGEA(AK32, AI32)</f>
        <v>2.25</v>
      </c>
      <c r="AK32" s="51" t="n">
        <v>3</v>
      </c>
      <c r="AL32" s="73" t="n">
        <v>715</v>
      </c>
      <c r="AM32" s="53" t="n">
        <f aca="false">AVERAGEA(AN32, AL32)</f>
        <v>1530.5</v>
      </c>
      <c r="AN32" s="87" t="n">
        <v>2346</v>
      </c>
      <c r="AO32" s="49" t="n">
        <v>15.4</v>
      </c>
      <c r="AP32" s="50" t="n">
        <f aca="false">AVERAGEA(AQ32, AO32)</f>
        <v>37.2</v>
      </c>
      <c r="AQ32" s="51" t="n">
        <v>59</v>
      </c>
      <c r="AR32" s="78" t="n">
        <v>3</v>
      </c>
      <c r="AS32" s="53" t="n">
        <f aca="false">AVERAGEA(AT32, AR32)</f>
        <v>4.315</v>
      </c>
      <c r="AT32" s="54" t="n">
        <v>5.63</v>
      </c>
      <c r="AU32" s="49" t="n">
        <v>3.56</v>
      </c>
      <c r="AV32" s="50" t="n">
        <f aca="false">AVERAGE(AU32,AW32)</f>
        <v>22.03</v>
      </c>
      <c r="AW32" s="51" t="n">
        <v>40.5</v>
      </c>
      <c r="AX32" s="79" t="n">
        <v>5.7</v>
      </c>
      <c r="AY32" s="53" t="n">
        <f aca="false">AVERAGE(AX32,AZ32)</f>
        <v>26.85</v>
      </c>
      <c r="AZ32" s="54" t="n">
        <v>48</v>
      </c>
      <c r="BA32" s="49" t="n">
        <v>6.2</v>
      </c>
      <c r="BB32" s="50" t="n">
        <f aca="false">AVERAGE(BA32,BC32)</f>
        <v>42.1</v>
      </c>
      <c r="BC32" s="51" t="n">
        <v>78</v>
      </c>
      <c r="BD32" s="78" t="n">
        <v>1.8</v>
      </c>
      <c r="BE32" s="53" t="n">
        <f aca="false">AVERAGEA(BF32, BD32)</f>
        <v>1.8</v>
      </c>
      <c r="BF32" s="54" t="n">
        <v>1.8</v>
      </c>
      <c r="BG32" s="49" t="n">
        <v>60</v>
      </c>
      <c r="BH32" s="50" t="n">
        <f aca="false">AVERAGEA(BG32,BI32)</f>
        <v>180</v>
      </c>
      <c r="BI32" s="51" t="n">
        <v>300</v>
      </c>
      <c r="BJ32" s="79" t="n">
        <v>2</v>
      </c>
      <c r="BK32" s="53" t="n">
        <f aca="false">AVERAGEA(BJ32,BL32)</f>
        <v>5</v>
      </c>
      <c r="BL32" s="54" t="n">
        <v>8</v>
      </c>
      <c r="BM32" s="49" t="n">
        <v>4</v>
      </c>
      <c r="BN32" s="50" t="n">
        <f aca="false">AVERAGEA(BM32,BO32)</f>
        <v>8</v>
      </c>
      <c r="BO32" s="51" t="n">
        <v>12</v>
      </c>
    </row>
    <row r="33" customFormat="false" ht="15" hidden="false" customHeight="true" outlineLevel="0" collapsed="false">
      <c r="B33" s="40"/>
      <c r="C33" s="41"/>
      <c r="D33" s="86"/>
      <c r="E33" s="88" t="s">
        <v>55</v>
      </c>
      <c r="F33" s="44" t="s">
        <v>45</v>
      </c>
      <c r="G33" s="81"/>
      <c r="H33" s="82" t="n">
        <v>41.9217691924903</v>
      </c>
      <c r="I33" s="71" t="n">
        <f aca="false">AVERAGE(H33,J33)</f>
        <v>43.1726490579445</v>
      </c>
      <c r="J33" s="83" t="n">
        <v>44.4235289233987</v>
      </c>
      <c r="K33" s="49" t="s">
        <v>46</v>
      </c>
      <c r="L33" s="50"/>
      <c r="M33" s="51" t="s">
        <v>46</v>
      </c>
      <c r="N33" s="52" t="s">
        <v>46</v>
      </c>
      <c r="O33" s="53"/>
      <c r="P33" s="54" t="s">
        <v>46</v>
      </c>
      <c r="Q33" s="52" t="s">
        <v>46</v>
      </c>
      <c r="R33" s="53"/>
      <c r="S33" s="53" t="s">
        <v>46</v>
      </c>
      <c r="T33" s="49" t="n">
        <v>82</v>
      </c>
      <c r="U33" s="50" t="n">
        <f aca="false">AVERAGEA(V33, T33)</f>
        <v>86.6</v>
      </c>
      <c r="V33" s="51" t="n">
        <v>91.2</v>
      </c>
      <c r="W33" s="78" t="n">
        <v>50</v>
      </c>
      <c r="X33" s="53" t="n">
        <f aca="false">AVERAGEA(Y33, W33)</f>
        <v>35</v>
      </c>
      <c r="Y33" s="54" t="n">
        <v>20</v>
      </c>
      <c r="Z33" s="49" t="n">
        <v>0.66</v>
      </c>
      <c r="AA33" s="50" t="n">
        <f aca="false">AVERAGEA(AB33, Z33)</f>
        <v>4.33</v>
      </c>
      <c r="AB33" s="57" t="n">
        <v>8</v>
      </c>
      <c r="AC33" s="78" t="n">
        <v>0.66</v>
      </c>
      <c r="AD33" s="53" t="n">
        <f aca="false">AVERAGEA(AE33, AC33)</f>
        <v>3.33</v>
      </c>
      <c r="AE33" s="54" t="n">
        <v>6</v>
      </c>
      <c r="AF33" s="49" t="n">
        <v>3</v>
      </c>
      <c r="AG33" s="50" t="n">
        <f aca="false">AVERAGEA(AH33, AF33)</f>
        <v>6.5</v>
      </c>
      <c r="AH33" s="51" t="n">
        <v>10</v>
      </c>
      <c r="AI33" s="84" t="n">
        <v>1.5</v>
      </c>
      <c r="AJ33" s="77" t="n">
        <f aca="false">AVERAGEA(AK33, AI33)</f>
        <v>2.25</v>
      </c>
      <c r="AK33" s="51" t="n">
        <v>3</v>
      </c>
      <c r="AL33" s="73" t="n">
        <v>715</v>
      </c>
      <c r="AM33" s="53" t="n">
        <f aca="false">AVERAGEA(AN33, AL33)</f>
        <v>1530.5</v>
      </c>
      <c r="AN33" s="87" t="n">
        <v>2346</v>
      </c>
      <c r="AO33" s="49" t="n">
        <v>15.4</v>
      </c>
      <c r="AP33" s="50" t="n">
        <f aca="false">AVERAGEA(AQ33, AO33)</f>
        <v>37.2</v>
      </c>
      <c r="AQ33" s="51" t="n">
        <v>59</v>
      </c>
      <c r="AR33" s="78" t="n">
        <v>3</v>
      </c>
      <c r="AS33" s="53" t="n">
        <f aca="false">AVERAGEA(AT33, AR33)</f>
        <v>4.315</v>
      </c>
      <c r="AT33" s="54" t="n">
        <v>5.63</v>
      </c>
      <c r="AU33" s="49" t="n">
        <v>3.56</v>
      </c>
      <c r="AV33" s="50" t="n">
        <f aca="false">AVERAGE(AU33,AW33)</f>
        <v>22.03</v>
      </c>
      <c r="AW33" s="51" t="n">
        <v>40.5</v>
      </c>
      <c r="AX33" s="79" t="n">
        <v>5.7</v>
      </c>
      <c r="AY33" s="53" t="n">
        <f aca="false">AVERAGE(AX33,AZ33)</f>
        <v>26.85</v>
      </c>
      <c r="AZ33" s="54" t="n">
        <v>48</v>
      </c>
      <c r="BA33" s="49" t="n">
        <v>6.2</v>
      </c>
      <c r="BB33" s="50" t="n">
        <f aca="false">AVERAGE(BA33,BC33)</f>
        <v>42.1</v>
      </c>
      <c r="BC33" s="51" t="n">
        <v>78</v>
      </c>
      <c r="BD33" s="78" t="n">
        <v>1.8</v>
      </c>
      <c r="BE33" s="53" t="n">
        <f aca="false">AVERAGEA(BF33, BD33)</f>
        <v>1.8</v>
      </c>
      <c r="BF33" s="54" t="n">
        <v>1.8</v>
      </c>
      <c r="BG33" s="49" t="n">
        <v>60</v>
      </c>
      <c r="BH33" s="50" t="n">
        <f aca="false">AVERAGEA(BG33,BI33)</f>
        <v>180</v>
      </c>
      <c r="BI33" s="51" t="n">
        <v>300</v>
      </c>
      <c r="BJ33" s="79" t="n">
        <v>2</v>
      </c>
      <c r="BK33" s="53" t="n">
        <f aca="false">AVERAGEA(BJ33,BL33)</f>
        <v>5</v>
      </c>
      <c r="BL33" s="54" t="n">
        <v>8</v>
      </c>
      <c r="BM33" s="49" t="n">
        <v>4</v>
      </c>
      <c r="BN33" s="50" t="n">
        <f aca="false">AVERAGEA(BM33,BO33)</f>
        <v>8</v>
      </c>
      <c r="BO33" s="51" t="n">
        <v>12</v>
      </c>
    </row>
    <row r="34" customFormat="false" ht="15" hidden="false" customHeight="true" outlineLevel="0" collapsed="false">
      <c r="B34" s="40"/>
      <c r="C34" s="41"/>
      <c r="D34" s="86"/>
      <c r="E34" s="88"/>
      <c r="F34" s="44" t="s">
        <v>47</v>
      </c>
      <c r="G34" s="81"/>
      <c r="H34" s="82" t="n">
        <v>38.8958625497083</v>
      </c>
      <c r="I34" s="71" t="n">
        <f aca="false">AVERAGE(H34,J34)</f>
        <v>40.4049547309817</v>
      </c>
      <c r="J34" s="83" t="n">
        <v>41.914046912255</v>
      </c>
      <c r="K34" s="49" t="s">
        <v>46</v>
      </c>
      <c r="L34" s="50"/>
      <c r="M34" s="51" t="s">
        <v>46</v>
      </c>
      <c r="N34" s="52" t="s">
        <v>46</v>
      </c>
      <c r="O34" s="53"/>
      <c r="P34" s="54" t="s">
        <v>46</v>
      </c>
      <c r="Q34" s="52" t="s">
        <v>46</v>
      </c>
      <c r="R34" s="53"/>
      <c r="S34" s="53" t="s">
        <v>46</v>
      </c>
      <c r="T34" s="49" t="n">
        <v>82</v>
      </c>
      <c r="U34" s="50" t="n">
        <f aca="false">AVERAGEA(V34, T34)</f>
        <v>86.6</v>
      </c>
      <c r="V34" s="51" t="n">
        <v>91.2</v>
      </c>
      <c r="W34" s="78" t="n">
        <v>50</v>
      </c>
      <c r="X34" s="53" t="n">
        <f aca="false">AVERAGEA(Y34, W34)</f>
        <v>35</v>
      </c>
      <c r="Y34" s="54" t="n">
        <v>20</v>
      </c>
      <c r="Z34" s="49" t="n">
        <v>0.66</v>
      </c>
      <c r="AA34" s="50" t="n">
        <f aca="false">AVERAGEA(AB34, Z34)</f>
        <v>4.33</v>
      </c>
      <c r="AB34" s="57" t="n">
        <v>8</v>
      </c>
      <c r="AC34" s="78" t="n">
        <v>0.66</v>
      </c>
      <c r="AD34" s="53" t="n">
        <f aca="false">AVERAGEA(AE34, AC34)</f>
        <v>3.33</v>
      </c>
      <c r="AE34" s="54" t="n">
        <v>6</v>
      </c>
      <c r="AF34" s="49" t="n">
        <v>3</v>
      </c>
      <c r="AG34" s="50" t="n">
        <f aca="false">AVERAGEA(AH34, AF34)</f>
        <v>6.5</v>
      </c>
      <c r="AH34" s="51" t="n">
        <v>10</v>
      </c>
      <c r="AI34" s="84" t="n">
        <v>1.5</v>
      </c>
      <c r="AJ34" s="77" t="n">
        <f aca="false">AVERAGEA(AK34, AI34)</f>
        <v>2.25</v>
      </c>
      <c r="AK34" s="51" t="n">
        <v>3</v>
      </c>
      <c r="AL34" s="73" t="n">
        <v>715</v>
      </c>
      <c r="AM34" s="53" t="n">
        <f aca="false">AVERAGEA(AN34, AL34)</f>
        <v>1530.5</v>
      </c>
      <c r="AN34" s="87" t="n">
        <v>2346</v>
      </c>
      <c r="AO34" s="49" t="n">
        <v>15.4</v>
      </c>
      <c r="AP34" s="50" t="n">
        <f aca="false">AVERAGEA(AQ34, AO34)</f>
        <v>37.2</v>
      </c>
      <c r="AQ34" s="51" t="n">
        <v>59</v>
      </c>
      <c r="AR34" s="78" t="n">
        <v>3</v>
      </c>
      <c r="AS34" s="53" t="n">
        <f aca="false">AVERAGEA(AT34, AR34)</f>
        <v>4.315</v>
      </c>
      <c r="AT34" s="54" t="n">
        <v>5.63</v>
      </c>
      <c r="AU34" s="49" t="n">
        <v>3.56</v>
      </c>
      <c r="AV34" s="50" t="n">
        <f aca="false">AVERAGE(AU34,AW34)</f>
        <v>22.03</v>
      </c>
      <c r="AW34" s="51" t="n">
        <v>40.5</v>
      </c>
      <c r="AX34" s="79" t="n">
        <v>5.7</v>
      </c>
      <c r="AY34" s="53" t="n">
        <f aca="false">AVERAGE(AX34,AZ34)</f>
        <v>26.85</v>
      </c>
      <c r="AZ34" s="54" t="n">
        <v>48</v>
      </c>
      <c r="BA34" s="49" t="n">
        <v>6.2</v>
      </c>
      <c r="BB34" s="50" t="n">
        <f aca="false">AVERAGE(BA34,BC34)</f>
        <v>42.1</v>
      </c>
      <c r="BC34" s="51" t="n">
        <v>78</v>
      </c>
      <c r="BD34" s="78" t="n">
        <v>1.8</v>
      </c>
      <c r="BE34" s="53" t="n">
        <f aca="false">AVERAGEA(BF34, BD34)</f>
        <v>1.8</v>
      </c>
      <c r="BF34" s="54" t="n">
        <v>1.8</v>
      </c>
      <c r="BG34" s="49" t="n">
        <v>60</v>
      </c>
      <c r="BH34" s="50" t="n">
        <f aca="false">AVERAGEA(BG34,BI34)</f>
        <v>180</v>
      </c>
      <c r="BI34" s="51" t="n">
        <v>300</v>
      </c>
      <c r="BJ34" s="79" t="n">
        <v>2</v>
      </c>
      <c r="BK34" s="53" t="n">
        <f aca="false">AVERAGEA(BJ34,BL34)</f>
        <v>5</v>
      </c>
      <c r="BL34" s="54" t="n">
        <v>8</v>
      </c>
      <c r="BM34" s="49" t="n">
        <v>4</v>
      </c>
      <c r="BN34" s="50" t="n">
        <f aca="false">AVERAGEA(BM34,BO34)</f>
        <v>8</v>
      </c>
      <c r="BO34" s="51" t="n">
        <v>12</v>
      </c>
    </row>
    <row r="35" customFormat="false" ht="15" hidden="false" customHeight="true" outlineLevel="0" collapsed="false">
      <c r="B35" s="40"/>
      <c r="C35" s="41"/>
      <c r="D35" s="86"/>
      <c r="E35" s="88"/>
      <c r="F35" s="44" t="s">
        <v>48</v>
      </c>
      <c r="G35" s="81"/>
      <c r="H35" s="82" t="n">
        <v>29.6538806668177</v>
      </c>
      <c r="I35" s="71" t="n">
        <f aca="false">AVERAGE(H35,J35)</f>
        <v>34.2645536790124</v>
      </c>
      <c r="J35" s="83" t="n">
        <v>38.8752266912071</v>
      </c>
      <c r="K35" s="49" t="s">
        <v>46</v>
      </c>
      <c r="L35" s="50"/>
      <c r="M35" s="51" t="s">
        <v>46</v>
      </c>
      <c r="N35" s="52" t="s">
        <v>46</v>
      </c>
      <c r="O35" s="53"/>
      <c r="P35" s="54" t="s">
        <v>46</v>
      </c>
      <c r="Q35" s="52" t="s">
        <v>46</v>
      </c>
      <c r="R35" s="53"/>
      <c r="S35" s="53" t="s">
        <v>46</v>
      </c>
      <c r="T35" s="49" t="n">
        <v>82</v>
      </c>
      <c r="U35" s="50" t="n">
        <f aca="false">AVERAGEA(V35, T35)</f>
        <v>86.6</v>
      </c>
      <c r="V35" s="51" t="n">
        <v>91.2</v>
      </c>
      <c r="W35" s="78" t="n">
        <v>50</v>
      </c>
      <c r="X35" s="53" t="n">
        <f aca="false">AVERAGEA(Y35, W35)</f>
        <v>35</v>
      </c>
      <c r="Y35" s="54" t="n">
        <v>20</v>
      </c>
      <c r="Z35" s="49" t="n">
        <v>0.66</v>
      </c>
      <c r="AA35" s="50" t="n">
        <f aca="false">AVERAGEA(AB35, Z35)</f>
        <v>4.33</v>
      </c>
      <c r="AB35" s="57" t="n">
        <v>8</v>
      </c>
      <c r="AC35" s="78" t="n">
        <v>0.66</v>
      </c>
      <c r="AD35" s="53" t="n">
        <f aca="false">AVERAGEA(AE35, AC35)</f>
        <v>3.33</v>
      </c>
      <c r="AE35" s="54" t="n">
        <v>6</v>
      </c>
      <c r="AF35" s="49" t="n">
        <v>3</v>
      </c>
      <c r="AG35" s="50" t="n">
        <f aca="false">AVERAGEA(AH35, AF35)</f>
        <v>6.5</v>
      </c>
      <c r="AH35" s="51" t="n">
        <v>10</v>
      </c>
      <c r="AI35" s="84" t="n">
        <v>1.5</v>
      </c>
      <c r="AJ35" s="77" t="n">
        <f aca="false">AVERAGEA(AK35, AI35)</f>
        <v>2.25</v>
      </c>
      <c r="AK35" s="51" t="n">
        <v>3</v>
      </c>
      <c r="AL35" s="73" t="n">
        <v>715</v>
      </c>
      <c r="AM35" s="53" t="n">
        <f aca="false">AVERAGEA(AN35, AL35)</f>
        <v>1530.5</v>
      </c>
      <c r="AN35" s="87" t="n">
        <v>2346</v>
      </c>
      <c r="AO35" s="49" t="n">
        <v>15.4</v>
      </c>
      <c r="AP35" s="50" t="n">
        <f aca="false">AVERAGEA(AQ35, AO35)</f>
        <v>37.2</v>
      </c>
      <c r="AQ35" s="51" t="n">
        <v>59</v>
      </c>
      <c r="AR35" s="78" t="n">
        <v>3</v>
      </c>
      <c r="AS35" s="53" t="n">
        <f aca="false">AVERAGEA(AT35, AR35)</f>
        <v>4.315</v>
      </c>
      <c r="AT35" s="54" t="n">
        <v>5.63</v>
      </c>
      <c r="AU35" s="49" t="n">
        <v>3.56</v>
      </c>
      <c r="AV35" s="50" t="n">
        <f aca="false">AVERAGE(AU35,AW35)</f>
        <v>22.03</v>
      </c>
      <c r="AW35" s="51" t="n">
        <v>40.5</v>
      </c>
      <c r="AX35" s="79" t="n">
        <v>5.7</v>
      </c>
      <c r="AY35" s="53" t="n">
        <f aca="false">AVERAGE(AX35,AZ35)</f>
        <v>26.85</v>
      </c>
      <c r="AZ35" s="54" t="n">
        <v>48</v>
      </c>
      <c r="BA35" s="49" t="n">
        <v>6.2</v>
      </c>
      <c r="BB35" s="50" t="n">
        <f aca="false">AVERAGE(BA35,BC35)</f>
        <v>42.1</v>
      </c>
      <c r="BC35" s="51" t="n">
        <v>78</v>
      </c>
      <c r="BD35" s="78" t="n">
        <v>1.8</v>
      </c>
      <c r="BE35" s="53" t="n">
        <f aca="false">AVERAGEA(BF35, BD35)</f>
        <v>1.8</v>
      </c>
      <c r="BF35" s="54" t="n">
        <v>1.8</v>
      </c>
      <c r="BG35" s="49" t="n">
        <v>60</v>
      </c>
      <c r="BH35" s="50" t="n">
        <f aca="false">AVERAGEA(BG35,BI35)</f>
        <v>180</v>
      </c>
      <c r="BI35" s="51" t="n">
        <v>300</v>
      </c>
      <c r="BJ35" s="79" t="n">
        <v>2</v>
      </c>
      <c r="BK35" s="53" t="n">
        <f aca="false">AVERAGEA(BJ35,BL35)</f>
        <v>5</v>
      </c>
      <c r="BL35" s="54" t="n">
        <v>8</v>
      </c>
      <c r="BM35" s="49" t="n">
        <v>4</v>
      </c>
      <c r="BN35" s="50" t="n">
        <f aca="false">AVERAGEA(BM35,BO35)</f>
        <v>8</v>
      </c>
      <c r="BO35" s="51" t="n">
        <v>12</v>
      </c>
    </row>
    <row r="36" customFormat="false" ht="15" hidden="false" customHeight="true" outlineLevel="0" collapsed="false">
      <c r="B36" s="40"/>
      <c r="C36" s="41"/>
      <c r="D36" s="86"/>
      <c r="E36" s="88"/>
      <c r="F36" s="44" t="s">
        <v>49</v>
      </c>
      <c r="G36" s="89"/>
      <c r="H36" s="82" t="n">
        <v>23.4378054267092</v>
      </c>
      <c r="I36" s="71" t="n">
        <f aca="false">AVERAGE(H36,J36)</f>
        <v>26.5251377067338</v>
      </c>
      <c r="J36" s="83" t="n">
        <v>29.6124699867585</v>
      </c>
      <c r="K36" s="49" t="s">
        <v>46</v>
      </c>
      <c r="L36" s="50"/>
      <c r="M36" s="51" t="s">
        <v>46</v>
      </c>
      <c r="N36" s="52" t="s">
        <v>46</v>
      </c>
      <c r="O36" s="53"/>
      <c r="P36" s="54" t="s">
        <v>46</v>
      </c>
      <c r="Q36" s="52" t="s">
        <v>46</v>
      </c>
      <c r="R36" s="53"/>
      <c r="S36" s="53" t="s">
        <v>46</v>
      </c>
      <c r="T36" s="49" t="n">
        <v>82</v>
      </c>
      <c r="U36" s="50" t="n">
        <f aca="false">AVERAGEA(V36, T36)</f>
        <v>86.6</v>
      </c>
      <c r="V36" s="51" t="n">
        <v>91.2</v>
      </c>
      <c r="W36" s="78" t="n">
        <v>50</v>
      </c>
      <c r="X36" s="53" t="n">
        <f aca="false">AVERAGEA(Y36, W36)</f>
        <v>35</v>
      </c>
      <c r="Y36" s="54" t="n">
        <v>20</v>
      </c>
      <c r="Z36" s="49" t="n">
        <v>0.66</v>
      </c>
      <c r="AA36" s="50" t="n">
        <f aca="false">AVERAGEA(AB36, Z36)</f>
        <v>4.33</v>
      </c>
      <c r="AB36" s="57" t="n">
        <v>8</v>
      </c>
      <c r="AC36" s="78" t="n">
        <v>0.66</v>
      </c>
      <c r="AD36" s="53" t="n">
        <f aca="false">AVERAGEA(AE36, AC36)</f>
        <v>3.33</v>
      </c>
      <c r="AE36" s="54" t="n">
        <v>6</v>
      </c>
      <c r="AF36" s="49" t="n">
        <v>3</v>
      </c>
      <c r="AG36" s="50" t="n">
        <f aca="false">AVERAGEA(AH36, AF36)</f>
        <v>6.5</v>
      </c>
      <c r="AH36" s="51" t="n">
        <v>10</v>
      </c>
      <c r="AI36" s="84" t="n">
        <v>1.5</v>
      </c>
      <c r="AJ36" s="77" t="n">
        <f aca="false">AVERAGEA(AK36, AI36)</f>
        <v>2.25</v>
      </c>
      <c r="AK36" s="51" t="n">
        <v>3</v>
      </c>
      <c r="AL36" s="73" t="n">
        <v>715</v>
      </c>
      <c r="AM36" s="53" t="n">
        <f aca="false">AVERAGEA(AN36, AL36)</f>
        <v>1530.5</v>
      </c>
      <c r="AN36" s="87" t="n">
        <v>2346</v>
      </c>
      <c r="AO36" s="49" t="n">
        <v>15.4</v>
      </c>
      <c r="AP36" s="50" t="n">
        <f aca="false">AVERAGEA(AQ36, AO36)</f>
        <v>37.2</v>
      </c>
      <c r="AQ36" s="51" t="n">
        <v>59</v>
      </c>
      <c r="AR36" s="78" t="n">
        <v>3</v>
      </c>
      <c r="AS36" s="53" t="n">
        <f aca="false">AVERAGEA(AT36, AR36)</f>
        <v>4.315</v>
      </c>
      <c r="AT36" s="54" t="n">
        <v>5.63</v>
      </c>
      <c r="AU36" s="49" t="n">
        <v>3.56</v>
      </c>
      <c r="AV36" s="50" t="n">
        <f aca="false">AVERAGE(AU36,AW36)</f>
        <v>22.03</v>
      </c>
      <c r="AW36" s="51" t="n">
        <v>40.5</v>
      </c>
      <c r="AX36" s="79" t="n">
        <v>5.7</v>
      </c>
      <c r="AY36" s="53" t="n">
        <f aca="false">AVERAGE(AX36,AZ36)</f>
        <v>26.85</v>
      </c>
      <c r="AZ36" s="54" t="n">
        <v>48</v>
      </c>
      <c r="BA36" s="49" t="n">
        <v>6.2</v>
      </c>
      <c r="BB36" s="50" t="n">
        <f aca="false">AVERAGE(BA36,BC36)</f>
        <v>42.1</v>
      </c>
      <c r="BC36" s="51" t="n">
        <v>78</v>
      </c>
      <c r="BD36" s="78" t="n">
        <v>1.8</v>
      </c>
      <c r="BE36" s="53" t="n">
        <f aca="false">AVERAGEA(BF36, BD36)</f>
        <v>1.8</v>
      </c>
      <c r="BF36" s="54" t="n">
        <v>1.8</v>
      </c>
      <c r="BG36" s="49" t="n">
        <v>60</v>
      </c>
      <c r="BH36" s="50" t="n">
        <f aca="false">AVERAGEA(BG36,BI36)</f>
        <v>180</v>
      </c>
      <c r="BI36" s="51" t="n">
        <v>300</v>
      </c>
      <c r="BJ36" s="79" t="n">
        <v>2</v>
      </c>
      <c r="BK36" s="53" t="n">
        <f aca="false">AVERAGEA(BJ36,BL36)</f>
        <v>5</v>
      </c>
      <c r="BL36" s="54" t="n">
        <v>8</v>
      </c>
      <c r="BM36" s="49" t="n">
        <v>4</v>
      </c>
      <c r="BN36" s="50" t="n">
        <f aca="false">AVERAGEA(BM36,BO36)</f>
        <v>8</v>
      </c>
      <c r="BO36" s="51" t="n">
        <v>12</v>
      </c>
    </row>
    <row r="37" customFormat="false" ht="15" hidden="false" customHeight="true" outlineLevel="0" collapsed="false">
      <c r="B37" s="40"/>
      <c r="C37" s="90" t="s">
        <v>56</v>
      </c>
      <c r="D37" s="85" t="s">
        <v>43</v>
      </c>
      <c r="E37" s="80" t="s">
        <v>44</v>
      </c>
      <c r="F37" s="44" t="s">
        <v>45</v>
      </c>
      <c r="G37" s="91"/>
      <c r="H37" s="82" t="n">
        <v>38.569821615199</v>
      </c>
      <c r="I37" s="71" t="n">
        <f aca="false">AVERAGE(H37,J37)</f>
        <v>39.7206846203141</v>
      </c>
      <c r="J37" s="83" t="n">
        <v>40.8715476254292</v>
      </c>
      <c r="K37" s="49" t="s">
        <v>46</v>
      </c>
      <c r="L37" s="50"/>
      <c r="M37" s="51" t="s">
        <v>46</v>
      </c>
      <c r="N37" s="52" t="s">
        <v>46</v>
      </c>
      <c r="O37" s="53"/>
      <c r="P37" s="54" t="s">
        <v>46</v>
      </c>
      <c r="Q37" s="52" t="s">
        <v>46</v>
      </c>
      <c r="R37" s="53"/>
      <c r="S37" s="53" t="s">
        <v>46</v>
      </c>
      <c r="T37" s="49" t="n">
        <v>85</v>
      </c>
      <c r="U37" s="50" t="n">
        <f aca="false">AVERAGEA(V37, T37)</f>
        <v>85.65</v>
      </c>
      <c r="V37" s="51" t="n">
        <v>86.3</v>
      </c>
      <c r="W37" s="78" t="n">
        <v>60</v>
      </c>
      <c r="X37" s="53" t="n">
        <f aca="false">AVERAGEA(Y37, W37)</f>
        <v>40</v>
      </c>
      <c r="Y37" s="54" t="n">
        <v>20</v>
      </c>
      <c r="Z37" s="49" t="n">
        <v>0.58</v>
      </c>
      <c r="AA37" s="50" t="n">
        <f aca="false">AVERAGEA(AB37, Z37)</f>
        <v>4.29</v>
      </c>
      <c r="AB37" s="51" t="n">
        <v>8</v>
      </c>
      <c r="AC37" s="78" t="n">
        <v>0.58</v>
      </c>
      <c r="AD37" s="53" t="n">
        <f aca="false">AVERAGEA(AE37, AC37)</f>
        <v>4.29</v>
      </c>
      <c r="AE37" s="54" t="n">
        <v>8</v>
      </c>
      <c r="AF37" s="49" t="n">
        <v>3</v>
      </c>
      <c r="AG37" s="50" t="n">
        <f aca="false">AVERAGEA(AH37, AF37)</f>
        <v>13.5</v>
      </c>
      <c r="AH37" s="51" t="n">
        <v>24</v>
      </c>
      <c r="AI37" s="84" t="n">
        <v>1.5</v>
      </c>
      <c r="AJ37" s="77" t="n">
        <f aca="false">AVERAGEA(AK37, AI37)</f>
        <v>2.25</v>
      </c>
      <c r="AK37" s="51" t="n">
        <v>3</v>
      </c>
      <c r="AL37" s="78" t="n">
        <v>1400</v>
      </c>
      <c r="AM37" s="53" t="n">
        <f aca="false">AVERAGEA(AN37, AL37)</f>
        <v>1680.5</v>
      </c>
      <c r="AN37" s="54" t="n">
        <v>1961</v>
      </c>
      <c r="AO37" s="49" t="n">
        <v>31.1</v>
      </c>
      <c r="AP37" s="50" t="n">
        <f aca="false">AVERAGEA(AQ37, AO37)</f>
        <v>34.05</v>
      </c>
      <c r="AQ37" s="51" t="n">
        <v>37</v>
      </c>
      <c r="AR37" s="78" t="n">
        <v>2.6</v>
      </c>
      <c r="AS37" s="53" t="n">
        <f aca="false">AVERAGEA(AT37, AR37)</f>
        <v>6.55</v>
      </c>
      <c r="AT37" s="54" t="n">
        <v>10.5</v>
      </c>
      <c r="AU37" s="49" t="n">
        <v>8.4</v>
      </c>
      <c r="AV37" s="50" t="n">
        <f aca="false">AVERAGE(AU37,AW37)</f>
        <v>39.45</v>
      </c>
      <c r="AW37" s="51" t="n">
        <v>70.5</v>
      </c>
      <c r="AX37" s="79" t="n">
        <v>46</v>
      </c>
      <c r="AY37" s="53" t="n">
        <f aca="false">AVERAGE(AX37,AZ37)</f>
        <v>81.5</v>
      </c>
      <c r="AZ37" s="54" t="n">
        <v>117</v>
      </c>
      <c r="BA37" s="49" t="n">
        <v>67</v>
      </c>
      <c r="BB37" s="50" t="n">
        <f aca="false">AVERAGE(BA37,BC37)</f>
        <v>88.5</v>
      </c>
      <c r="BC37" s="51" t="n">
        <v>110</v>
      </c>
      <c r="BD37" s="78" t="n">
        <v>1.8</v>
      </c>
      <c r="BE37" s="53" t="n">
        <f aca="false">AVERAGEA(BF37, BD37)</f>
        <v>1.8</v>
      </c>
      <c r="BF37" s="54" t="n">
        <v>1.8</v>
      </c>
      <c r="BG37" s="49" t="n">
        <v>120</v>
      </c>
      <c r="BH37" s="50" t="n">
        <f aca="false">AVERAGEA(BG37,BI37)</f>
        <v>240</v>
      </c>
      <c r="BI37" s="51" t="n">
        <v>360</v>
      </c>
      <c r="BJ37" s="79" t="n">
        <v>4</v>
      </c>
      <c r="BK37" s="53" t="n">
        <f aca="false">AVERAGEA(BJ37,BL37)</f>
        <v>5.5</v>
      </c>
      <c r="BL37" s="54" t="n">
        <v>7</v>
      </c>
      <c r="BM37" s="49" t="n">
        <v>5</v>
      </c>
      <c r="BN37" s="50" t="n">
        <f aca="false">AVERAGEA(BM37,BO37)</f>
        <v>8.9</v>
      </c>
      <c r="BO37" s="51" t="n">
        <v>12.8</v>
      </c>
    </row>
    <row r="38" customFormat="false" ht="15" hidden="false" customHeight="true" outlineLevel="0" collapsed="false">
      <c r="B38" s="40"/>
      <c r="C38" s="90"/>
      <c r="D38" s="85"/>
      <c r="E38" s="80"/>
      <c r="F38" s="44" t="s">
        <v>47</v>
      </c>
      <c r="G38" s="69"/>
      <c r="H38" s="82" t="n">
        <v>35.7858580162282</v>
      </c>
      <c r="I38" s="71" t="n">
        <f aca="false">AVERAGE(H38,J38)</f>
        <v>37.1742874015756</v>
      </c>
      <c r="J38" s="83" t="n">
        <v>38.562716786923</v>
      </c>
      <c r="K38" s="49" t="s">
        <v>46</v>
      </c>
      <c r="L38" s="50"/>
      <c r="M38" s="51" t="s">
        <v>46</v>
      </c>
      <c r="N38" s="52" t="s">
        <v>46</v>
      </c>
      <c r="O38" s="53"/>
      <c r="P38" s="54" t="s">
        <v>46</v>
      </c>
      <c r="Q38" s="52" t="s">
        <v>46</v>
      </c>
      <c r="R38" s="53"/>
      <c r="S38" s="53" t="s">
        <v>46</v>
      </c>
      <c r="T38" s="49" t="n">
        <v>85</v>
      </c>
      <c r="U38" s="50" t="n">
        <f aca="false">AVERAGEA(V38, T38)</f>
        <v>85.65</v>
      </c>
      <c r="V38" s="51" t="n">
        <v>86.3</v>
      </c>
      <c r="W38" s="78" t="n">
        <v>60</v>
      </c>
      <c r="X38" s="53" t="n">
        <f aca="false">AVERAGEA(Y38, W38)</f>
        <v>40</v>
      </c>
      <c r="Y38" s="54" t="n">
        <v>20</v>
      </c>
      <c r="Z38" s="49" t="n">
        <v>0.58</v>
      </c>
      <c r="AA38" s="50" t="n">
        <f aca="false">AVERAGEA(AB38, Z38)</f>
        <v>4.29</v>
      </c>
      <c r="AB38" s="51" t="n">
        <v>8</v>
      </c>
      <c r="AC38" s="78" t="n">
        <v>0.58</v>
      </c>
      <c r="AD38" s="53" t="n">
        <f aca="false">AVERAGEA(AE38, AC38)</f>
        <v>4.29</v>
      </c>
      <c r="AE38" s="54" t="n">
        <v>8</v>
      </c>
      <c r="AF38" s="49" t="n">
        <v>3</v>
      </c>
      <c r="AG38" s="50" t="n">
        <f aca="false">AVERAGEA(AH38, AF38)</f>
        <v>13.5</v>
      </c>
      <c r="AH38" s="51" t="n">
        <v>24</v>
      </c>
      <c r="AI38" s="84" t="n">
        <v>1.5</v>
      </c>
      <c r="AJ38" s="77" t="n">
        <f aca="false">AVERAGEA(AK38, AI38)</f>
        <v>2.25</v>
      </c>
      <c r="AK38" s="51" t="n">
        <v>3</v>
      </c>
      <c r="AL38" s="78" t="n">
        <v>1400</v>
      </c>
      <c r="AM38" s="53" t="n">
        <f aca="false">AVERAGEA(AN38, AL38)</f>
        <v>1680.5</v>
      </c>
      <c r="AN38" s="54" t="n">
        <v>1961</v>
      </c>
      <c r="AO38" s="49" t="n">
        <v>31.1</v>
      </c>
      <c r="AP38" s="50" t="n">
        <f aca="false">AVERAGEA(AQ38, AO38)</f>
        <v>34.05</v>
      </c>
      <c r="AQ38" s="51" t="n">
        <v>37</v>
      </c>
      <c r="AR38" s="78" t="n">
        <v>2.6</v>
      </c>
      <c r="AS38" s="53" t="n">
        <f aca="false">AVERAGEA(AT38, AR38)</f>
        <v>6.55</v>
      </c>
      <c r="AT38" s="54" t="n">
        <v>10.5</v>
      </c>
      <c r="AU38" s="49" t="n">
        <v>8.4</v>
      </c>
      <c r="AV38" s="50" t="n">
        <f aca="false">AVERAGE(AU38,AW38)</f>
        <v>39.45</v>
      </c>
      <c r="AW38" s="51" t="n">
        <v>70.5</v>
      </c>
      <c r="AX38" s="79" t="n">
        <v>46</v>
      </c>
      <c r="AY38" s="53" t="n">
        <f aca="false">AVERAGE(AX38,AZ38)</f>
        <v>81.5</v>
      </c>
      <c r="AZ38" s="54" t="n">
        <v>117</v>
      </c>
      <c r="BA38" s="49" t="n">
        <v>67</v>
      </c>
      <c r="BB38" s="50" t="n">
        <f aca="false">AVERAGE(BA38,BC38)</f>
        <v>88.5</v>
      </c>
      <c r="BC38" s="51" t="n">
        <v>110</v>
      </c>
      <c r="BD38" s="78" t="n">
        <v>1.8</v>
      </c>
      <c r="BE38" s="53" t="n">
        <f aca="false">AVERAGEA(BF38, BD38)</f>
        <v>1.8</v>
      </c>
      <c r="BF38" s="54" t="n">
        <v>1.8</v>
      </c>
      <c r="BG38" s="49" t="n">
        <v>120</v>
      </c>
      <c r="BH38" s="50" t="n">
        <f aca="false">AVERAGEA(BG38,BI38)</f>
        <v>240</v>
      </c>
      <c r="BI38" s="51" t="n">
        <v>360</v>
      </c>
      <c r="BJ38" s="79" t="n">
        <v>4</v>
      </c>
      <c r="BK38" s="53" t="n">
        <f aca="false">AVERAGEA(BJ38,BL38)</f>
        <v>5.5</v>
      </c>
      <c r="BL38" s="54" t="n">
        <v>7</v>
      </c>
      <c r="BM38" s="49" t="n">
        <v>5</v>
      </c>
      <c r="BN38" s="50" t="n">
        <f aca="false">AVERAGEA(BM38,BO38)</f>
        <v>8.9</v>
      </c>
      <c r="BO38" s="51" t="n">
        <v>12.8</v>
      </c>
    </row>
    <row r="39" customFormat="false" ht="15" hidden="false" customHeight="true" outlineLevel="0" collapsed="false">
      <c r="B39" s="40"/>
      <c r="C39" s="90"/>
      <c r="D39" s="85"/>
      <c r="E39" s="80"/>
      <c r="F39" s="44" t="s">
        <v>48</v>
      </c>
      <c r="G39" s="69"/>
      <c r="H39" s="82" t="n">
        <v>27.2828391918737</v>
      </c>
      <c r="I39" s="71" t="n">
        <f aca="false">AVERAGE(H39,J39)</f>
        <v>31.5248556676053</v>
      </c>
      <c r="J39" s="83" t="n">
        <v>35.7668721433369</v>
      </c>
      <c r="K39" s="49" t="s">
        <v>46</v>
      </c>
      <c r="L39" s="50"/>
      <c r="M39" s="51" t="s">
        <v>46</v>
      </c>
      <c r="N39" s="52" t="s">
        <v>46</v>
      </c>
      <c r="O39" s="53"/>
      <c r="P39" s="54" t="s">
        <v>46</v>
      </c>
      <c r="Q39" s="52" t="s">
        <v>46</v>
      </c>
      <c r="R39" s="53"/>
      <c r="S39" s="53" t="s">
        <v>46</v>
      </c>
      <c r="T39" s="49" t="n">
        <v>85</v>
      </c>
      <c r="U39" s="50" t="n">
        <f aca="false">AVERAGEA(V39, T39)</f>
        <v>85.65</v>
      </c>
      <c r="V39" s="51" t="n">
        <v>86.3</v>
      </c>
      <c r="W39" s="78" t="n">
        <v>60</v>
      </c>
      <c r="X39" s="53" t="n">
        <f aca="false">AVERAGEA(Y39, W39)</f>
        <v>40</v>
      </c>
      <c r="Y39" s="54" t="n">
        <v>20</v>
      </c>
      <c r="Z39" s="49" t="n">
        <v>0.58</v>
      </c>
      <c r="AA39" s="50" t="n">
        <f aca="false">AVERAGEA(AB39, Z39)</f>
        <v>4.29</v>
      </c>
      <c r="AB39" s="51" t="n">
        <v>8</v>
      </c>
      <c r="AC39" s="78" t="n">
        <v>0.58</v>
      </c>
      <c r="AD39" s="53" t="n">
        <f aca="false">AVERAGEA(AE39, AC39)</f>
        <v>4.29</v>
      </c>
      <c r="AE39" s="54" t="n">
        <v>8</v>
      </c>
      <c r="AF39" s="49" t="n">
        <v>3</v>
      </c>
      <c r="AG39" s="50" t="n">
        <f aca="false">AVERAGEA(AH39, AF39)</f>
        <v>13.5</v>
      </c>
      <c r="AH39" s="51" t="n">
        <v>24</v>
      </c>
      <c r="AI39" s="84" t="n">
        <v>1.5</v>
      </c>
      <c r="AJ39" s="77" t="n">
        <f aca="false">AVERAGEA(AK39, AI39)</f>
        <v>2.25</v>
      </c>
      <c r="AK39" s="51" t="n">
        <v>3</v>
      </c>
      <c r="AL39" s="78" t="n">
        <v>1400</v>
      </c>
      <c r="AM39" s="53" t="n">
        <f aca="false">AVERAGEA(AN39, AL39)</f>
        <v>1680.5</v>
      </c>
      <c r="AN39" s="54" t="n">
        <v>1961</v>
      </c>
      <c r="AO39" s="49" t="n">
        <v>31.1</v>
      </c>
      <c r="AP39" s="50" t="n">
        <f aca="false">AVERAGEA(AQ39, AO39)</f>
        <v>34.05</v>
      </c>
      <c r="AQ39" s="51" t="n">
        <v>37</v>
      </c>
      <c r="AR39" s="78" t="n">
        <v>2.6</v>
      </c>
      <c r="AS39" s="53" t="n">
        <f aca="false">AVERAGEA(AT39, AR39)</f>
        <v>6.55</v>
      </c>
      <c r="AT39" s="54" t="n">
        <v>10.5</v>
      </c>
      <c r="AU39" s="49" t="n">
        <v>8.4</v>
      </c>
      <c r="AV39" s="50" t="n">
        <f aca="false">AVERAGE(AU39,AW39)</f>
        <v>39.45</v>
      </c>
      <c r="AW39" s="51" t="n">
        <v>70.5</v>
      </c>
      <c r="AX39" s="79" t="n">
        <v>46</v>
      </c>
      <c r="AY39" s="53" t="n">
        <f aca="false">AVERAGE(AX39,AZ39)</f>
        <v>81.5</v>
      </c>
      <c r="AZ39" s="54" t="n">
        <v>117</v>
      </c>
      <c r="BA39" s="49" t="n">
        <v>67</v>
      </c>
      <c r="BB39" s="50" t="n">
        <f aca="false">AVERAGE(BA39,BC39)</f>
        <v>88.5</v>
      </c>
      <c r="BC39" s="51" t="n">
        <v>110</v>
      </c>
      <c r="BD39" s="78" t="n">
        <v>1.8</v>
      </c>
      <c r="BE39" s="53" t="n">
        <f aca="false">AVERAGEA(BF39, BD39)</f>
        <v>1.8</v>
      </c>
      <c r="BF39" s="54" t="n">
        <v>1.8</v>
      </c>
      <c r="BG39" s="49" t="n">
        <v>120</v>
      </c>
      <c r="BH39" s="50" t="n">
        <f aca="false">AVERAGEA(BG39,BI39)</f>
        <v>240</v>
      </c>
      <c r="BI39" s="51" t="n">
        <v>360</v>
      </c>
      <c r="BJ39" s="79" t="n">
        <v>4</v>
      </c>
      <c r="BK39" s="53" t="n">
        <f aca="false">AVERAGEA(BJ39,BL39)</f>
        <v>5.5</v>
      </c>
      <c r="BL39" s="54" t="n">
        <v>7</v>
      </c>
      <c r="BM39" s="49" t="n">
        <v>5</v>
      </c>
      <c r="BN39" s="50" t="n">
        <f aca="false">AVERAGEA(BM39,BO39)</f>
        <v>8.9</v>
      </c>
      <c r="BO39" s="51" t="n">
        <v>12.8</v>
      </c>
    </row>
    <row r="40" customFormat="false" ht="15" hidden="false" customHeight="true" outlineLevel="0" collapsed="false">
      <c r="B40" s="40"/>
      <c r="C40" s="90"/>
      <c r="D40" s="85"/>
      <c r="E40" s="80"/>
      <c r="F40" s="44" t="s">
        <v>49</v>
      </c>
      <c r="G40" s="69"/>
      <c r="H40" s="82" t="n">
        <v>21.56378396649</v>
      </c>
      <c r="I40" s="71" t="n">
        <f aca="false">AVERAGE(H40,J40)</f>
        <v>24.404261780311</v>
      </c>
      <c r="J40" s="83" t="n">
        <v>27.2447395941321</v>
      </c>
      <c r="K40" s="49" t="s">
        <v>46</v>
      </c>
      <c r="L40" s="50"/>
      <c r="M40" s="51" t="s">
        <v>46</v>
      </c>
      <c r="N40" s="52" t="s">
        <v>46</v>
      </c>
      <c r="O40" s="53"/>
      <c r="P40" s="54" t="s">
        <v>46</v>
      </c>
      <c r="Q40" s="52" t="s">
        <v>46</v>
      </c>
      <c r="R40" s="53"/>
      <c r="S40" s="53" t="s">
        <v>46</v>
      </c>
      <c r="T40" s="49" t="n">
        <v>85</v>
      </c>
      <c r="U40" s="50" t="n">
        <f aca="false">AVERAGEA(V40, T40)</f>
        <v>85.65</v>
      </c>
      <c r="V40" s="51" t="n">
        <v>86.3</v>
      </c>
      <c r="W40" s="78" t="n">
        <v>60</v>
      </c>
      <c r="X40" s="53" t="n">
        <f aca="false">AVERAGEA(Y40, W40)</f>
        <v>40</v>
      </c>
      <c r="Y40" s="54" t="n">
        <v>20</v>
      </c>
      <c r="Z40" s="49" t="n">
        <v>0.58</v>
      </c>
      <c r="AA40" s="50" t="n">
        <f aca="false">AVERAGEA(AB40, Z40)</f>
        <v>4.29</v>
      </c>
      <c r="AB40" s="51" t="n">
        <v>8</v>
      </c>
      <c r="AC40" s="78" t="n">
        <v>0.58</v>
      </c>
      <c r="AD40" s="53" t="n">
        <f aca="false">AVERAGEA(AE40, AC40)</f>
        <v>4.29</v>
      </c>
      <c r="AE40" s="54" t="n">
        <v>8</v>
      </c>
      <c r="AF40" s="49" t="n">
        <v>3</v>
      </c>
      <c r="AG40" s="50" t="n">
        <f aca="false">AVERAGEA(AH40, AF40)</f>
        <v>13.5</v>
      </c>
      <c r="AH40" s="51" t="n">
        <v>24</v>
      </c>
      <c r="AI40" s="84" t="n">
        <v>1.5</v>
      </c>
      <c r="AJ40" s="77" t="n">
        <f aca="false">AVERAGEA(AK40, AI40)</f>
        <v>2.25</v>
      </c>
      <c r="AK40" s="51" t="n">
        <v>3</v>
      </c>
      <c r="AL40" s="78" t="n">
        <v>1400</v>
      </c>
      <c r="AM40" s="53" t="n">
        <f aca="false">AVERAGEA(AN40, AL40)</f>
        <v>1680.5</v>
      </c>
      <c r="AN40" s="54" t="n">
        <v>1961</v>
      </c>
      <c r="AO40" s="49" t="n">
        <v>31.1</v>
      </c>
      <c r="AP40" s="50" t="n">
        <f aca="false">AVERAGEA(AQ40, AO40)</f>
        <v>34.05</v>
      </c>
      <c r="AQ40" s="51" t="n">
        <v>37</v>
      </c>
      <c r="AR40" s="78" t="n">
        <v>2.6</v>
      </c>
      <c r="AS40" s="53" t="n">
        <f aca="false">AVERAGEA(AT40, AR40)</f>
        <v>6.55</v>
      </c>
      <c r="AT40" s="54" t="n">
        <v>10.5</v>
      </c>
      <c r="AU40" s="49" t="n">
        <v>8.4</v>
      </c>
      <c r="AV40" s="50" t="n">
        <f aca="false">AVERAGE(AU40,AW40)</f>
        <v>39.45</v>
      </c>
      <c r="AW40" s="51" t="n">
        <v>70.5</v>
      </c>
      <c r="AX40" s="79" t="n">
        <v>46</v>
      </c>
      <c r="AY40" s="53" t="n">
        <f aca="false">AVERAGE(AX40,AZ40)</f>
        <v>81.5</v>
      </c>
      <c r="AZ40" s="54" t="n">
        <v>117</v>
      </c>
      <c r="BA40" s="49" t="n">
        <v>67</v>
      </c>
      <c r="BB40" s="50" t="n">
        <f aca="false">AVERAGE(BA40,BC40)</f>
        <v>88.5</v>
      </c>
      <c r="BC40" s="51" t="n">
        <v>110</v>
      </c>
      <c r="BD40" s="78" t="n">
        <v>1.8</v>
      </c>
      <c r="BE40" s="53" t="n">
        <f aca="false">AVERAGEA(BF40, BD40)</f>
        <v>1.8</v>
      </c>
      <c r="BF40" s="54" t="n">
        <v>1.8</v>
      </c>
      <c r="BG40" s="49" t="n">
        <v>120</v>
      </c>
      <c r="BH40" s="50" t="n">
        <f aca="false">AVERAGEA(BG40,BI40)</f>
        <v>240</v>
      </c>
      <c r="BI40" s="51" t="n">
        <v>360</v>
      </c>
      <c r="BJ40" s="79" t="n">
        <v>4</v>
      </c>
      <c r="BK40" s="53" t="n">
        <f aca="false">AVERAGEA(BJ40,BL40)</f>
        <v>5.5</v>
      </c>
      <c r="BL40" s="54" t="n">
        <v>7</v>
      </c>
      <c r="BM40" s="49" t="n">
        <v>5</v>
      </c>
      <c r="BN40" s="50" t="n">
        <f aca="false">AVERAGEA(BM40,BO40)</f>
        <v>8.9</v>
      </c>
      <c r="BO40" s="51" t="n">
        <v>12.8</v>
      </c>
    </row>
    <row r="41" customFormat="false" ht="15" hidden="false" customHeight="true" outlineLevel="0" collapsed="false">
      <c r="B41" s="40"/>
      <c r="C41" s="90"/>
      <c r="D41" s="85"/>
      <c r="E41" s="80" t="s">
        <v>50</v>
      </c>
      <c r="F41" s="44" t="s">
        <v>45</v>
      </c>
      <c r="G41" s="81"/>
      <c r="H41" s="82" t="n">
        <v>37.8243623384122</v>
      </c>
      <c r="I41" s="71" t="n">
        <f aca="false">AVERAGE(H41,J41)</f>
        <v>38.95298200748</v>
      </c>
      <c r="J41" s="83" t="n">
        <v>40.0816016765477</v>
      </c>
      <c r="K41" s="49" t="s">
        <v>46</v>
      </c>
      <c r="L41" s="50"/>
      <c r="M41" s="51" t="s">
        <v>46</v>
      </c>
      <c r="N41" s="52" t="s">
        <v>46</v>
      </c>
      <c r="O41" s="53"/>
      <c r="P41" s="54" t="s">
        <v>46</v>
      </c>
      <c r="Q41" s="52" t="s">
        <v>46</v>
      </c>
      <c r="R41" s="53"/>
      <c r="S41" s="53" t="s">
        <v>46</v>
      </c>
      <c r="T41" s="49" t="n">
        <v>85</v>
      </c>
      <c r="U41" s="50" t="n">
        <f aca="false">AVERAGEA(V41, T41)</f>
        <v>85.65</v>
      </c>
      <c r="V41" s="51" t="n">
        <v>86.3</v>
      </c>
      <c r="W41" s="78" t="n">
        <v>60</v>
      </c>
      <c r="X41" s="53" t="n">
        <f aca="false">AVERAGEA(Y41, W41)</f>
        <v>40</v>
      </c>
      <c r="Y41" s="54" t="n">
        <v>20</v>
      </c>
      <c r="Z41" s="49" t="n">
        <v>0.58</v>
      </c>
      <c r="AA41" s="50" t="n">
        <f aca="false">AVERAGEA(AB41, Z41)</f>
        <v>4.29</v>
      </c>
      <c r="AB41" s="51" t="n">
        <v>8</v>
      </c>
      <c r="AC41" s="78" t="n">
        <v>0.58</v>
      </c>
      <c r="AD41" s="53" t="n">
        <f aca="false">AVERAGEA(AE41, AC41)</f>
        <v>4.29</v>
      </c>
      <c r="AE41" s="54" t="n">
        <v>8</v>
      </c>
      <c r="AF41" s="49" t="n">
        <v>3</v>
      </c>
      <c r="AG41" s="50" t="n">
        <f aca="false">AVERAGEA(AH41, AF41)</f>
        <v>13.5</v>
      </c>
      <c r="AH41" s="51" t="n">
        <v>24</v>
      </c>
      <c r="AI41" s="84" t="n">
        <v>6</v>
      </c>
      <c r="AJ41" s="77" t="n">
        <f aca="false">AVERAGEA(AK41, AI41)</f>
        <v>8</v>
      </c>
      <c r="AK41" s="51" t="n">
        <v>10</v>
      </c>
      <c r="AL41" s="78" t="n">
        <v>1400</v>
      </c>
      <c r="AM41" s="53" t="n">
        <f aca="false">AVERAGEA(AN41, AL41)</f>
        <v>1680.5</v>
      </c>
      <c r="AN41" s="54" t="n">
        <v>1961</v>
      </c>
      <c r="AO41" s="49" t="n">
        <v>31.1</v>
      </c>
      <c r="AP41" s="50" t="n">
        <f aca="false">AVERAGEA(AQ41, AO41)</f>
        <v>34.05</v>
      </c>
      <c r="AQ41" s="51" t="n">
        <v>37</v>
      </c>
      <c r="AR41" s="78" t="n">
        <v>2.6</v>
      </c>
      <c r="AS41" s="53" t="n">
        <f aca="false">AVERAGEA(AT41, AR41)</f>
        <v>6.55</v>
      </c>
      <c r="AT41" s="54" t="n">
        <v>10.5</v>
      </c>
      <c r="AU41" s="49" t="n">
        <v>8.4</v>
      </c>
      <c r="AV41" s="50" t="n">
        <f aca="false">AVERAGE(AU41,AW41)</f>
        <v>39.45</v>
      </c>
      <c r="AW41" s="51" t="n">
        <v>70.5</v>
      </c>
      <c r="AX41" s="79" t="n">
        <v>46</v>
      </c>
      <c r="AY41" s="53" t="n">
        <f aca="false">AVERAGE(AX41,AZ41)</f>
        <v>81.5</v>
      </c>
      <c r="AZ41" s="54" t="n">
        <v>117</v>
      </c>
      <c r="BA41" s="49" t="n">
        <v>67</v>
      </c>
      <c r="BB41" s="50" t="n">
        <f aca="false">AVERAGE(BA41,BC41)</f>
        <v>88.5</v>
      </c>
      <c r="BC41" s="51" t="n">
        <v>110</v>
      </c>
      <c r="BD41" s="78" t="n">
        <v>1.8</v>
      </c>
      <c r="BE41" s="53" t="n">
        <f aca="false">AVERAGEA(BF41, BD41)</f>
        <v>1.8</v>
      </c>
      <c r="BF41" s="54" t="n">
        <v>1.8</v>
      </c>
      <c r="BG41" s="49" t="n">
        <v>120</v>
      </c>
      <c r="BH41" s="50" t="n">
        <f aca="false">AVERAGEA(BG41,BI41)</f>
        <v>240</v>
      </c>
      <c r="BI41" s="51" t="n">
        <v>360</v>
      </c>
      <c r="BJ41" s="79" t="n">
        <v>4</v>
      </c>
      <c r="BK41" s="53" t="n">
        <f aca="false">AVERAGEA(BJ41,BL41)</f>
        <v>5.5</v>
      </c>
      <c r="BL41" s="54" t="n">
        <v>7</v>
      </c>
      <c r="BM41" s="49" t="n">
        <v>5</v>
      </c>
      <c r="BN41" s="50" t="n">
        <f aca="false">AVERAGEA(BM41,BO41)</f>
        <v>8.9</v>
      </c>
      <c r="BO41" s="51" t="n">
        <v>12.8</v>
      </c>
    </row>
    <row r="42" customFormat="false" ht="15" hidden="false" customHeight="true" outlineLevel="0" collapsed="false">
      <c r="B42" s="40"/>
      <c r="C42" s="90"/>
      <c r="D42" s="85"/>
      <c r="E42" s="80"/>
      <c r="F42" s="44" t="s">
        <v>47</v>
      </c>
      <c r="G42" s="81"/>
      <c r="H42" s="92" t="n">
        <v>35.0942058716547</v>
      </c>
      <c r="I42" s="71" t="n">
        <f aca="false">AVERAGE(H42,J42)</f>
        <v>36.4558003502764</v>
      </c>
      <c r="J42" s="93" t="n">
        <v>37.8173948288981</v>
      </c>
      <c r="K42" s="49" t="s">
        <v>46</v>
      </c>
      <c r="L42" s="50"/>
      <c r="M42" s="51" t="s">
        <v>46</v>
      </c>
      <c r="N42" s="52" t="s">
        <v>46</v>
      </c>
      <c r="O42" s="53"/>
      <c r="P42" s="54" t="s">
        <v>46</v>
      </c>
      <c r="Q42" s="52" t="s">
        <v>46</v>
      </c>
      <c r="R42" s="53"/>
      <c r="S42" s="53" t="s">
        <v>46</v>
      </c>
      <c r="T42" s="49" t="n">
        <v>85</v>
      </c>
      <c r="U42" s="50" t="n">
        <f aca="false">AVERAGEA(V42, T42)</f>
        <v>85.65</v>
      </c>
      <c r="V42" s="51" t="n">
        <v>86.3</v>
      </c>
      <c r="W42" s="78" t="n">
        <v>60</v>
      </c>
      <c r="X42" s="53" t="n">
        <f aca="false">AVERAGEA(Y42, W42)</f>
        <v>40</v>
      </c>
      <c r="Y42" s="54" t="n">
        <v>20</v>
      </c>
      <c r="Z42" s="49" t="n">
        <v>0.58</v>
      </c>
      <c r="AA42" s="94" t="n">
        <f aca="false">AVERAGEA(AB42, Z42)</f>
        <v>4.29</v>
      </c>
      <c r="AB42" s="51" t="n">
        <v>8</v>
      </c>
      <c r="AC42" s="95" t="n">
        <v>0.58</v>
      </c>
      <c r="AD42" s="53" t="n">
        <f aca="false">AVERAGEA(AE42, AC42)</f>
        <v>4.29</v>
      </c>
      <c r="AE42" s="96" t="n">
        <v>8</v>
      </c>
      <c r="AF42" s="97" t="n">
        <v>3</v>
      </c>
      <c r="AG42" s="50" t="n">
        <f aca="false">AVERAGEA(AH42, AF42)</f>
        <v>13.5</v>
      </c>
      <c r="AH42" s="98" t="n">
        <v>24</v>
      </c>
      <c r="AI42" s="99" t="n">
        <v>6</v>
      </c>
      <c r="AJ42" s="77" t="n">
        <f aca="false">AVERAGEA(AK42, AI42)</f>
        <v>8</v>
      </c>
      <c r="AK42" s="98" t="n">
        <v>10</v>
      </c>
      <c r="AL42" s="95" t="n">
        <v>1400</v>
      </c>
      <c r="AM42" s="100" t="n">
        <f aca="false">AVERAGEA(AN42, AL42)</f>
        <v>1680.5</v>
      </c>
      <c r="AN42" s="54" t="n">
        <v>1961</v>
      </c>
      <c r="AO42" s="49" t="n">
        <v>31.1</v>
      </c>
      <c r="AP42" s="50" t="n">
        <f aca="false">AVERAGEA(AQ42, AO42)</f>
        <v>34.05</v>
      </c>
      <c r="AQ42" s="51" t="n">
        <v>37</v>
      </c>
      <c r="AR42" s="78" t="n">
        <v>2.6</v>
      </c>
      <c r="AS42" s="53" t="n">
        <f aca="false">AVERAGEA(AT42, AR42)</f>
        <v>6.55</v>
      </c>
      <c r="AT42" s="54" t="n">
        <v>10.5</v>
      </c>
      <c r="AU42" s="49" t="n">
        <v>8.4</v>
      </c>
      <c r="AV42" s="50" t="n">
        <f aca="false">AVERAGE(AU42,AW42)</f>
        <v>39.45</v>
      </c>
      <c r="AW42" s="51" t="n">
        <v>70.5</v>
      </c>
      <c r="AX42" s="79" t="n">
        <v>46</v>
      </c>
      <c r="AY42" s="53" t="n">
        <f aca="false">AVERAGE(AX42,AZ42)</f>
        <v>81.5</v>
      </c>
      <c r="AZ42" s="54" t="n">
        <v>117</v>
      </c>
      <c r="BA42" s="49" t="n">
        <v>67</v>
      </c>
      <c r="BB42" s="50" t="n">
        <f aca="false">AVERAGE(BA42,BC42)</f>
        <v>88.5</v>
      </c>
      <c r="BC42" s="51" t="n">
        <v>110</v>
      </c>
      <c r="BD42" s="78" t="n">
        <v>1.8</v>
      </c>
      <c r="BE42" s="53" t="n">
        <f aca="false">AVERAGEA(BF42, BD42)</f>
        <v>1.8</v>
      </c>
      <c r="BF42" s="54" t="n">
        <v>1.8</v>
      </c>
      <c r="BG42" s="49" t="n">
        <v>120</v>
      </c>
      <c r="BH42" s="50" t="n">
        <f aca="false">AVERAGEA(BG42,BI42)</f>
        <v>240</v>
      </c>
      <c r="BI42" s="51" t="n">
        <v>360</v>
      </c>
      <c r="BJ42" s="79" t="n">
        <v>4</v>
      </c>
      <c r="BK42" s="53" t="n">
        <f aca="false">AVERAGEA(BJ42,BL42)</f>
        <v>5.5</v>
      </c>
      <c r="BL42" s="54" t="n">
        <v>7</v>
      </c>
      <c r="BM42" s="49" t="n">
        <v>5</v>
      </c>
      <c r="BN42" s="50" t="n">
        <f aca="false">AVERAGEA(BM42,BO42)</f>
        <v>8.9</v>
      </c>
      <c r="BO42" s="51" t="n">
        <v>12.8</v>
      </c>
    </row>
    <row r="43" customFormat="false" ht="15" hidden="false" customHeight="true" outlineLevel="0" collapsed="false">
      <c r="B43" s="40"/>
      <c r="C43" s="90"/>
      <c r="D43" s="85"/>
      <c r="E43" s="80"/>
      <c r="F43" s="44" t="s">
        <v>48</v>
      </c>
      <c r="G43" s="81"/>
      <c r="H43" s="92" t="n">
        <v>26.7555293750025</v>
      </c>
      <c r="I43" s="71" t="n">
        <f aca="false">AVERAGE(H43,J43)</f>
        <v>30.9155581618704</v>
      </c>
      <c r="J43" s="93" t="n">
        <v>35.0755869487383</v>
      </c>
      <c r="K43" s="49" t="s">
        <v>46</v>
      </c>
      <c r="L43" s="50"/>
      <c r="M43" s="51" t="s">
        <v>46</v>
      </c>
      <c r="N43" s="52" t="s">
        <v>46</v>
      </c>
      <c r="O43" s="53"/>
      <c r="P43" s="54" t="s">
        <v>46</v>
      </c>
      <c r="Q43" s="52" t="s">
        <v>46</v>
      </c>
      <c r="R43" s="53"/>
      <c r="S43" s="53" t="s">
        <v>46</v>
      </c>
      <c r="T43" s="49" t="n">
        <v>85</v>
      </c>
      <c r="U43" s="50" t="n">
        <f aca="false">AVERAGEA(V43, T43)</f>
        <v>85.65</v>
      </c>
      <c r="V43" s="51" t="n">
        <v>86.3</v>
      </c>
      <c r="W43" s="78" t="n">
        <v>60</v>
      </c>
      <c r="X43" s="53" t="n">
        <f aca="false">AVERAGEA(Y43, W43)</f>
        <v>40</v>
      </c>
      <c r="Y43" s="54" t="n">
        <v>20</v>
      </c>
      <c r="Z43" s="49" t="n">
        <v>0.58</v>
      </c>
      <c r="AA43" s="94" t="n">
        <f aca="false">AVERAGEA(AB43, Z43)</f>
        <v>4.29</v>
      </c>
      <c r="AB43" s="51" t="n">
        <v>8</v>
      </c>
      <c r="AC43" s="95" t="n">
        <v>0.58</v>
      </c>
      <c r="AD43" s="53" t="n">
        <f aca="false">AVERAGEA(AE43, AC43)</f>
        <v>4.29</v>
      </c>
      <c r="AE43" s="96" t="n">
        <v>8</v>
      </c>
      <c r="AF43" s="97" t="n">
        <v>3</v>
      </c>
      <c r="AG43" s="50" t="n">
        <f aca="false">AVERAGEA(AH43, AF43)</f>
        <v>13.5</v>
      </c>
      <c r="AH43" s="98" t="n">
        <v>24</v>
      </c>
      <c r="AI43" s="99" t="n">
        <v>6</v>
      </c>
      <c r="AJ43" s="77" t="n">
        <f aca="false">AVERAGEA(AK43, AI43)</f>
        <v>8</v>
      </c>
      <c r="AK43" s="98" t="n">
        <v>10</v>
      </c>
      <c r="AL43" s="95" t="n">
        <v>1400</v>
      </c>
      <c r="AM43" s="100" t="n">
        <f aca="false">AVERAGEA(AN43, AL43)</f>
        <v>1680.5</v>
      </c>
      <c r="AN43" s="54" t="n">
        <v>1961</v>
      </c>
      <c r="AO43" s="49" t="n">
        <v>31.1</v>
      </c>
      <c r="AP43" s="50" t="n">
        <f aca="false">AVERAGEA(AQ43, AO43)</f>
        <v>34.05</v>
      </c>
      <c r="AQ43" s="51" t="n">
        <v>37</v>
      </c>
      <c r="AR43" s="78" t="n">
        <v>2.6</v>
      </c>
      <c r="AS43" s="53" t="n">
        <f aca="false">AVERAGEA(AT43, AR43)</f>
        <v>6.55</v>
      </c>
      <c r="AT43" s="54" t="n">
        <v>10.5</v>
      </c>
      <c r="AU43" s="49" t="n">
        <v>8.4</v>
      </c>
      <c r="AV43" s="50" t="n">
        <f aca="false">AVERAGE(AU43,AW43)</f>
        <v>39.45</v>
      </c>
      <c r="AW43" s="51" t="n">
        <v>70.5</v>
      </c>
      <c r="AX43" s="79" t="n">
        <v>46</v>
      </c>
      <c r="AY43" s="53" t="n">
        <f aca="false">AVERAGE(AX43,AZ43)</f>
        <v>81.5</v>
      </c>
      <c r="AZ43" s="54" t="n">
        <v>117</v>
      </c>
      <c r="BA43" s="49" t="n">
        <v>67</v>
      </c>
      <c r="BB43" s="50" t="n">
        <f aca="false">AVERAGE(BA43,BC43)</f>
        <v>88.5</v>
      </c>
      <c r="BC43" s="51" t="n">
        <v>110</v>
      </c>
      <c r="BD43" s="78" t="n">
        <v>1.8</v>
      </c>
      <c r="BE43" s="53" t="n">
        <f aca="false">AVERAGEA(BF43, BD43)</f>
        <v>1.8</v>
      </c>
      <c r="BF43" s="54" t="n">
        <v>1.8</v>
      </c>
      <c r="BG43" s="49" t="n">
        <v>120</v>
      </c>
      <c r="BH43" s="50" t="n">
        <f aca="false">AVERAGEA(BG43,BI43)</f>
        <v>240</v>
      </c>
      <c r="BI43" s="51" t="n">
        <v>360</v>
      </c>
      <c r="BJ43" s="79" t="n">
        <v>4</v>
      </c>
      <c r="BK43" s="53" t="n">
        <f aca="false">AVERAGEA(BJ43,BL43)</f>
        <v>5.5</v>
      </c>
      <c r="BL43" s="54" t="n">
        <v>7</v>
      </c>
      <c r="BM43" s="49" t="n">
        <v>5</v>
      </c>
      <c r="BN43" s="50" t="n">
        <f aca="false">AVERAGEA(BM43,BO43)</f>
        <v>8.9</v>
      </c>
      <c r="BO43" s="51" t="n">
        <v>12.8</v>
      </c>
    </row>
    <row r="44" customFormat="false" ht="15" hidden="false" customHeight="true" outlineLevel="0" collapsed="false">
      <c r="B44" s="40"/>
      <c r="C44" s="90"/>
      <c r="D44" s="85"/>
      <c r="E44" s="80"/>
      <c r="F44" s="44" t="s">
        <v>49</v>
      </c>
      <c r="G44" s="81"/>
      <c r="H44" s="92" t="n">
        <v>21.147009345108</v>
      </c>
      <c r="I44" s="71" t="n">
        <f aca="false">AVERAGE(H44,J44)</f>
        <v>23.9325877466905</v>
      </c>
      <c r="J44" s="93" t="n">
        <v>26.718166148273</v>
      </c>
      <c r="K44" s="49" t="s">
        <v>46</v>
      </c>
      <c r="L44" s="50"/>
      <c r="M44" s="51" t="s">
        <v>46</v>
      </c>
      <c r="N44" s="52" t="s">
        <v>46</v>
      </c>
      <c r="O44" s="53"/>
      <c r="P44" s="54" t="s">
        <v>46</v>
      </c>
      <c r="Q44" s="52" t="s">
        <v>46</v>
      </c>
      <c r="R44" s="53"/>
      <c r="S44" s="53" t="s">
        <v>46</v>
      </c>
      <c r="T44" s="49" t="n">
        <v>85</v>
      </c>
      <c r="U44" s="50" t="n">
        <f aca="false">AVERAGEA(V44, T44)</f>
        <v>85.65</v>
      </c>
      <c r="V44" s="51" t="n">
        <v>86.3</v>
      </c>
      <c r="W44" s="78" t="n">
        <v>60</v>
      </c>
      <c r="X44" s="53" t="n">
        <f aca="false">AVERAGEA(Y44, W44)</f>
        <v>40</v>
      </c>
      <c r="Y44" s="54" t="n">
        <v>20</v>
      </c>
      <c r="Z44" s="49" t="n">
        <v>0.58</v>
      </c>
      <c r="AA44" s="94" t="n">
        <f aca="false">AVERAGEA(AB44, Z44)</f>
        <v>4.29</v>
      </c>
      <c r="AB44" s="51" t="n">
        <v>8</v>
      </c>
      <c r="AC44" s="95" t="n">
        <v>0.58</v>
      </c>
      <c r="AD44" s="53" t="n">
        <f aca="false">AVERAGEA(AE44, AC44)</f>
        <v>4.29</v>
      </c>
      <c r="AE44" s="96" t="n">
        <v>8</v>
      </c>
      <c r="AF44" s="97" t="n">
        <v>3</v>
      </c>
      <c r="AG44" s="50" t="n">
        <f aca="false">AVERAGEA(AH44, AF44)</f>
        <v>13.5</v>
      </c>
      <c r="AH44" s="98" t="n">
        <v>24</v>
      </c>
      <c r="AI44" s="99" t="n">
        <v>6</v>
      </c>
      <c r="AJ44" s="77" t="n">
        <f aca="false">AVERAGEA(AK44, AI44)</f>
        <v>8</v>
      </c>
      <c r="AK44" s="98" t="n">
        <v>10</v>
      </c>
      <c r="AL44" s="95" t="n">
        <v>1400</v>
      </c>
      <c r="AM44" s="100" t="n">
        <f aca="false">AVERAGEA(AN44, AL44)</f>
        <v>1680.5</v>
      </c>
      <c r="AN44" s="54" t="n">
        <v>1961</v>
      </c>
      <c r="AO44" s="49" t="n">
        <v>31.1</v>
      </c>
      <c r="AP44" s="50" t="n">
        <f aca="false">AVERAGEA(AQ44, AO44)</f>
        <v>34.05</v>
      </c>
      <c r="AQ44" s="51" t="n">
        <v>37</v>
      </c>
      <c r="AR44" s="78" t="n">
        <v>2.6</v>
      </c>
      <c r="AS44" s="53" t="n">
        <f aca="false">AVERAGEA(AT44, AR44)</f>
        <v>6.55</v>
      </c>
      <c r="AT44" s="54" t="n">
        <v>10.5</v>
      </c>
      <c r="AU44" s="49" t="n">
        <v>8.4</v>
      </c>
      <c r="AV44" s="50" t="n">
        <f aca="false">AVERAGE(AU44,AW44)</f>
        <v>39.45</v>
      </c>
      <c r="AW44" s="51" t="n">
        <v>70.5</v>
      </c>
      <c r="AX44" s="79" t="n">
        <v>46</v>
      </c>
      <c r="AY44" s="53" t="n">
        <f aca="false">AVERAGE(AX44,AZ44)</f>
        <v>81.5</v>
      </c>
      <c r="AZ44" s="54" t="n">
        <v>117</v>
      </c>
      <c r="BA44" s="49" t="n">
        <v>67</v>
      </c>
      <c r="BB44" s="50" t="n">
        <f aca="false">AVERAGE(BA44,BC44)</f>
        <v>88.5</v>
      </c>
      <c r="BC44" s="51" t="n">
        <v>110</v>
      </c>
      <c r="BD44" s="78" t="n">
        <v>1.8</v>
      </c>
      <c r="BE44" s="53" t="n">
        <f aca="false">AVERAGEA(BF44, BD44)</f>
        <v>1.8</v>
      </c>
      <c r="BF44" s="54" t="n">
        <v>1.8</v>
      </c>
      <c r="BG44" s="49" t="n">
        <v>120</v>
      </c>
      <c r="BH44" s="50" t="n">
        <f aca="false">AVERAGEA(BG44,BI44)</f>
        <v>240</v>
      </c>
      <c r="BI44" s="51" t="n">
        <v>360</v>
      </c>
      <c r="BJ44" s="79" t="n">
        <v>4</v>
      </c>
      <c r="BK44" s="53" t="n">
        <f aca="false">AVERAGEA(BJ44,BL44)</f>
        <v>5.5</v>
      </c>
      <c r="BL44" s="54" t="n">
        <v>7</v>
      </c>
      <c r="BM44" s="49" t="n">
        <v>5</v>
      </c>
      <c r="BN44" s="50" t="n">
        <f aca="false">AVERAGEA(BM44,BO44)</f>
        <v>8.9</v>
      </c>
      <c r="BO44" s="51" t="n">
        <v>12.8</v>
      </c>
    </row>
    <row r="45" customFormat="false" ht="15" hidden="false" customHeight="true" outlineLevel="0" collapsed="false">
      <c r="B45" s="40"/>
      <c r="C45" s="90"/>
      <c r="D45" s="85"/>
      <c r="E45" s="80" t="s">
        <v>51</v>
      </c>
      <c r="F45" s="44" t="s">
        <v>45</v>
      </c>
      <c r="G45" s="81"/>
      <c r="H45" s="92" t="n">
        <v>36.6053488967538</v>
      </c>
      <c r="I45" s="71" t="n">
        <f aca="false">AVERAGE(H45,J45)</f>
        <v>37.6975951159586</v>
      </c>
      <c r="J45" s="93" t="n">
        <v>38.7898413351634</v>
      </c>
      <c r="K45" s="49" t="s">
        <v>46</v>
      </c>
      <c r="L45" s="50"/>
      <c r="M45" s="51" t="s">
        <v>46</v>
      </c>
      <c r="N45" s="52" t="s">
        <v>46</v>
      </c>
      <c r="O45" s="53"/>
      <c r="P45" s="54" t="s">
        <v>46</v>
      </c>
      <c r="Q45" s="52" t="s">
        <v>46</v>
      </c>
      <c r="R45" s="53"/>
      <c r="S45" s="53" t="s">
        <v>46</v>
      </c>
      <c r="T45" s="49" t="n">
        <v>85</v>
      </c>
      <c r="U45" s="50" t="n">
        <f aca="false">AVERAGEA(V45, T45)</f>
        <v>85.65</v>
      </c>
      <c r="V45" s="51" t="n">
        <v>86.3</v>
      </c>
      <c r="W45" s="78" t="n">
        <v>60</v>
      </c>
      <c r="X45" s="53" t="n">
        <f aca="false">AVERAGEA(Y45, W45)</f>
        <v>40</v>
      </c>
      <c r="Y45" s="54" t="n">
        <v>20</v>
      </c>
      <c r="Z45" s="49" t="n">
        <v>0.58</v>
      </c>
      <c r="AA45" s="94" t="n">
        <f aca="false">AVERAGEA(AB45, Z45)</f>
        <v>4.29</v>
      </c>
      <c r="AB45" s="51" t="n">
        <v>8</v>
      </c>
      <c r="AC45" s="95" t="n">
        <v>0.58</v>
      </c>
      <c r="AD45" s="53" t="n">
        <f aca="false">AVERAGEA(AE45, AC45)</f>
        <v>4.29</v>
      </c>
      <c r="AE45" s="96" t="n">
        <v>8</v>
      </c>
      <c r="AF45" s="97" t="n">
        <v>3</v>
      </c>
      <c r="AG45" s="50" t="n">
        <f aca="false">AVERAGEA(AH45, AF45)</f>
        <v>13.5</v>
      </c>
      <c r="AH45" s="98" t="n">
        <v>24</v>
      </c>
      <c r="AI45" s="99" t="n">
        <v>6</v>
      </c>
      <c r="AJ45" s="77" t="n">
        <f aca="false">AVERAGEA(AK45, AI45)</f>
        <v>8</v>
      </c>
      <c r="AK45" s="98" t="n">
        <v>10</v>
      </c>
      <c r="AL45" s="95" t="n">
        <v>1400</v>
      </c>
      <c r="AM45" s="100" t="n">
        <f aca="false">AVERAGEA(AN45, AL45)</f>
        <v>1680.5</v>
      </c>
      <c r="AN45" s="54" t="n">
        <v>1961</v>
      </c>
      <c r="AO45" s="49" t="n">
        <v>31.1</v>
      </c>
      <c r="AP45" s="50" t="n">
        <f aca="false">AVERAGEA(AQ45, AO45)</f>
        <v>34.05</v>
      </c>
      <c r="AQ45" s="51" t="n">
        <v>37</v>
      </c>
      <c r="AR45" s="78" t="n">
        <v>2.6</v>
      </c>
      <c r="AS45" s="53" t="n">
        <f aca="false">AVERAGEA(AT45, AR45)</f>
        <v>6.55</v>
      </c>
      <c r="AT45" s="54" t="n">
        <v>10.5</v>
      </c>
      <c r="AU45" s="49" t="n">
        <v>8.4</v>
      </c>
      <c r="AV45" s="50" t="n">
        <f aca="false">AVERAGE(AU45,AW45)</f>
        <v>39.45</v>
      </c>
      <c r="AW45" s="51" t="n">
        <v>70.5</v>
      </c>
      <c r="AX45" s="79" t="n">
        <v>46</v>
      </c>
      <c r="AY45" s="53" t="n">
        <f aca="false">AVERAGE(AX45,AZ45)</f>
        <v>81.5</v>
      </c>
      <c r="AZ45" s="54" t="n">
        <v>117</v>
      </c>
      <c r="BA45" s="49" t="n">
        <v>67</v>
      </c>
      <c r="BB45" s="50" t="n">
        <f aca="false">AVERAGE(BA45,BC45)</f>
        <v>88.5</v>
      </c>
      <c r="BC45" s="51" t="n">
        <v>110</v>
      </c>
      <c r="BD45" s="78" t="n">
        <v>1.8</v>
      </c>
      <c r="BE45" s="53" t="n">
        <f aca="false">AVERAGEA(BF45, BD45)</f>
        <v>1.8</v>
      </c>
      <c r="BF45" s="54" t="n">
        <v>1.8</v>
      </c>
      <c r="BG45" s="49" t="n">
        <v>120</v>
      </c>
      <c r="BH45" s="50" t="n">
        <f aca="false">AVERAGEA(BG45,BI45)</f>
        <v>240</v>
      </c>
      <c r="BI45" s="51" t="n">
        <v>360</v>
      </c>
      <c r="BJ45" s="79" t="n">
        <v>4</v>
      </c>
      <c r="BK45" s="53" t="n">
        <f aca="false">AVERAGEA(BJ45,BL45)</f>
        <v>5.5</v>
      </c>
      <c r="BL45" s="54" t="n">
        <v>7</v>
      </c>
      <c r="BM45" s="49" t="n">
        <v>5</v>
      </c>
      <c r="BN45" s="50" t="n">
        <f aca="false">AVERAGEA(BM45,BO45)</f>
        <v>8.9</v>
      </c>
      <c r="BO45" s="51" t="n">
        <v>12.8</v>
      </c>
    </row>
    <row r="46" customFormat="false" ht="15" hidden="false" customHeight="true" outlineLevel="0" collapsed="false">
      <c r="B46" s="40"/>
      <c r="C46" s="90"/>
      <c r="D46" s="85"/>
      <c r="E46" s="80"/>
      <c r="F46" s="44" t="s">
        <v>47</v>
      </c>
      <c r="G46" s="81"/>
      <c r="H46" s="92" t="n">
        <v>33.9631806266255</v>
      </c>
      <c r="I46" s="71" t="n">
        <f aca="false">AVERAGE(H46,J46)</f>
        <v>35.280893282292</v>
      </c>
      <c r="J46" s="93" t="n">
        <v>36.5986059379585</v>
      </c>
      <c r="K46" s="49" t="s">
        <v>46</v>
      </c>
      <c r="L46" s="50"/>
      <c r="M46" s="51" t="s">
        <v>46</v>
      </c>
      <c r="N46" s="52" t="s">
        <v>46</v>
      </c>
      <c r="O46" s="53"/>
      <c r="P46" s="54" t="s">
        <v>46</v>
      </c>
      <c r="Q46" s="52" t="s">
        <v>46</v>
      </c>
      <c r="R46" s="53"/>
      <c r="S46" s="53" t="s">
        <v>46</v>
      </c>
      <c r="T46" s="49" t="n">
        <v>85</v>
      </c>
      <c r="U46" s="50" t="n">
        <f aca="false">AVERAGEA(V46, T46)</f>
        <v>85.65</v>
      </c>
      <c r="V46" s="51" t="n">
        <v>86.3</v>
      </c>
      <c r="W46" s="78" t="n">
        <v>60</v>
      </c>
      <c r="X46" s="53" t="n">
        <f aca="false">AVERAGEA(Y46, W46)</f>
        <v>40</v>
      </c>
      <c r="Y46" s="54" t="n">
        <v>20</v>
      </c>
      <c r="Z46" s="49" t="n">
        <v>0.58</v>
      </c>
      <c r="AA46" s="94" t="n">
        <f aca="false">AVERAGEA(AB46, Z46)</f>
        <v>4.29</v>
      </c>
      <c r="AB46" s="51" t="n">
        <v>8</v>
      </c>
      <c r="AC46" s="95" t="n">
        <v>0.58</v>
      </c>
      <c r="AD46" s="53" t="n">
        <f aca="false">AVERAGEA(AE46, AC46)</f>
        <v>4.29</v>
      </c>
      <c r="AE46" s="96" t="n">
        <v>8</v>
      </c>
      <c r="AF46" s="97" t="n">
        <v>3</v>
      </c>
      <c r="AG46" s="50" t="n">
        <f aca="false">AVERAGEA(AH46, AF46)</f>
        <v>13.5</v>
      </c>
      <c r="AH46" s="98" t="n">
        <v>24</v>
      </c>
      <c r="AI46" s="99" t="n">
        <v>6</v>
      </c>
      <c r="AJ46" s="77" t="n">
        <f aca="false">AVERAGEA(AK46, AI46)</f>
        <v>8</v>
      </c>
      <c r="AK46" s="98" t="n">
        <v>10</v>
      </c>
      <c r="AL46" s="95" t="n">
        <v>1400</v>
      </c>
      <c r="AM46" s="100" t="n">
        <f aca="false">AVERAGEA(AN46, AL46)</f>
        <v>1680.5</v>
      </c>
      <c r="AN46" s="54" t="n">
        <v>1961</v>
      </c>
      <c r="AO46" s="49" t="n">
        <v>31.1</v>
      </c>
      <c r="AP46" s="50" t="n">
        <f aca="false">AVERAGEA(AQ46, AO46)</f>
        <v>34.05</v>
      </c>
      <c r="AQ46" s="51" t="n">
        <v>37</v>
      </c>
      <c r="AR46" s="78" t="n">
        <v>2.6</v>
      </c>
      <c r="AS46" s="53" t="n">
        <f aca="false">AVERAGEA(AT46, AR46)</f>
        <v>6.55</v>
      </c>
      <c r="AT46" s="54" t="n">
        <v>10.5</v>
      </c>
      <c r="AU46" s="49" t="n">
        <v>8.4</v>
      </c>
      <c r="AV46" s="50" t="n">
        <f aca="false">AVERAGE(AU46,AW46)</f>
        <v>39.45</v>
      </c>
      <c r="AW46" s="51" t="n">
        <v>70.5</v>
      </c>
      <c r="AX46" s="79" t="n">
        <v>46</v>
      </c>
      <c r="AY46" s="53" t="n">
        <f aca="false">AVERAGE(AX46,AZ46)</f>
        <v>81.5</v>
      </c>
      <c r="AZ46" s="54" t="n">
        <v>117</v>
      </c>
      <c r="BA46" s="49" t="n">
        <v>67</v>
      </c>
      <c r="BB46" s="50" t="n">
        <f aca="false">AVERAGE(BA46,BC46)</f>
        <v>88.5</v>
      </c>
      <c r="BC46" s="51" t="n">
        <v>110</v>
      </c>
      <c r="BD46" s="78" t="n">
        <v>1.8</v>
      </c>
      <c r="BE46" s="53" t="n">
        <f aca="false">AVERAGEA(BF46, BD46)</f>
        <v>1.8</v>
      </c>
      <c r="BF46" s="54" t="n">
        <v>1.8</v>
      </c>
      <c r="BG46" s="49" t="n">
        <v>120</v>
      </c>
      <c r="BH46" s="50" t="n">
        <f aca="false">AVERAGEA(BG46,BI46)</f>
        <v>240</v>
      </c>
      <c r="BI46" s="51" t="n">
        <v>360</v>
      </c>
      <c r="BJ46" s="79" t="n">
        <v>4</v>
      </c>
      <c r="BK46" s="53" t="n">
        <f aca="false">AVERAGEA(BJ46,BL46)</f>
        <v>5.5</v>
      </c>
      <c r="BL46" s="54" t="n">
        <v>7</v>
      </c>
      <c r="BM46" s="49" t="n">
        <v>5</v>
      </c>
      <c r="BN46" s="50" t="n">
        <f aca="false">AVERAGEA(BM46,BO46)</f>
        <v>8.9</v>
      </c>
      <c r="BO46" s="51" t="n">
        <v>12.8</v>
      </c>
    </row>
    <row r="47" customFormat="false" ht="15" hidden="false" customHeight="true" outlineLevel="0" collapsed="false">
      <c r="B47" s="40"/>
      <c r="C47" s="90"/>
      <c r="D47" s="85"/>
      <c r="E47" s="80"/>
      <c r="F47" s="44" t="s">
        <v>48</v>
      </c>
      <c r="G47" s="81"/>
      <c r="H47" s="92" t="n">
        <v>25.8932451769239</v>
      </c>
      <c r="I47" s="71" t="n">
        <f aca="false">AVERAGE(H47,J47)</f>
        <v>29.9192034680751</v>
      </c>
      <c r="J47" s="93" t="n">
        <v>33.9451617592263</v>
      </c>
      <c r="K47" s="49" t="s">
        <v>46</v>
      </c>
      <c r="L47" s="50"/>
      <c r="M47" s="51" t="s">
        <v>46</v>
      </c>
      <c r="N47" s="52" t="s">
        <v>46</v>
      </c>
      <c r="O47" s="53"/>
      <c r="P47" s="54" t="s">
        <v>46</v>
      </c>
      <c r="Q47" s="52" t="s">
        <v>46</v>
      </c>
      <c r="R47" s="53"/>
      <c r="S47" s="53" t="s">
        <v>46</v>
      </c>
      <c r="T47" s="49" t="n">
        <v>85</v>
      </c>
      <c r="U47" s="50" t="n">
        <f aca="false">AVERAGEA(V47, T47)</f>
        <v>85.65</v>
      </c>
      <c r="V47" s="51" t="n">
        <v>86.3</v>
      </c>
      <c r="W47" s="78" t="n">
        <v>60</v>
      </c>
      <c r="X47" s="53" t="n">
        <f aca="false">AVERAGEA(Y47, W47)</f>
        <v>40</v>
      </c>
      <c r="Y47" s="54" t="n">
        <v>20</v>
      </c>
      <c r="Z47" s="49" t="n">
        <v>0.58</v>
      </c>
      <c r="AA47" s="94" t="n">
        <f aca="false">AVERAGEA(AB47, Z47)</f>
        <v>4.29</v>
      </c>
      <c r="AB47" s="51" t="n">
        <v>8</v>
      </c>
      <c r="AC47" s="95" t="n">
        <v>0.58</v>
      </c>
      <c r="AD47" s="53" t="n">
        <f aca="false">AVERAGEA(AE47, AC47)</f>
        <v>4.29</v>
      </c>
      <c r="AE47" s="96" t="n">
        <v>8</v>
      </c>
      <c r="AF47" s="97" t="n">
        <v>3</v>
      </c>
      <c r="AG47" s="50" t="n">
        <f aca="false">AVERAGEA(AH47, AF47)</f>
        <v>13.5</v>
      </c>
      <c r="AH47" s="98" t="n">
        <v>24</v>
      </c>
      <c r="AI47" s="99" t="n">
        <v>6</v>
      </c>
      <c r="AJ47" s="77" t="n">
        <f aca="false">AVERAGEA(AK47, AI47)</f>
        <v>8</v>
      </c>
      <c r="AK47" s="98" t="n">
        <v>10</v>
      </c>
      <c r="AL47" s="95" t="n">
        <v>1400</v>
      </c>
      <c r="AM47" s="100" t="n">
        <f aca="false">AVERAGEA(AN47, AL47)</f>
        <v>1680.5</v>
      </c>
      <c r="AN47" s="54" t="n">
        <v>1961</v>
      </c>
      <c r="AO47" s="49" t="n">
        <v>31.1</v>
      </c>
      <c r="AP47" s="50" t="n">
        <f aca="false">AVERAGEA(AQ47, AO47)</f>
        <v>34.05</v>
      </c>
      <c r="AQ47" s="51" t="n">
        <v>37</v>
      </c>
      <c r="AR47" s="78" t="n">
        <v>2.6</v>
      </c>
      <c r="AS47" s="53" t="n">
        <f aca="false">AVERAGEA(AT47, AR47)</f>
        <v>6.55</v>
      </c>
      <c r="AT47" s="54" t="n">
        <v>10.5</v>
      </c>
      <c r="AU47" s="49" t="n">
        <v>8.4</v>
      </c>
      <c r="AV47" s="50" t="n">
        <f aca="false">AVERAGE(AU47,AW47)</f>
        <v>39.45</v>
      </c>
      <c r="AW47" s="51" t="n">
        <v>70.5</v>
      </c>
      <c r="AX47" s="79" t="n">
        <v>46</v>
      </c>
      <c r="AY47" s="53" t="n">
        <f aca="false">AVERAGE(AX47,AZ47)</f>
        <v>81.5</v>
      </c>
      <c r="AZ47" s="54" t="n">
        <v>117</v>
      </c>
      <c r="BA47" s="49" t="n">
        <v>67</v>
      </c>
      <c r="BB47" s="50" t="n">
        <f aca="false">AVERAGE(BA47,BC47)</f>
        <v>88.5</v>
      </c>
      <c r="BC47" s="51" t="n">
        <v>110</v>
      </c>
      <c r="BD47" s="78" t="n">
        <v>1.8</v>
      </c>
      <c r="BE47" s="53" t="n">
        <f aca="false">AVERAGEA(BF47, BD47)</f>
        <v>1.8</v>
      </c>
      <c r="BF47" s="54" t="n">
        <v>1.8</v>
      </c>
      <c r="BG47" s="49" t="n">
        <v>120</v>
      </c>
      <c r="BH47" s="50" t="n">
        <f aca="false">AVERAGEA(BG47,BI47)</f>
        <v>240</v>
      </c>
      <c r="BI47" s="51" t="n">
        <v>360</v>
      </c>
      <c r="BJ47" s="79" t="n">
        <v>4</v>
      </c>
      <c r="BK47" s="53" t="n">
        <f aca="false">AVERAGEA(BJ47,BL47)</f>
        <v>5.5</v>
      </c>
      <c r="BL47" s="54" t="n">
        <v>7</v>
      </c>
      <c r="BM47" s="49" t="n">
        <v>5</v>
      </c>
      <c r="BN47" s="50" t="n">
        <f aca="false">AVERAGEA(BM47,BO47)</f>
        <v>8.9</v>
      </c>
      <c r="BO47" s="51" t="n">
        <v>12.8</v>
      </c>
    </row>
    <row r="48" customFormat="false" ht="15" hidden="false" customHeight="true" outlineLevel="0" collapsed="false">
      <c r="B48" s="40"/>
      <c r="C48" s="90"/>
      <c r="D48" s="85"/>
      <c r="E48" s="80"/>
      <c r="F48" s="44" t="s">
        <v>49</v>
      </c>
      <c r="G48" s="81"/>
      <c r="H48" s="92" t="n">
        <v>20.4654779973505</v>
      </c>
      <c r="I48" s="71" t="n">
        <f aca="false">AVERAGE(H48,J48)</f>
        <v>23.1612820496938</v>
      </c>
      <c r="J48" s="93" t="n">
        <v>25.857086102037</v>
      </c>
      <c r="K48" s="49" t="s">
        <v>46</v>
      </c>
      <c r="L48" s="50"/>
      <c r="M48" s="51" t="s">
        <v>46</v>
      </c>
      <c r="N48" s="52" t="s">
        <v>46</v>
      </c>
      <c r="O48" s="53"/>
      <c r="P48" s="54" t="s">
        <v>46</v>
      </c>
      <c r="Q48" s="52" t="s">
        <v>46</v>
      </c>
      <c r="R48" s="53"/>
      <c r="S48" s="53" t="s">
        <v>46</v>
      </c>
      <c r="T48" s="49" t="n">
        <v>85</v>
      </c>
      <c r="U48" s="50" t="n">
        <f aca="false">AVERAGEA(V48, T48)</f>
        <v>85.65</v>
      </c>
      <c r="V48" s="51" t="n">
        <v>86.3</v>
      </c>
      <c r="W48" s="78" t="n">
        <v>60</v>
      </c>
      <c r="X48" s="53" t="n">
        <f aca="false">AVERAGEA(Y48, W48)</f>
        <v>40</v>
      </c>
      <c r="Y48" s="54" t="n">
        <v>20</v>
      </c>
      <c r="Z48" s="49" t="n">
        <v>0.58</v>
      </c>
      <c r="AA48" s="94" t="n">
        <f aca="false">AVERAGEA(AB48, Z48)</f>
        <v>4.29</v>
      </c>
      <c r="AB48" s="51" t="n">
        <v>8</v>
      </c>
      <c r="AC48" s="95" t="n">
        <v>0.58</v>
      </c>
      <c r="AD48" s="53" t="n">
        <f aca="false">AVERAGEA(AE48, AC48)</f>
        <v>4.29</v>
      </c>
      <c r="AE48" s="96" t="n">
        <v>8</v>
      </c>
      <c r="AF48" s="97" t="n">
        <v>3</v>
      </c>
      <c r="AG48" s="50" t="n">
        <f aca="false">AVERAGEA(AH48, AF48)</f>
        <v>13.5</v>
      </c>
      <c r="AH48" s="98" t="n">
        <v>24</v>
      </c>
      <c r="AI48" s="99" t="n">
        <v>6</v>
      </c>
      <c r="AJ48" s="77" t="n">
        <f aca="false">AVERAGEA(AK48, AI48)</f>
        <v>8</v>
      </c>
      <c r="AK48" s="98" t="n">
        <v>10</v>
      </c>
      <c r="AL48" s="95" t="n">
        <v>1400</v>
      </c>
      <c r="AM48" s="100" t="n">
        <f aca="false">AVERAGEA(AN48, AL48)</f>
        <v>1680.5</v>
      </c>
      <c r="AN48" s="54" t="n">
        <v>1961</v>
      </c>
      <c r="AO48" s="49" t="n">
        <v>31.1</v>
      </c>
      <c r="AP48" s="50" t="n">
        <f aca="false">AVERAGEA(AQ48, AO48)</f>
        <v>34.05</v>
      </c>
      <c r="AQ48" s="51" t="n">
        <v>37</v>
      </c>
      <c r="AR48" s="78" t="n">
        <v>2.6</v>
      </c>
      <c r="AS48" s="53" t="n">
        <f aca="false">AVERAGEA(AT48, AR48)</f>
        <v>6.55</v>
      </c>
      <c r="AT48" s="54" t="n">
        <v>10.5</v>
      </c>
      <c r="AU48" s="49" t="n">
        <v>8.4</v>
      </c>
      <c r="AV48" s="50" t="n">
        <f aca="false">AVERAGE(AU48,AW48)</f>
        <v>39.45</v>
      </c>
      <c r="AW48" s="51" t="n">
        <v>70.5</v>
      </c>
      <c r="AX48" s="79" t="n">
        <v>46</v>
      </c>
      <c r="AY48" s="53" t="n">
        <f aca="false">AVERAGE(AX48,AZ48)</f>
        <v>81.5</v>
      </c>
      <c r="AZ48" s="54" t="n">
        <v>117</v>
      </c>
      <c r="BA48" s="49" t="n">
        <v>67</v>
      </c>
      <c r="BB48" s="50" t="n">
        <f aca="false">AVERAGE(BA48,BC48)</f>
        <v>88.5</v>
      </c>
      <c r="BC48" s="51" t="n">
        <v>110</v>
      </c>
      <c r="BD48" s="78" t="n">
        <v>1.8</v>
      </c>
      <c r="BE48" s="53" t="n">
        <f aca="false">AVERAGEA(BF48, BD48)</f>
        <v>1.8</v>
      </c>
      <c r="BF48" s="54" t="n">
        <v>1.8</v>
      </c>
      <c r="BG48" s="49" t="n">
        <v>120</v>
      </c>
      <c r="BH48" s="50" t="n">
        <f aca="false">AVERAGEA(BG48,BI48)</f>
        <v>240</v>
      </c>
      <c r="BI48" s="51" t="n">
        <v>360</v>
      </c>
      <c r="BJ48" s="79" t="n">
        <v>4</v>
      </c>
      <c r="BK48" s="53" t="n">
        <f aca="false">AVERAGEA(BJ48,BL48)</f>
        <v>5.5</v>
      </c>
      <c r="BL48" s="54" t="n">
        <v>7</v>
      </c>
      <c r="BM48" s="49" t="n">
        <v>5</v>
      </c>
      <c r="BN48" s="50" t="n">
        <f aca="false">AVERAGEA(BM48,BO48)</f>
        <v>8.9</v>
      </c>
      <c r="BO48" s="51" t="n">
        <v>12.8</v>
      </c>
    </row>
    <row r="49" customFormat="false" ht="15" hidden="false" customHeight="true" outlineLevel="0" collapsed="false">
      <c r="B49" s="40"/>
      <c r="C49" s="90" t="s">
        <v>57</v>
      </c>
      <c r="D49" s="85" t="s">
        <v>53</v>
      </c>
      <c r="E49" s="80" t="s">
        <v>44</v>
      </c>
      <c r="F49" s="44" t="s">
        <v>45</v>
      </c>
      <c r="G49" s="81"/>
      <c r="H49" s="92" t="n">
        <v>40.0313244395166</v>
      </c>
      <c r="I49" s="71" t="n">
        <f aca="false">AVERAGE(H49,J49)</f>
        <v>41.2257963974851</v>
      </c>
      <c r="J49" s="93" t="n">
        <v>42.4202683554535</v>
      </c>
      <c r="K49" s="49" t="s">
        <v>46</v>
      </c>
      <c r="L49" s="50"/>
      <c r="M49" s="51" t="s">
        <v>46</v>
      </c>
      <c r="N49" s="52" t="s">
        <v>46</v>
      </c>
      <c r="O49" s="53"/>
      <c r="P49" s="54" t="s">
        <v>46</v>
      </c>
      <c r="Q49" s="52" t="s">
        <v>46</v>
      </c>
      <c r="R49" s="53"/>
      <c r="S49" s="53" t="s">
        <v>46</v>
      </c>
      <c r="T49" s="49" t="n">
        <v>85</v>
      </c>
      <c r="U49" s="50" t="n">
        <f aca="false">AVERAGEA(V49, T49)</f>
        <v>90.15</v>
      </c>
      <c r="V49" s="51" t="n">
        <v>95.3</v>
      </c>
      <c r="W49" s="78" t="n">
        <v>60</v>
      </c>
      <c r="X49" s="100" t="n">
        <f aca="false">AVERAGEA(Y49, W49)</f>
        <v>40</v>
      </c>
      <c r="Y49" s="54" t="n">
        <v>20</v>
      </c>
      <c r="Z49" s="49" t="n">
        <v>0.58</v>
      </c>
      <c r="AA49" s="94" t="n">
        <f aca="false">AVERAGEA(AB49, Z49)</f>
        <v>3.29</v>
      </c>
      <c r="AB49" s="98" t="n">
        <v>6</v>
      </c>
      <c r="AC49" s="95" t="n">
        <v>0.58</v>
      </c>
      <c r="AD49" s="100" t="n">
        <f aca="false">AVERAGEA(AE49, AC49)</f>
        <v>3.29</v>
      </c>
      <c r="AE49" s="96" t="n">
        <v>6</v>
      </c>
      <c r="AF49" s="97" t="n">
        <v>3</v>
      </c>
      <c r="AG49" s="50" t="n">
        <f aca="false">AVERAGEA(AH49, AF49)</f>
        <v>6.5</v>
      </c>
      <c r="AH49" s="98" t="n">
        <v>10</v>
      </c>
      <c r="AI49" s="99" t="n">
        <v>1.5</v>
      </c>
      <c r="AJ49" s="77" t="n">
        <f aca="false">AVERAGEA(AK49, AI49)</f>
        <v>2.25</v>
      </c>
      <c r="AK49" s="98" t="n">
        <v>3</v>
      </c>
      <c r="AL49" s="95" t="n">
        <v>998</v>
      </c>
      <c r="AM49" s="100" t="n">
        <f aca="false">AVERAGEA(AN49, AL49)</f>
        <v>1839</v>
      </c>
      <c r="AN49" s="96" t="n">
        <v>2680</v>
      </c>
      <c r="AO49" s="97" t="n">
        <v>26.6</v>
      </c>
      <c r="AP49" s="94" t="n">
        <f aca="false">AVERAGEA(AQ49, AO49)</f>
        <v>31.8</v>
      </c>
      <c r="AQ49" s="98" t="n">
        <v>37</v>
      </c>
      <c r="AR49" s="78" t="n">
        <v>2.6</v>
      </c>
      <c r="AS49" s="53" t="n">
        <f aca="false">AVERAGEA(AT49, AR49)</f>
        <v>6.55</v>
      </c>
      <c r="AT49" s="54" t="n">
        <v>10.5</v>
      </c>
      <c r="AU49" s="49" t="n">
        <v>3.56</v>
      </c>
      <c r="AV49" s="50" t="n">
        <f aca="false">AVERAGE(AU49,AW49)</f>
        <v>22.03</v>
      </c>
      <c r="AW49" s="51" t="n">
        <v>40.5</v>
      </c>
      <c r="AX49" s="79" t="n">
        <v>5.7</v>
      </c>
      <c r="AY49" s="53" t="n">
        <f aca="false">AVERAGE(AX49,AZ49)</f>
        <v>26.85</v>
      </c>
      <c r="AZ49" s="54" t="n">
        <v>48</v>
      </c>
      <c r="BA49" s="49" t="n">
        <v>6.2</v>
      </c>
      <c r="BB49" s="50" t="n">
        <f aca="false">AVERAGE(BA49,BC49)</f>
        <v>42.1</v>
      </c>
      <c r="BC49" s="51" t="n">
        <v>78</v>
      </c>
      <c r="BD49" s="78" t="n">
        <v>1.8</v>
      </c>
      <c r="BE49" s="53" t="n">
        <f aca="false">AVERAGEA(BF49, BD49)</f>
        <v>1.8</v>
      </c>
      <c r="BF49" s="54" t="n">
        <v>1.8</v>
      </c>
      <c r="BG49" s="49" t="n">
        <v>78</v>
      </c>
      <c r="BH49" s="50" t="n">
        <f aca="false">AVERAGEA(BG49,BI49)</f>
        <v>159</v>
      </c>
      <c r="BI49" s="51" t="n">
        <v>240</v>
      </c>
      <c r="BJ49" s="79" t="n">
        <v>2</v>
      </c>
      <c r="BK49" s="53" t="n">
        <f aca="false">AVERAGEA(BJ49,BL49)</f>
        <v>3.5</v>
      </c>
      <c r="BL49" s="54" t="n">
        <v>5</v>
      </c>
      <c r="BM49" s="49" t="n">
        <v>5</v>
      </c>
      <c r="BN49" s="50" t="n">
        <f aca="false">AVERAGEA(BM49,BO49)</f>
        <v>8.9</v>
      </c>
      <c r="BO49" s="51" t="n">
        <v>12.8</v>
      </c>
    </row>
    <row r="50" customFormat="false" ht="15" hidden="false" customHeight="true" outlineLevel="0" collapsed="false">
      <c r="B50" s="40"/>
      <c r="C50" s="90"/>
      <c r="D50" s="85"/>
      <c r="E50" s="80"/>
      <c r="F50" s="44" t="s">
        <v>47</v>
      </c>
      <c r="G50" s="81"/>
      <c r="H50" s="92" t="n">
        <v>37.1418697987856</v>
      </c>
      <c r="I50" s="71" t="n">
        <f aca="false">AVERAGE(H50,J50)</f>
        <v>38.5829100955418</v>
      </c>
      <c r="J50" s="93" t="n">
        <v>40.023950392298</v>
      </c>
      <c r="K50" s="49" t="s">
        <v>46</v>
      </c>
      <c r="L50" s="50"/>
      <c r="M50" s="51" t="s">
        <v>46</v>
      </c>
      <c r="N50" s="52" t="s">
        <v>46</v>
      </c>
      <c r="O50" s="53"/>
      <c r="P50" s="54" t="s">
        <v>46</v>
      </c>
      <c r="Q50" s="52" t="s">
        <v>46</v>
      </c>
      <c r="R50" s="53"/>
      <c r="S50" s="53" t="s">
        <v>46</v>
      </c>
      <c r="T50" s="49" t="n">
        <v>85</v>
      </c>
      <c r="U50" s="50" t="n">
        <f aca="false">AVERAGEA(V50, T50)</f>
        <v>90.15</v>
      </c>
      <c r="V50" s="51" t="n">
        <v>95.3</v>
      </c>
      <c r="W50" s="78" t="n">
        <v>60</v>
      </c>
      <c r="X50" s="100" t="n">
        <f aca="false">AVERAGEA(Y50, W50)</f>
        <v>40</v>
      </c>
      <c r="Y50" s="54" t="n">
        <v>20</v>
      </c>
      <c r="Z50" s="49" t="n">
        <v>0.58</v>
      </c>
      <c r="AA50" s="94" t="n">
        <f aca="false">AVERAGEA(AB50, Z50)</f>
        <v>3.29</v>
      </c>
      <c r="AB50" s="98" t="n">
        <v>6</v>
      </c>
      <c r="AC50" s="95" t="n">
        <v>0.58</v>
      </c>
      <c r="AD50" s="100" t="n">
        <f aca="false">AVERAGEA(AE50, AC50)</f>
        <v>3.29</v>
      </c>
      <c r="AE50" s="96" t="n">
        <v>6</v>
      </c>
      <c r="AF50" s="97" t="n">
        <v>3</v>
      </c>
      <c r="AG50" s="50" t="n">
        <f aca="false">AVERAGEA(AH50, AF50)</f>
        <v>6.5</v>
      </c>
      <c r="AH50" s="98" t="n">
        <v>10</v>
      </c>
      <c r="AI50" s="99" t="n">
        <v>1.5</v>
      </c>
      <c r="AJ50" s="77" t="n">
        <f aca="false">AVERAGEA(AK50, AI50)</f>
        <v>2.25</v>
      </c>
      <c r="AK50" s="98" t="n">
        <v>3</v>
      </c>
      <c r="AL50" s="95" t="n">
        <v>998</v>
      </c>
      <c r="AM50" s="100" t="n">
        <f aca="false">AVERAGEA(AN50, AL50)</f>
        <v>1839</v>
      </c>
      <c r="AN50" s="96" t="n">
        <v>2680</v>
      </c>
      <c r="AO50" s="97" t="n">
        <v>26.6</v>
      </c>
      <c r="AP50" s="94" t="n">
        <f aca="false">AVERAGEA(AQ50, AO50)</f>
        <v>31.8</v>
      </c>
      <c r="AQ50" s="98" t="n">
        <v>37</v>
      </c>
      <c r="AR50" s="78" t="n">
        <v>2.6</v>
      </c>
      <c r="AS50" s="53" t="n">
        <f aca="false">AVERAGEA(AT50, AR50)</f>
        <v>6.55</v>
      </c>
      <c r="AT50" s="54" t="n">
        <v>10.5</v>
      </c>
      <c r="AU50" s="49" t="n">
        <v>3.56</v>
      </c>
      <c r="AV50" s="50" t="n">
        <f aca="false">AVERAGE(AU50,AW50)</f>
        <v>22.03</v>
      </c>
      <c r="AW50" s="51" t="n">
        <v>40.5</v>
      </c>
      <c r="AX50" s="79" t="n">
        <v>5.7</v>
      </c>
      <c r="AY50" s="53" t="n">
        <f aca="false">AVERAGE(AX50,AZ50)</f>
        <v>26.85</v>
      </c>
      <c r="AZ50" s="54" t="n">
        <v>48</v>
      </c>
      <c r="BA50" s="49" t="n">
        <v>6.2</v>
      </c>
      <c r="BB50" s="50" t="n">
        <f aca="false">AVERAGE(BA50,BC50)</f>
        <v>42.1</v>
      </c>
      <c r="BC50" s="51" t="n">
        <v>78</v>
      </c>
      <c r="BD50" s="78" t="n">
        <v>1.8</v>
      </c>
      <c r="BE50" s="53" t="n">
        <f aca="false">AVERAGEA(BF50, BD50)</f>
        <v>1.8</v>
      </c>
      <c r="BF50" s="54" t="n">
        <v>1.8</v>
      </c>
      <c r="BG50" s="49" t="n">
        <v>78</v>
      </c>
      <c r="BH50" s="50" t="n">
        <f aca="false">AVERAGEA(BG50,BI50)</f>
        <v>159</v>
      </c>
      <c r="BI50" s="51" t="n">
        <v>240</v>
      </c>
      <c r="BJ50" s="79" t="n">
        <v>2</v>
      </c>
      <c r="BK50" s="53" t="n">
        <f aca="false">AVERAGEA(BJ50,BL50)</f>
        <v>3.5</v>
      </c>
      <c r="BL50" s="54" t="n">
        <v>5</v>
      </c>
      <c r="BM50" s="49" t="n">
        <v>5</v>
      </c>
      <c r="BN50" s="50" t="n">
        <f aca="false">AVERAGEA(BM50,BO50)</f>
        <v>8.9</v>
      </c>
      <c r="BO50" s="51" t="n">
        <v>12.8</v>
      </c>
    </row>
    <row r="51" customFormat="false" ht="15" hidden="false" customHeight="true" outlineLevel="0" collapsed="false">
      <c r="B51" s="40"/>
      <c r="C51" s="90"/>
      <c r="D51" s="85"/>
      <c r="E51" s="80"/>
      <c r="F51" s="44" t="s">
        <v>48</v>
      </c>
      <c r="G51" s="81"/>
      <c r="H51" s="92" t="n">
        <v>28.3166512465972</v>
      </c>
      <c r="I51" s="71" t="n">
        <f aca="false">AVERAGE(H51,J51)</f>
        <v>32.7194078761707</v>
      </c>
      <c r="J51" s="93" t="n">
        <v>37.1221645057443</v>
      </c>
      <c r="K51" s="49" t="s">
        <v>46</v>
      </c>
      <c r="L51" s="50"/>
      <c r="M51" s="51" t="s">
        <v>46</v>
      </c>
      <c r="N51" s="52" t="s">
        <v>46</v>
      </c>
      <c r="O51" s="53"/>
      <c r="P51" s="54" t="s">
        <v>46</v>
      </c>
      <c r="Q51" s="52" t="s">
        <v>46</v>
      </c>
      <c r="R51" s="53"/>
      <c r="S51" s="53" t="s">
        <v>46</v>
      </c>
      <c r="T51" s="49" t="n">
        <v>85</v>
      </c>
      <c r="U51" s="50" t="n">
        <f aca="false">AVERAGEA(V51, T51)</f>
        <v>90.15</v>
      </c>
      <c r="V51" s="51" t="n">
        <v>95.3</v>
      </c>
      <c r="W51" s="78" t="n">
        <v>60</v>
      </c>
      <c r="X51" s="100" t="n">
        <f aca="false">AVERAGEA(Y51, W51)</f>
        <v>40</v>
      </c>
      <c r="Y51" s="54" t="n">
        <v>20</v>
      </c>
      <c r="Z51" s="49" t="n">
        <v>0.58</v>
      </c>
      <c r="AA51" s="94" t="n">
        <f aca="false">AVERAGEA(AB51, Z51)</f>
        <v>3.29</v>
      </c>
      <c r="AB51" s="98" t="n">
        <v>6</v>
      </c>
      <c r="AC51" s="95" t="n">
        <v>0.58</v>
      </c>
      <c r="AD51" s="100" t="n">
        <f aca="false">AVERAGEA(AE51, AC51)</f>
        <v>3.29</v>
      </c>
      <c r="AE51" s="96" t="n">
        <v>6</v>
      </c>
      <c r="AF51" s="97" t="n">
        <v>3</v>
      </c>
      <c r="AG51" s="50" t="n">
        <f aca="false">AVERAGEA(AH51, AF51)</f>
        <v>6.5</v>
      </c>
      <c r="AH51" s="98" t="n">
        <v>10</v>
      </c>
      <c r="AI51" s="99" t="n">
        <v>1.5</v>
      </c>
      <c r="AJ51" s="77" t="n">
        <f aca="false">AVERAGEA(AK51, AI51)</f>
        <v>2.25</v>
      </c>
      <c r="AK51" s="98" t="n">
        <v>3</v>
      </c>
      <c r="AL51" s="95" t="n">
        <v>998</v>
      </c>
      <c r="AM51" s="100" t="n">
        <f aca="false">AVERAGEA(AN51, AL51)</f>
        <v>1839</v>
      </c>
      <c r="AN51" s="96" t="n">
        <v>2680</v>
      </c>
      <c r="AO51" s="97" t="n">
        <v>26.6</v>
      </c>
      <c r="AP51" s="94" t="n">
        <f aca="false">AVERAGEA(AQ51, AO51)</f>
        <v>31.8</v>
      </c>
      <c r="AQ51" s="98" t="n">
        <v>37</v>
      </c>
      <c r="AR51" s="78" t="n">
        <v>2.6</v>
      </c>
      <c r="AS51" s="53" t="n">
        <f aca="false">AVERAGEA(AT51, AR51)</f>
        <v>6.55</v>
      </c>
      <c r="AT51" s="54" t="n">
        <v>10.5</v>
      </c>
      <c r="AU51" s="49" t="n">
        <v>3.56</v>
      </c>
      <c r="AV51" s="50" t="n">
        <f aca="false">AVERAGE(AU51,AW51)</f>
        <v>22.03</v>
      </c>
      <c r="AW51" s="51" t="n">
        <v>40.5</v>
      </c>
      <c r="AX51" s="79" t="n">
        <v>5.7</v>
      </c>
      <c r="AY51" s="53" t="n">
        <f aca="false">AVERAGE(AX51,AZ51)</f>
        <v>26.85</v>
      </c>
      <c r="AZ51" s="54" t="n">
        <v>48</v>
      </c>
      <c r="BA51" s="49" t="n">
        <v>6.2</v>
      </c>
      <c r="BB51" s="50" t="n">
        <f aca="false">AVERAGE(BA51,BC51)</f>
        <v>42.1</v>
      </c>
      <c r="BC51" s="51" t="n">
        <v>78</v>
      </c>
      <c r="BD51" s="78" t="n">
        <v>1.8</v>
      </c>
      <c r="BE51" s="53" t="n">
        <f aca="false">AVERAGEA(BF51, BD51)</f>
        <v>1.8</v>
      </c>
      <c r="BF51" s="54" t="n">
        <v>1.8</v>
      </c>
      <c r="BG51" s="49" t="n">
        <v>78</v>
      </c>
      <c r="BH51" s="50" t="n">
        <f aca="false">AVERAGEA(BG51,BI51)</f>
        <v>159</v>
      </c>
      <c r="BI51" s="51" t="n">
        <v>240</v>
      </c>
      <c r="BJ51" s="79" t="n">
        <v>2</v>
      </c>
      <c r="BK51" s="53" t="n">
        <f aca="false">AVERAGEA(BJ51,BL51)</f>
        <v>3.5</v>
      </c>
      <c r="BL51" s="54" t="n">
        <v>5</v>
      </c>
      <c r="BM51" s="49" t="n">
        <v>5</v>
      </c>
      <c r="BN51" s="50" t="n">
        <f aca="false">AVERAGEA(BM51,BO51)</f>
        <v>8.9</v>
      </c>
      <c r="BO51" s="51" t="n">
        <v>12.8</v>
      </c>
    </row>
    <row r="52" customFormat="false" ht="15" hidden="false" customHeight="true" outlineLevel="0" collapsed="false">
      <c r="B52" s="40"/>
      <c r="C52" s="90"/>
      <c r="D52" s="85"/>
      <c r="E52" s="80"/>
      <c r="F52" s="44" t="s">
        <v>49</v>
      </c>
      <c r="G52" s="81"/>
      <c r="H52" s="92" t="n">
        <v>22.3808873351397</v>
      </c>
      <c r="I52" s="71" t="n">
        <f aca="false">AVERAGE(H52,J52)</f>
        <v>25.3289976495393</v>
      </c>
      <c r="J52" s="93" t="n">
        <v>28.2771079639389</v>
      </c>
      <c r="K52" s="49" t="s">
        <v>46</v>
      </c>
      <c r="L52" s="50"/>
      <c r="M52" s="51" t="s">
        <v>46</v>
      </c>
      <c r="N52" s="52" t="s">
        <v>46</v>
      </c>
      <c r="O52" s="53"/>
      <c r="P52" s="54" t="s">
        <v>46</v>
      </c>
      <c r="Q52" s="52" t="s">
        <v>46</v>
      </c>
      <c r="R52" s="53"/>
      <c r="S52" s="53" t="s">
        <v>46</v>
      </c>
      <c r="T52" s="49" t="n">
        <v>85</v>
      </c>
      <c r="U52" s="50" t="n">
        <f aca="false">AVERAGEA(V52, T52)</f>
        <v>90.15</v>
      </c>
      <c r="V52" s="51" t="n">
        <v>95.3</v>
      </c>
      <c r="W52" s="78" t="n">
        <v>60</v>
      </c>
      <c r="X52" s="100" t="n">
        <f aca="false">AVERAGEA(Y52, W52)</f>
        <v>40</v>
      </c>
      <c r="Y52" s="54" t="n">
        <v>20</v>
      </c>
      <c r="Z52" s="49" t="n">
        <v>0.58</v>
      </c>
      <c r="AA52" s="94" t="n">
        <f aca="false">AVERAGEA(AB52, Z52)</f>
        <v>3.29</v>
      </c>
      <c r="AB52" s="98" t="n">
        <v>6</v>
      </c>
      <c r="AC52" s="95" t="n">
        <v>0.58</v>
      </c>
      <c r="AD52" s="100" t="n">
        <f aca="false">AVERAGEA(AE52, AC52)</f>
        <v>3.29</v>
      </c>
      <c r="AE52" s="96" t="n">
        <v>6</v>
      </c>
      <c r="AF52" s="97" t="n">
        <v>3</v>
      </c>
      <c r="AG52" s="50" t="n">
        <f aca="false">AVERAGEA(AH52, AF52)</f>
        <v>6.5</v>
      </c>
      <c r="AH52" s="98" t="n">
        <v>10</v>
      </c>
      <c r="AI52" s="99" t="n">
        <v>1.5</v>
      </c>
      <c r="AJ52" s="77" t="n">
        <f aca="false">AVERAGEA(AK52, AI52)</f>
        <v>2.25</v>
      </c>
      <c r="AK52" s="98" t="n">
        <v>3</v>
      </c>
      <c r="AL52" s="95" t="n">
        <v>998</v>
      </c>
      <c r="AM52" s="100" t="n">
        <f aca="false">AVERAGEA(AN52, AL52)</f>
        <v>1839</v>
      </c>
      <c r="AN52" s="96" t="n">
        <v>2680</v>
      </c>
      <c r="AO52" s="97" t="n">
        <v>26.6</v>
      </c>
      <c r="AP52" s="94" t="n">
        <f aca="false">AVERAGEA(AQ52, AO52)</f>
        <v>31.8</v>
      </c>
      <c r="AQ52" s="98" t="n">
        <v>37</v>
      </c>
      <c r="AR52" s="78" t="n">
        <v>2.6</v>
      </c>
      <c r="AS52" s="53" t="n">
        <f aca="false">AVERAGEA(AT52, AR52)</f>
        <v>6.55</v>
      </c>
      <c r="AT52" s="54" t="n">
        <v>10.5</v>
      </c>
      <c r="AU52" s="49" t="n">
        <v>3.56</v>
      </c>
      <c r="AV52" s="50" t="n">
        <f aca="false">AVERAGE(AU52,AW52)</f>
        <v>22.03</v>
      </c>
      <c r="AW52" s="51" t="n">
        <v>40.5</v>
      </c>
      <c r="AX52" s="79" t="n">
        <v>5.7</v>
      </c>
      <c r="AY52" s="53" t="n">
        <f aca="false">AVERAGE(AX52,AZ52)</f>
        <v>26.85</v>
      </c>
      <c r="AZ52" s="54" t="n">
        <v>48</v>
      </c>
      <c r="BA52" s="49" t="n">
        <v>6.2</v>
      </c>
      <c r="BB52" s="50" t="n">
        <f aca="false">AVERAGE(BA52,BC52)</f>
        <v>42.1</v>
      </c>
      <c r="BC52" s="51" t="n">
        <v>78</v>
      </c>
      <c r="BD52" s="78" t="n">
        <v>1.8</v>
      </c>
      <c r="BE52" s="53" t="n">
        <f aca="false">AVERAGEA(BF52, BD52)</f>
        <v>1.8</v>
      </c>
      <c r="BF52" s="54" t="n">
        <v>1.8</v>
      </c>
      <c r="BG52" s="49" t="n">
        <v>78</v>
      </c>
      <c r="BH52" s="50" t="n">
        <f aca="false">AVERAGEA(BG52,BI52)</f>
        <v>159</v>
      </c>
      <c r="BI52" s="51" t="n">
        <v>240</v>
      </c>
      <c r="BJ52" s="79" t="n">
        <v>2</v>
      </c>
      <c r="BK52" s="53" t="n">
        <f aca="false">AVERAGEA(BJ52,BL52)</f>
        <v>3.5</v>
      </c>
      <c r="BL52" s="54" t="n">
        <v>5</v>
      </c>
      <c r="BM52" s="49" t="n">
        <v>5</v>
      </c>
      <c r="BN52" s="50" t="n">
        <f aca="false">AVERAGEA(BM52,BO52)</f>
        <v>8.9</v>
      </c>
      <c r="BO52" s="51" t="n">
        <v>12.8</v>
      </c>
    </row>
    <row r="53" customFormat="false" ht="15" hidden="false" customHeight="true" outlineLevel="0" collapsed="false">
      <c r="B53" s="40"/>
      <c r="C53" s="90"/>
      <c r="D53" s="85"/>
      <c r="E53" s="80" t="s">
        <v>50</v>
      </c>
      <c r="F53" s="44" t="s">
        <v>45</v>
      </c>
      <c r="G53" s="81"/>
      <c r="H53" s="92" t="n">
        <v>37.9785134206409</v>
      </c>
      <c r="I53" s="71" t="n">
        <f aca="false">AVERAGE(H53,J53)</f>
        <v>39.1117327163159</v>
      </c>
      <c r="J53" s="93" t="n">
        <v>40.2449520119908</v>
      </c>
      <c r="K53" s="49" t="s">
        <v>46</v>
      </c>
      <c r="L53" s="50"/>
      <c r="M53" s="51" t="s">
        <v>46</v>
      </c>
      <c r="N53" s="52" t="s">
        <v>46</v>
      </c>
      <c r="O53" s="53"/>
      <c r="P53" s="54" t="s">
        <v>46</v>
      </c>
      <c r="Q53" s="52" t="s">
        <v>46</v>
      </c>
      <c r="R53" s="53"/>
      <c r="S53" s="53" t="s">
        <v>46</v>
      </c>
      <c r="T53" s="49" t="n">
        <v>85</v>
      </c>
      <c r="U53" s="50" t="n">
        <f aca="false">AVERAGEA(V53, T53)</f>
        <v>90.15</v>
      </c>
      <c r="V53" s="51" t="n">
        <v>95.3</v>
      </c>
      <c r="W53" s="78" t="n">
        <v>60</v>
      </c>
      <c r="X53" s="100" t="n">
        <f aca="false">AVERAGEA(Y53, W53)</f>
        <v>40</v>
      </c>
      <c r="Y53" s="54" t="n">
        <v>20</v>
      </c>
      <c r="Z53" s="49" t="n">
        <v>0.58</v>
      </c>
      <c r="AA53" s="94" t="n">
        <f aca="false">AVERAGEA(AB53, Z53)</f>
        <v>3.29</v>
      </c>
      <c r="AB53" s="98" t="n">
        <v>6</v>
      </c>
      <c r="AC53" s="95" t="n">
        <v>0.58</v>
      </c>
      <c r="AD53" s="100" t="n">
        <f aca="false">AVERAGEA(AE53, AC53)</f>
        <v>3.29</v>
      </c>
      <c r="AE53" s="96" t="n">
        <v>6</v>
      </c>
      <c r="AF53" s="97" t="n">
        <v>3</v>
      </c>
      <c r="AG53" s="50" t="n">
        <f aca="false">AVERAGEA(AH53, AF53)</f>
        <v>6.5</v>
      </c>
      <c r="AH53" s="98" t="n">
        <v>10</v>
      </c>
      <c r="AI53" s="99" t="n">
        <v>1.5</v>
      </c>
      <c r="AJ53" s="77" t="n">
        <f aca="false">AVERAGEA(AK53, AI53)</f>
        <v>2.25</v>
      </c>
      <c r="AK53" s="98" t="n">
        <v>3</v>
      </c>
      <c r="AL53" s="95" t="n">
        <v>998</v>
      </c>
      <c r="AM53" s="100" t="n">
        <f aca="false">AVERAGEA(AN53, AL53)</f>
        <v>1839</v>
      </c>
      <c r="AN53" s="96" t="n">
        <v>2680</v>
      </c>
      <c r="AO53" s="97" t="n">
        <v>26.6</v>
      </c>
      <c r="AP53" s="94" t="n">
        <f aca="false">AVERAGEA(AQ53, AO53)</f>
        <v>31.8</v>
      </c>
      <c r="AQ53" s="98" t="n">
        <v>37</v>
      </c>
      <c r="AR53" s="78" t="n">
        <v>2.6</v>
      </c>
      <c r="AS53" s="53" t="n">
        <f aca="false">AVERAGEA(AT53, AR53)</f>
        <v>6.55</v>
      </c>
      <c r="AT53" s="54" t="n">
        <v>10.5</v>
      </c>
      <c r="AU53" s="49" t="n">
        <v>3.56</v>
      </c>
      <c r="AV53" s="50" t="n">
        <f aca="false">AVERAGE(AU53,AW53)</f>
        <v>22.03</v>
      </c>
      <c r="AW53" s="51" t="n">
        <v>40.5</v>
      </c>
      <c r="AX53" s="79" t="n">
        <v>5.7</v>
      </c>
      <c r="AY53" s="53" t="n">
        <f aca="false">AVERAGE(AX53,AZ53)</f>
        <v>26.85</v>
      </c>
      <c r="AZ53" s="54" t="n">
        <v>48</v>
      </c>
      <c r="BA53" s="49" t="n">
        <v>6.2</v>
      </c>
      <c r="BB53" s="50" t="n">
        <f aca="false">AVERAGE(BA53,BC53)</f>
        <v>42.1</v>
      </c>
      <c r="BC53" s="51" t="n">
        <v>78</v>
      </c>
      <c r="BD53" s="78" t="n">
        <v>1.8</v>
      </c>
      <c r="BE53" s="53" t="n">
        <f aca="false">AVERAGEA(BF53, BD53)</f>
        <v>1.8</v>
      </c>
      <c r="BF53" s="54" t="n">
        <v>1.8</v>
      </c>
      <c r="BG53" s="49" t="n">
        <v>78</v>
      </c>
      <c r="BH53" s="50" t="n">
        <f aca="false">AVERAGEA(BG53,BI53)</f>
        <v>159</v>
      </c>
      <c r="BI53" s="51" t="n">
        <v>240</v>
      </c>
      <c r="BJ53" s="79" t="n">
        <v>2</v>
      </c>
      <c r="BK53" s="53" t="n">
        <f aca="false">AVERAGEA(BJ53,BL53)</f>
        <v>3.5</v>
      </c>
      <c r="BL53" s="54" t="n">
        <v>5</v>
      </c>
      <c r="BM53" s="49" t="n">
        <v>5</v>
      </c>
      <c r="BN53" s="50" t="n">
        <f aca="false">AVERAGEA(BM53,BO53)</f>
        <v>8.9</v>
      </c>
      <c r="BO53" s="51" t="n">
        <v>12.8</v>
      </c>
    </row>
    <row r="54" customFormat="false" ht="15" hidden="false" customHeight="true" outlineLevel="0" collapsed="false">
      <c r="B54" s="40"/>
      <c r="C54" s="90"/>
      <c r="D54" s="85"/>
      <c r="E54" s="80"/>
      <c r="F54" s="44" t="s">
        <v>47</v>
      </c>
      <c r="G54" s="81"/>
      <c r="H54" s="92" t="n">
        <v>35.2372303532486</v>
      </c>
      <c r="I54" s="71" t="n">
        <f aca="false">AVERAGE(H54,J54)</f>
        <v>36.6043739343392</v>
      </c>
      <c r="J54" s="93" t="n">
        <v>37.9715175154298</v>
      </c>
      <c r="K54" s="49" t="s">
        <v>46</v>
      </c>
      <c r="L54" s="50"/>
      <c r="M54" s="51" t="s">
        <v>46</v>
      </c>
      <c r="N54" s="52" t="s">
        <v>46</v>
      </c>
      <c r="O54" s="53"/>
      <c r="P54" s="54" t="s">
        <v>46</v>
      </c>
      <c r="Q54" s="52" t="s">
        <v>46</v>
      </c>
      <c r="R54" s="53"/>
      <c r="S54" s="53" t="s">
        <v>46</v>
      </c>
      <c r="T54" s="49" t="n">
        <v>85</v>
      </c>
      <c r="U54" s="50" t="n">
        <f aca="false">AVERAGEA(V54, T54)</f>
        <v>90.15</v>
      </c>
      <c r="V54" s="51" t="n">
        <v>95.3</v>
      </c>
      <c r="W54" s="78" t="n">
        <v>60</v>
      </c>
      <c r="X54" s="100" t="n">
        <f aca="false">AVERAGEA(Y54, W54)</f>
        <v>40</v>
      </c>
      <c r="Y54" s="54" t="n">
        <v>20</v>
      </c>
      <c r="Z54" s="49" t="n">
        <v>0.58</v>
      </c>
      <c r="AA54" s="94" t="n">
        <f aca="false">AVERAGEA(AB54, Z54)</f>
        <v>3.29</v>
      </c>
      <c r="AB54" s="98" t="n">
        <v>6</v>
      </c>
      <c r="AC54" s="95" t="n">
        <v>0.58</v>
      </c>
      <c r="AD54" s="100" t="n">
        <f aca="false">AVERAGEA(AE54, AC54)</f>
        <v>3.29</v>
      </c>
      <c r="AE54" s="96" t="n">
        <v>6</v>
      </c>
      <c r="AF54" s="97" t="n">
        <v>3</v>
      </c>
      <c r="AG54" s="50" t="n">
        <f aca="false">AVERAGEA(AH54, AF54)</f>
        <v>6.5</v>
      </c>
      <c r="AH54" s="98" t="n">
        <v>10</v>
      </c>
      <c r="AI54" s="99" t="n">
        <v>1.5</v>
      </c>
      <c r="AJ54" s="77" t="n">
        <f aca="false">AVERAGEA(AK54, AI54)</f>
        <v>2.25</v>
      </c>
      <c r="AK54" s="98" t="n">
        <v>3</v>
      </c>
      <c r="AL54" s="95" t="n">
        <v>998</v>
      </c>
      <c r="AM54" s="100" t="n">
        <f aca="false">AVERAGEA(AN54, AL54)</f>
        <v>1839</v>
      </c>
      <c r="AN54" s="96" t="n">
        <v>2680</v>
      </c>
      <c r="AO54" s="97" t="n">
        <v>26.6</v>
      </c>
      <c r="AP54" s="94" t="n">
        <f aca="false">AVERAGEA(AQ54, AO54)</f>
        <v>31.8</v>
      </c>
      <c r="AQ54" s="98" t="n">
        <v>37</v>
      </c>
      <c r="AR54" s="78" t="n">
        <v>2.6</v>
      </c>
      <c r="AS54" s="53" t="n">
        <f aca="false">AVERAGEA(AT54, AR54)</f>
        <v>6.55</v>
      </c>
      <c r="AT54" s="54" t="n">
        <v>10.5</v>
      </c>
      <c r="AU54" s="49" t="n">
        <v>3.56</v>
      </c>
      <c r="AV54" s="50" t="n">
        <f aca="false">AVERAGE(AU54,AW54)</f>
        <v>22.03</v>
      </c>
      <c r="AW54" s="51" t="n">
        <v>40.5</v>
      </c>
      <c r="AX54" s="79" t="n">
        <v>5.7</v>
      </c>
      <c r="AY54" s="53" t="n">
        <f aca="false">AVERAGE(AX54,AZ54)</f>
        <v>26.85</v>
      </c>
      <c r="AZ54" s="54" t="n">
        <v>48</v>
      </c>
      <c r="BA54" s="49" t="n">
        <v>6.2</v>
      </c>
      <c r="BB54" s="50" t="n">
        <f aca="false">AVERAGE(BA54,BC54)</f>
        <v>42.1</v>
      </c>
      <c r="BC54" s="51" t="n">
        <v>78</v>
      </c>
      <c r="BD54" s="78" t="n">
        <v>1.8</v>
      </c>
      <c r="BE54" s="53" t="n">
        <f aca="false">AVERAGEA(BF54, BD54)</f>
        <v>1.8</v>
      </c>
      <c r="BF54" s="54" t="n">
        <v>1.8</v>
      </c>
      <c r="BG54" s="49" t="n">
        <v>78</v>
      </c>
      <c r="BH54" s="50" t="n">
        <f aca="false">AVERAGEA(BG54,BI54)</f>
        <v>159</v>
      </c>
      <c r="BI54" s="51" t="n">
        <v>240</v>
      </c>
      <c r="BJ54" s="79" t="n">
        <v>2</v>
      </c>
      <c r="BK54" s="53" t="n">
        <f aca="false">AVERAGEA(BJ54,BL54)</f>
        <v>3.5</v>
      </c>
      <c r="BL54" s="54" t="n">
        <v>5</v>
      </c>
      <c r="BM54" s="49" t="n">
        <v>5</v>
      </c>
      <c r="BN54" s="50" t="n">
        <f aca="false">AVERAGEA(BM54,BO54)</f>
        <v>8.9</v>
      </c>
      <c r="BO54" s="51" t="n">
        <v>12.8</v>
      </c>
    </row>
    <row r="55" customFormat="false" ht="15" hidden="false" customHeight="true" outlineLevel="0" collapsed="false">
      <c r="B55" s="40"/>
      <c r="C55" s="90"/>
      <c r="D55" s="85"/>
      <c r="E55" s="80"/>
      <c r="F55" s="44" t="s">
        <v>48</v>
      </c>
      <c r="G55" s="81"/>
      <c r="H55" s="92" t="n">
        <v>26.8645700449247</v>
      </c>
      <c r="I55" s="71" t="n">
        <f aca="false">AVERAGE(H55,J55)</f>
        <v>31.0415527974367</v>
      </c>
      <c r="J55" s="93" t="n">
        <v>35.2185355499488</v>
      </c>
      <c r="K55" s="49" t="s">
        <v>46</v>
      </c>
      <c r="L55" s="50"/>
      <c r="M55" s="51" t="s">
        <v>46</v>
      </c>
      <c r="N55" s="52" t="s">
        <v>46</v>
      </c>
      <c r="O55" s="53"/>
      <c r="P55" s="54" t="s">
        <v>46</v>
      </c>
      <c r="Q55" s="52" t="s">
        <v>46</v>
      </c>
      <c r="R55" s="53"/>
      <c r="S55" s="53" t="s">
        <v>46</v>
      </c>
      <c r="T55" s="49" t="n">
        <v>85</v>
      </c>
      <c r="U55" s="50" t="n">
        <f aca="false">AVERAGEA(V55, T55)</f>
        <v>90.15</v>
      </c>
      <c r="V55" s="51" t="n">
        <v>95.3</v>
      </c>
      <c r="W55" s="78" t="n">
        <v>60</v>
      </c>
      <c r="X55" s="100" t="n">
        <f aca="false">AVERAGEA(Y55, W55)</f>
        <v>40</v>
      </c>
      <c r="Y55" s="54" t="n">
        <v>20</v>
      </c>
      <c r="Z55" s="49" t="n">
        <v>0.58</v>
      </c>
      <c r="AA55" s="94" t="n">
        <f aca="false">AVERAGEA(AB55, Z55)</f>
        <v>3.29</v>
      </c>
      <c r="AB55" s="98" t="n">
        <v>6</v>
      </c>
      <c r="AC55" s="95" t="n">
        <v>0.58</v>
      </c>
      <c r="AD55" s="100" t="n">
        <f aca="false">AVERAGEA(AE55, AC55)</f>
        <v>3.29</v>
      </c>
      <c r="AE55" s="96" t="n">
        <v>6</v>
      </c>
      <c r="AF55" s="97" t="n">
        <v>3</v>
      </c>
      <c r="AG55" s="50" t="n">
        <f aca="false">AVERAGEA(AH55, AF55)</f>
        <v>6.5</v>
      </c>
      <c r="AH55" s="98" t="n">
        <v>10</v>
      </c>
      <c r="AI55" s="99" t="n">
        <v>1.5</v>
      </c>
      <c r="AJ55" s="77" t="n">
        <f aca="false">AVERAGEA(AK55, AI55)</f>
        <v>2.25</v>
      </c>
      <c r="AK55" s="98" t="n">
        <v>3</v>
      </c>
      <c r="AL55" s="95" t="n">
        <v>998</v>
      </c>
      <c r="AM55" s="100" t="n">
        <f aca="false">AVERAGEA(AN55, AL55)</f>
        <v>1839</v>
      </c>
      <c r="AN55" s="96" t="n">
        <v>2680</v>
      </c>
      <c r="AO55" s="97" t="n">
        <v>26.6</v>
      </c>
      <c r="AP55" s="94" t="n">
        <f aca="false">AVERAGEA(AQ55, AO55)</f>
        <v>31.8</v>
      </c>
      <c r="AQ55" s="98" t="n">
        <v>37</v>
      </c>
      <c r="AR55" s="78" t="n">
        <v>2.6</v>
      </c>
      <c r="AS55" s="53" t="n">
        <f aca="false">AVERAGEA(AT55, AR55)</f>
        <v>6.55</v>
      </c>
      <c r="AT55" s="54" t="n">
        <v>10.5</v>
      </c>
      <c r="AU55" s="49" t="n">
        <v>3.56</v>
      </c>
      <c r="AV55" s="50" t="n">
        <f aca="false">AVERAGE(AU55,AW55)</f>
        <v>22.03</v>
      </c>
      <c r="AW55" s="51" t="n">
        <v>40.5</v>
      </c>
      <c r="AX55" s="79" t="n">
        <v>5.7</v>
      </c>
      <c r="AY55" s="53" t="n">
        <f aca="false">AVERAGE(AX55,AZ55)</f>
        <v>26.85</v>
      </c>
      <c r="AZ55" s="54" t="n">
        <v>48</v>
      </c>
      <c r="BA55" s="49" t="n">
        <v>6.2</v>
      </c>
      <c r="BB55" s="50" t="n">
        <f aca="false">AVERAGE(BA55,BC55)</f>
        <v>42.1</v>
      </c>
      <c r="BC55" s="51" t="n">
        <v>78</v>
      </c>
      <c r="BD55" s="78" t="n">
        <v>1.8</v>
      </c>
      <c r="BE55" s="53" t="n">
        <f aca="false">AVERAGEA(BF55, BD55)</f>
        <v>1.8</v>
      </c>
      <c r="BF55" s="54" t="n">
        <v>1.8</v>
      </c>
      <c r="BG55" s="49" t="n">
        <v>78</v>
      </c>
      <c r="BH55" s="50" t="n">
        <f aca="false">AVERAGEA(BG55,BI55)</f>
        <v>159</v>
      </c>
      <c r="BI55" s="51" t="n">
        <v>240</v>
      </c>
      <c r="BJ55" s="79" t="n">
        <v>2</v>
      </c>
      <c r="BK55" s="53" t="n">
        <f aca="false">AVERAGEA(BJ55,BL55)</f>
        <v>3.5</v>
      </c>
      <c r="BL55" s="54" t="n">
        <v>5</v>
      </c>
      <c r="BM55" s="49" t="n">
        <v>5</v>
      </c>
      <c r="BN55" s="50" t="n">
        <f aca="false">AVERAGEA(BM55,BO55)</f>
        <v>8.9</v>
      </c>
      <c r="BO55" s="51" t="n">
        <v>12.8</v>
      </c>
    </row>
    <row r="56" customFormat="false" ht="15" hidden="false" customHeight="true" outlineLevel="0" collapsed="false">
      <c r="B56" s="40"/>
      <c r="C56" s="90"/>
      <c r="D56" s="85"/>
      <c r="E56" s="80"/>
      <c r="F56" s="44" t="s">
        <v>49</v>
      </c>
      <c r="G56" s="81"/>
      <c r="H56" s="92" t="n">
        <v>21.2331928039931</v>
      </c>
      <c r="I56" s="71" t="n">
        <f aca="false">AVERAGE(H56,J56)</f>
        <v>24.0301236752193</v>
      </c>
      <c r="J56" s="93" t="n">
        <v>26.8270545464454</v>
      </c>
      <c r="K56" s="49" t="s">
        <v>46</v>
      </c>
      <c r="L56" s="50"/>
      <c r="M56" s="51" t="s">
        <v>46</v>
      </c>
      <c r="N56" s="52" t="s">
        <v>46</v>
      </c>
      <c r="O56" s="53"/>
      <c r="P56" s="54" t="s">
        <v>46</v>
      </c>
      <c r="Q56" s="52" t="s">
        <v>46</v>
      </c>
      <c r="R56" s="53"/>
      <c r="S56" s="53" t="s">
        <v>46</v>
      </c>
      <c r="T56" s="49" t="n">
        <v>85</v>
      </c>
      <c r="U56" s="50" t="n">
        <f aca="false">AVERAGEA(V56, T56)</f>
        <v>90.15</v>
      </c>
      <c r="V56" s="51" t="n">
        <v>95.3</v>
      </c>
      <c r="W56" s="78" t="n">
        <v>60</v>
      </c>
      <c r="X56" s="100" t="n">
        <f aca="false">AVERAGEA(Y56, W56)</f>
        <v>40</v>
      </c>
      <c r="Y56" s="54" t="n">
        <v>20</v>
      </c>
      <c r="Z56" s="49" t="n">
        <v>0.58</v>
      </c>
      <c r="AA56" s="94" t="n">
        <f aca="false">AVERAGEA(AB56, Z56)</f>
        <v>3.29</v>
      </c>
      <c r="AB56" s="98" t="n">
        <v>6</v>
      </c>
      <c r="AC56" s="95" t="n">
        <v>0.58</v>
      </c>
      <c r="AD56" s="100" t="n">
        <f aca="false">AVERAGEA(AE56, AC56)</f>
        <v>3.29</v>
      </c>
      <c r="AE56" s="96" t="n">
        <v>6</v>
      </c>
      <c r="AF56" s="97" t="n">
        <v>3</v>
      </c>
      <c r="AG56" s="50" t="n">
        <f aca="false">AVERAGEA(AH56, AF56)</f>
        <v>6.5</v>
      </c>
      <c r="AH56" s="98" t="n">
        <v>10</v>
      </c>
      <c r="AI56" s="99" t="n">
        <v>1.5</v>
      </c>
      <c r="AJ56" s="77" t="n">
        <f aca="false">AVERAGEA(AK56, AI56)</f>
        <v>2.25</v>
      </c>
      <c r="AK56" s="98" t="n">
        <v>3</v>
      </c>
      <c r="AL56" s="95" t="n">
        <v>998</v>
      </c>
      <c r="AM56" s="100" t="n">
        <f aca="false">AVERAGEA(AN56, AL56)</f>
        <v>1839</v>
      </c>
      <c r="AN56" s="96" t="n">
        <v>2680</v>
      </c>
      <c r="AO56" s="97" t="n">
        <v>26.6</v>
      </c>
      <c r="AP56" s="94" t="n">
        <f aca="false">AVERAGEA(AQ56, AO56)</f>
        <v>31.8</v>
      </c>
      <c r="AQ56" s="98" t="n">
        <v>37</v>
      </c>
      <c r="AR56" s="78" t="n">
        <v>2.6</v>
      </c>
      <c r="AS56" s="53" t="n">
        <f aca="false">AVERAGEA(AT56, AR56)</f>
        <v>6.55</v>
      </c>
      <c r="AT56" s="54" t="n">
        <v>10.5</v>
      </c>
      <c r="AU56" s="49" t="n">
        <v>3.56</v>
      </c>
      <c r="AV56" s="50" t="n">
        <f aca="false">AVERAGE(AU56,AW56)</f>
        <v>22.03</v>
      </c>
      <c r="AW56" s="51" t="n">
        <v>40.5</v>
      </c>
      <c r="AX56" s="79" t="n">
        <v>5.7</v>
      </c>
      <c r="AY56" s="53" t="n">
        <f aca="false">AVERAGE(AX56,AZ56)</f>
        <v>26.85</v>
      </c>
      <c r="AZ56" s="54" t="n">
        <v>48</v>
      </c>
      <c r="BA56" s="49" t="n">
        <v>6.2</v>
      </c>
      <c r="BB56" s="50" t="n">
        <f aca="false">AVERAGE(BA56,BC56)</f>
        <v>42.1</v>
      </c>
      <c r="BC56" s="51" t="n">
        <v>78</v>
      </c>
      <c r="BD56" s="78" t="n">
        <v>1.8</v>
      </c>
      <c r="BE56" s="53" t="n">
        <f aca="false">AVERAGEA(BF56, BD56)</f>
        <v>1.8</v>
      </c>
      <c r="BF56" s="54" t="n">
        <v>1.8</v>
      </c>
      <c r="BG56" s="49" t="n">
        <v>78</v>
      </c>
      <c r="BH56" s="50" t="n">
        <f aca="false">AVERAGEA(BG56,BI56)</f>
        <v>159</v>
      </c>
      <c r="BI56" s="51" t="n">
        <v>240</v>
      </c>
      <c r="BJ56" s="79" t="n">
        <v>2</v>
      </c>
      <c r="BK56" s="53" t="n">
        <f aca="false">AVERAGEA(BJ56,BL56)</f>
        <v>3.5</v>
      </c>
      <c r="BL56" s="54" t="n">
        <v>5</v>
      </c>
      <c r="BM56" s="49" t="n">
        <v>5</v>
      </c>
      <c r="BN56" s="50" t="n">
        <f aca="false">AVERAGEA(BM56,BO56)</f>
        <v>8.9</v>
      </c>
      <c r="BO56" s="51" t="n">
        <v>12.8</v>
      </c>
    </row>
    <row r="57" customFormat="false" ht="15" hidden="false" customHeight="true" outlineLevel="0" collapsed="false">
      <c r="B57" s="40"/>
      <c r="C57" s="90"/>
      <c r="D57" s="85"/>
      <c r="E57" s="80" t="s">
        <v>51</v>
      </c>
      <c r="F57" s="44" t="s">
        <v>45</v>
      </c>
      <c r="G57" s="81"/>
      <c r="H57" s="92" t="n">
        <v>36.6053488967538</v>
      </c>
      <c r="I57" s="71" t="n">
        <f aca="false">AVERAGE(H57,J57)</f>
        <v>37.6975951159586</v>
      </c>
      <c r="J57" s="93" t="n">
        <v>38.7898413351634</v>
      </c>
      <c r="K57" s="49" t="s">
        <v>46</v>
      </c>
      <c r="L57" s="50"/>
      <c r="M57" s="51" t="s">
        <v>46</v>
      </c>
      <c r="N57" s="52" t="s">
        <v>46</v>
      </c>
      <c r="O57" s="53"/>
      <c r="P57" s="54" t="s">
        <v>46</v>
      </c>
      <c r="Q57" s="52" t="s">
        <v>46</v>
      </c>
      <c r="R57" s="53"/>
      <c r="S57" s="53" t="s">
        <v>46</v>
      </c>
      <c r="T57" s="49" t="n">
        <v>85</v>
      </c>
      <c r="U57" s="50" t="n">
        <f aca="false">AVERAGEA(V57, T57)</f>
        <v>90.15</v>
      </c>
      <c r="V57" s="51" t="n">
        <v>95.3</v>
      </c>
      <c r="W57" s="78" t="n">
        <v>60</v>
      </c>
      <c r="X57" s="100" t="n">
        <f aca="false">AVERAGEA(Y57, W57)</f>
        <v>40</v>
      </c>
      <c r="Y57" s="54" t="n">
        <v>20</v>
      </c>
      <c r="Z57" s="49" t="n">
        <v>0.58</v>
      </c>
      <c r="AA57" s="94" t="n">
        <f aca="false">AVERAGEA(AB57, Z57)</f>
        <v>3.29</v>
      </c>
      <c r="AB57" s="98" t="n">
        <v>6</v>
      </c>
      <c r="AC57" s="95" t="n">
        <v>0.58</v>
      </c>
      <c r="AD57" s="100" t="n">
        <f aca="false">AVERAGEA(AE57, AC57)</f>
        <v>3.29</v>
      </c>
      <c r="AE57" s="96" t="n">
        <v>6</v>
      </c>
      <c r="AF57" s="97" t="n">
        <v>3</v>
      </c>
      <c r="AG57" s="50" t="n">
        <f aca="false">AVERAGEA(AH57, AF57)</f>
        <v>6.5</v>
      </c>
      <c r="AH57" s="98" t="n">
        <v>10</v>
      </c>
      <c r="AI57" s="99" t="n">
        <v>6</v>
      </c>
      <c r="AJ57" s="77" t="n">
        <f aca="false">AVERAGEA(AK57, AI57)</f>
        <v>8</v>
      </c>
      <c r="AK57" s="98" t="n">
        <v>10</v>
      </c>
      <c r="AL57" s="95" t="n">
        <v>998</v>
      </c>
      <c r="AM57" s="100" t="n">
        <f aca="false">AVERAGEA(AN57, AL57)</f>
        <v>1839</v>
      </c>
      <c r="AN57" s="96" t="n">
        <v>2680</v>
      </c>
      <c r="AO57" s="97" t="n">
        <v>26.6</v>
      </c>
      <c r="AP57" s="94" t="n">
        <f aca="false">AVERAGEA(AQ57, AO57)</f>
        <v>31.8</v>
      </c>
      <c r="AQ57" s="98" t="n">
        <v>37</v>
      </c>
      <c r="AR57" s="78" t="n">
        <v>2.6</v>
      </c>
      <c r="AS57" s="53" t="n">
        <f aca="false">AVERAGEA(AT57, AR57)</f>
        <v>6.55</v>
      </c>
      <c r="AT57" s="54" t="n">
        <v>10.5</v>
      </c>
      <c r="AU57" s="49" t="n">
        <v>3.56</v>
      </c>
      <c r="AV57" s="50" t="n">
        <f aca="false">AVERAGE(AU57,AW57)</f>
        <v>22.03</v>
      </c>
      <c r="AW57" s="51" t="n">
        <v>40.5</v>
      </c>
      <c r="AX57" s="79" t="n">
        <v>5.7</v>
      </c>
      <c r="AY57" s="53" t="n">
        <f aca="false">AVERAGE(AX57,AZ57)</f>
        <v>26.85</v>
      </c>
      <c r="AZ57" s="54" t="n">
        <v>48</v>
      </c>
      <c r="BA57" s="49" t="n">
        <v>6.2</v>
      </c>
      <c r="BB57" s="50" t="n">
        <f aca="false">AVERAGE(BA57,BC57)</f>
        <v>42.1</v>
      </c>
      <c r="BC57" s="51" t="n">
        <v>78</v>
      </c>
      <c r="BD57" s="78" t="n">
        <v>1.8</v>
      </c>
      <c r="BE57" s="53" t="n">
        <f aca="false">AVERAGEA(BF57, BD57)</f>
        <v>1.8</v>
      </c>
      <c r="BF57" s="54" t="n">
        <v>1.8</v>
      </c>
      <c r="BG57" s="49" t="n">
        <v>78</v>
      </c>
      <c r="BH57" s="50" t="n">
        <f aca="false">AVERAGEA(BG57,BI57)</f>
        <v>159</v>
      </c>
      <c r="BI57" s="51" t="n">
        <v>240</v>
      </c>
      <c r="BJ57" s="79" t="n">
        <v>2</v>
      </c>
      <c r="BK57" s="53" t="n">
        <f aca="false">AVERAGEA(BJ57,BL57)</f>
        <v>3.5</v>
      </c>
      <c r="BL57" s="54" t="n">
        <v>5</v>
      </c>
      <c r="BM57" s="49" t="n">
        <v>5</v>
      </c>
      <c r="BN57" s="50" t="n">
        <f aca="false">AVERAGEA(BM57,BO57)</f>
        <v>8.9</v>
      </c>
      <c r="BO57" s="51" t="n">
        <v>12.8</v>
      </c>
    </row>
    <row r="58" customFormat="false" ht="15" hidden="false" customHeight="true" outlineLevel="0" collapsed="false">
      <c r="B58" s="40"/>
      <c r="C58" s="90"/>
      <c r="D58" s="85"/>
      <c r="E58" s="80"/>
      <c r="F58" s="44" t="s">
        <v>47</v>
      </c>
      <c r="G58" s="81"/>
      <c r="H58" s="92" t="n">
        <v>33.9631806266255</v>
      </c>
      <c r="I58" s="71" t="n">
        <f aca="false">AVERAGE(H58,J58)</f>
        <v>35.280893282292</v>
      </c>
      <c r="J58" s="93" t="n">
        <v>36.5986059379585</v>
      </c>
      <c r="K58" s="49" t="s">
        <v>46</v>
      </c>
      <c r="L58" s="50"/>
      <c r="M58" s="51" t="s">
        <v>46</v>
      </c>
      <c r="N58" s="52" t="s">
        <v>46</v>
      </c>
      <c r="O58" s="53"/>
      <c r="P58" s="54" t="s">
        <v>46</v>
      </c>
      <c r="Q58" s="52" t="s">
        <v>46</v>
      </c>
      <c r="R58" s="53"/>
      <c r="S58" s="53" t="s">
        <v>46</v>
      </c>
      <c r="T58" s="49" t="n">
        <v>85</v>
      </c>
      <c r="U58" s="50" t="n">
        <f aca="false">AVERAGEA(V58, T58)</f>
        <v>90.15</v>
      </c>
      <c r="V58" s="51" t="n">
        <v>95.3</v>
      </c>
      <c r="W58" s="78" t="n">
        <v>60</v>
      </c>
      <c r="X58" s="100" t="n">
        <f aca="false">AVERAGEA(Y58, W58)</f>
        <v>40</v>
      </c>
      <c r="Y58" s="54" t="n">
        <v>20</v>
      </c>
      <c r="Z58" s="49" t="n">
        <v>0.58</v>
      </c>
      <c r="AA58" s="94" t="n">
        <f aca="false">AVERAGEA(AB58, Z58)</f>
        <v>3.29</v>
      </c>
      <c r="AB58" s="98" t="n">
        <v>6</v>
      </c>
      <c r="AC58" s="95" t="n">
        <v>0.58</v>
      </c>
      <c r="AD58" s="100" t="n">
        <f aca="false">AVERAGEA(AE58, AC58)</f>
        <v>3.29</v>
      </c>
      <c r="AE58" s="96" t="n">
        <v>6</v>
      </c>
      <c r="AF58" s="97" t="n">
        <v>3</v>
      </c>
      <c r="AG58" s="50" t="n">
        <f aca="false">AVERAGEA(AH58, AF58)</f>
        <v>6.5</v>
      </c>
      <c r="AH58" s="98" t="n">
        <v>10</v>
      </c>
      <c r="AI58" s="99" t="n">
        <v>6</v>
      </c>
      <c r="AJ58" s="77" t="n">
        <f aca="false">AVERAGEA(AK58, AI58)</f>
        <v>8</v>
      </c>
      <c r="AK58" s="98" t="n">
        <v>10</v>
      </c>
      <c r="AL58" s="95" t="n">
        <v>998</v>
      </c>
      <c r="AM58" s="100" t="n">
        <f aca="false">AVERAGEA(AN58, AL58)</f>
        <v>1839</v>
      </c>
      <c r="AN58" s="96" t="n">
        <v>2680</v>
      </c>
      <c r="AO58" s="97" t="n">
        <v>26.6</v>
      </c>
      <c r="AP58" s="94" t="n">
        <f aca="false">AVERAGEA(AQ58, AO58)</f>
        <v>31.8</v>
      </c>
      <c r="AQ58" s="98" t="n">
        <v>37</v>
      </c>
      <c r="AR58" s="78" t="n">
        <v>2.6</v>
      </c>
      <c r="AS58" s="53" t="n">
        <f aca="false">AVERAGEA(AT58, AR58)</f>
        <v>6.55</v>
      </c>
      <c r="AT58" s="54" t="n">
        <v>10.5</v>
      </c>
      <c r="AU58" s="49" t="n">
        <v>3.56</v>
      </c>
      <c r="AV58" s="50" t="n">
        <f aca="false">AVERAGE(AU58,AW58)</f>
        <v>22.03</v>
      </c>
      <c r="AW58" s="51" t="n">
        <v>40.5</v>
      </c>
      <c r="AX58" s="79" t="n">
        <v>5.7</v>
      </c>
      <c r="AY58" s="53" t="n">
        <f aca="false">AVERAGE(AX58,AZ58)</f>
        <v>26.85</v>
      </c>
      <c r="AZ58" s="54" t="n">
        <v>48</v>
      </c>
      <c r="BA58" s="49" t="n">
        <v>6.2</v>
      </c>
      <c r="BB58" s="50" t="n">
        <f aca="false">AVERAGE(BA58,BC58)</f>
        <v>42.1</v>
      </c>
      <c r="BC58" s="51" t="n">
        <v>78</v>
      </c>
      <c r="BD58" s="78" t="n">
        <v>1.8</v>
      </c>
      <c r="BE58" s="53" t="n">
        <f aca="false">AVERAGEA(BF58, BD58)</f>
        <v>1.8</v>
      </c>
      <c r="BF58" s="54" t="n">
        <v>1.8</v>
      </c>
      <c r="BG58" s="49" t="n">
        <v>78</v>
      </c>
      <c r="BH58" s="50" t="n">
        <f aca="false">AVERAGEA(BG58,BI58)</f>
        <v>159</v>
      </c>
      <c r="BI58" s="51" t="n">
        <v>240</v>
      </c>
      <c r="BJ58" s="79" t="n">
        <v>2</v>
      </c>
      <c r="BK58" s="53" t="n">
        <f aca="false">AVERAGEA(BJ58,BL58)</f>
        <v>3.5</v>
      </c>
      <c r="BL58" s="54" t="n">
        <v>5</v>
      </c>
      <c r="BM58" s="49" t="n">
        <v>5</v>
      </c>
      <c r="BN58" s="50" t="n">
        <f aca="false">AVERAGEA(BM58,BO58)</f>
        <v>8.9</v>
      </c>
      <c r="BO58" s="51" t="n">
        <v>12.8</v>
      </c>
    </row>
    <row r="59" customFormat="false" ht="15" hidden="false" customHeight="true" outlineLevel="0" collapsed="false">
      <c r="B59" s="40"/>
      <c r="C59" s="90"/>
      <c r="D59" s="85"/>
      <c r="E59" s="80"/>
      <c r="F59" s="44" t="s">
        <v>48</v>
      </c>
      <c r="G59" s="81"/>
      <c r="H59" s="92" t="n">
        <v>25.8932451769239</v>
      </c>
      <c r="I59" s="71" t="n">
        <f aca="false">AVERAGE(H59,J59)</f>
        <v>29.9192034680751</v>
      </c>
      <c r="J59" s="93" t="n">
        <v>33.9451617592263</v>
      </c>
      <c r="K59" s="49" t="s">
        <v>46</v>
      </c>
      <c r="L59" s="50"/>
      <c r="M59" s="51" t="s">
        <v>46</v>
      </c>
      <c r="N59" s="52" t="s">
        <v>46</v>
      </c>
      <c r="O59" s="53"/>
      <c r="P59" s="54" t="s">
        <v>46</v>
      </c>
      <c r="Q59" s="52" t="s">
        <v>46</v>
      </c>
      <c r="R59" s="53"/>
      <c r="S59" s="53" t="s">
        <v>46</v>
      </c>
      <c r="T59" s="49" t="n">
        <v>85</v>
      </c>
      <c r="U59" s="50" t="n">
        <f aca="false">AVERAGEA(V59, T59)</f>
        <v>90.15</v>
      </c>
      <c r="V59" s="51" t="n">
        <v>95.3</v>
      </c>
      <c r="W59" s="78" t="n">
        <v>60</v>
      </c>
      <c r="X59" s="100" t="n">
        <f aca="false">AVERAGEA(Y59, W59)</f>
        <v>40</v>
      </c>
      <c r="Y59" s="54" t="n">
        <v>20</v>
      </c>
      <c r="Z59" s="49" t="n">
        <v>0.58</v>
      </c>
      <c r="AA59" s="94" t="n">
        <f aca="false">AVERAGEA(AB59, Z59)</f>
        <v>3.29</v>
      </c>
      <c r="AB59" s="98" t="n">
        <v>6</v>
      </c>
      <c r="AC59" s="95" t="n">
        <v>0.58</v>
      </c>
      <c r="AD59" s="100" t="n">
        <f aca="false">AVERAGEA(AE59, AC59)</f>
        <v>3.29</v>
      </c>
      <c r="AE59" s="96" t="n">
        <v>6</v>
      </c>
      <c r="AF59" s="97" t="n">
        <v>3</v>
      </c>
      <c r="AG59" s="50" t="n">
        <f aca="false">AVERAGEA(AH59, AF59)</f>
        <v>6.5</v>
      </c>
      <c r="AH59" s="98" t="n">
        <v>10</v>
      </c>
      <c r="AI59" s="99" t="n">
        <v>6</v>
      </c>
      <c r="AJ59" s="77" t="n">
        <f aca="false">AVERAGEA(AK59, AI59)</f>
        <v>8</v>
      </c>
      <c r="AK59" s="98" t="n">
        <v>10</v>
      </c>
      <c r="AL59" s="95" t="n">
        <v>998</v>
      </c>
      <c r="AM59" s="100" t="n">
        <f aca="false">AVERAGEA(AN59, AL59)</f>
        <v>1839</v>
      </c>
      <c r="AN59" s="96" t="n">
        <v>2680</v>
      </c>
      <c r="AO59" s="97" t="n">
        <v>26.6</v>
      </c>
      <c r="AP59" s="94" t="n">
        <f aca="false">AVERAGEA(AQ59, AO59)</f>
        <v>31.8</v>
      </c>
      <c r="AQ59" s="98" t="n">
        <v>37</v>
      </c>
      <c r="AR59" s="78" t="n">
        <v>2.6</v>
      </c>
      <c r="AS59" s="53" t="n">
        <f aca="false">AVERAGEA(AT59, AR59)</f>
        <v>6.55</v>
      </c>
      <c r="AT59" s="54" t="n">
        <v>10.5</v>
      </c>
      <c r="AU59" s="49" t="n">
        <v>3.56</v>
      </c>
      <c r="AV59" s="50" t="n">
        <f aca="false">AVERAGE(AU59,AW59)</f>
        <v>22.03</v>
      </c>
      <c r="AW59" s="51" t="n">
        <v>40.5</v>
      </c>
      <c r="AX59" s="79" t="n">
        <v>5.7</v>
      </c>
      <c r="AY59" s="53" t="n">
        <f aca="false">AVERAGE(AX59,AZ59)</f>
        <v>26.85</v>
      </c>
      <c r="AZ59" s="54" t="n">
        <v>48</v>
      </c>
      <c r="BA59" s="49" t="n">
        <v>6.2</v>
      </c>
      <c r="BB59" s="50" t="n">
        <f aca="false">AVERAGE(BA59,BC59)</f>
        <v>42.1</v>
      </c>
      <c r="BC59" s="51" t="n">
        <v>78</v>
      </c>
      <c r="BD59" s="78" t="n">
        <v>1.8</v>
      </c>
      <c r="BE59" s="53" t="n">
        <f aca="false">AVERAGEA(BF59, BD59)</f>
        <v>1.8</v>
      </c>
      <c r="BF59" s="54" t="n">
        <v>1.8</v>
      </c>
      <c r="BG59" s="49" t="n">
        <v>78</v>
      </c>
      <c r="BH59" s="50" t="n">
        <f aca="false">AVERAGEA(BG59,BI59)</f>
        <v>159</v>
      </c>
      <c r="BI59" s="51" t="n">
        <v>240</v>
      </c>
      <c r="BJ59" s="79" t="n">
        <v>2</v>
      </c>
      <c r="BK59" s="53" t="n">
        <f aca="false">AVERAGEA(BJ59,BL59)</f>
        <v>3.5</v>
      </c>
      <c r="BL59" s="54" t="n">
        <v>5</v>
      </c>
      <c r="BM59" s="49" t="n">
        <v>5</v>
      </c>
      <c r="BN59" s="50" t="n">
        <f aca="false">AVERAGEA(BM59,BO59)</f>
        <v>8.9</v>
      </c>
      <c r="BO59" s="51" t="n">
        <v>12.8</v>
      </c>
    </row>
    <row r="60" customFormat="false" ht="15" hidden="false" customHeight="true" outlineLevel="0" collapsed="false">
      <c r="B60" s="40"/>
      <c r="C60" s="90"/>
      <c r="D60" s="85"/>
      <c r="E60" s="80"/>
      <c r="F60" s="44" t="s">
        <v>49</v>
      </c>
      <c r="G60" s="81"/>
      <c r="H60" s="92" t="n">
        <v>20.4654779973505</v>
      </c>
      <c r="I60" s="71" t="n">
        <f aca="false">AVERAGE(H60,J60)</f>
        <v>23.1612820496938</v>
      </c>
      <c r="J60" s="93" t="n">
        <v>25.857086102037</v>
      </c>
      <c r="K60" s="49" t="s">
        <v>46</v>
      </c>
      <c r="L60" s="50"/>
      <c r="M60" s="51" t="s">
        <v>46</v>
      </c>
      <c r="N60" s="52" t="s">
        <v>46</v>
      </c>
      <c r="O60" s="53"/>
      <c r="P60" s="54" t="s">
        <v>46</v>
      </c>
      <c r="Q60" s="52" t="s">
        <v>46</v>
      </c>
      <c r="R60" s="53"/>
      <c r="S60" s="53" t="s">
        <v>46</v>
      </c>
      <c r="T60" s="49" t="n">
        <v>85</v>
      </c>
      <c r="U60" s="50" t="n">
        <f aca="false">AVERAGEA(V60, T60)</f>
        <v>90.15</v>
      </c>
      <c r="V60" s="51" t="n">
        <v>95.3</v>
      </c>
      <c r="W60" s="78" t="n">
        <v>60</v>
      </c>
      <c r="X60" s="100" t="n">
        <f aca="false">AVERAGEA(Y60, W60)</f>
        <v>40</v>
      </c>
      <c r="Y60" s="54" t="n">
        <v>20</v>
      </c>
      <c r="Z60" s="49" t="n">
        <v>0.58</v>
      </c>
      <c r="AA60" s="94" t="n">
        <f aca="false">AVERAGEA(AB60, Z60)</f>
        <v>3.29</v>
      </c>
      <c r="AB60" s="98" t="n">
        <v>6</v>
      </c>
      <c r="AC60" s="95" t="n">
        <v>0.58</v>
      </c>
      <c r="AD60" s="100" t="n">
        <f aca="false">AVERAGEA(AE60, AC60)</f>
        <v>3.29</v>
      </c>
      <c r="AE60" s="96" t="n">
        <v>6</v>
      </c>
      <c r="AF60" s="97" t="n">
        <v>3</v>
      </c>
      <c r="AG60" s="50" t="n">
        <f aca="false">AVERAGEA(AH60, AF60)</f>
        <v>6.5</v>
      </c>
      <c r="AH60" s="98" t="n">
        <v>10</v>
      </c>
      <c r="AI60" s="99" t="n">
        <v>6</v>
      </c>
      <c r="AJ60" s="77" t="n">
        <f aca="false">AVERAGEA(AK60, AI60)</f>
        <v>8</v>
      </c>
      <c r="AK60" s="98" t="n">
        <v>10</v>
      </c>
      <c r="AL60" s="95" t="n">
        <v>998</v>
      </c>
      <c r="AM60" s="100" t="n">
        <f aca="false">AVERAGEA(AN60, AL60)</f>
        <v>1839</v>
      </c>
      <c r="AN60" s="96" t="n">
        <v>2680</v>
      </c>
      <c r="AO60" s="97" t="n">
        <v>26.6</v>
      </c>
      <c r="AP60" s="94" t="n">
        <f aca="false">AVERAGEA(AQ60, AO60)</f>
        <v>31.8</v>
      </c>
      <c r="AQ60" s="98" t="n">
        <v>37</v>
      </c>
      <c r="AR60" s="78" t="n">
        <v>2.6</v>
      </c>
      <c r="AS60" s="53" t="n">
        <f aca="false">AVERAGEA(AT60, AR60)</f>
        <v>6.55</v>
      </c>
      <c r="AT60" s="54" t="n">
        <v>10.5</v>
      </c>
      <c r="AU60" s="49" t="n">
        <v>3.56</v>
      </c>
      <c r="AV60" s="50" t="n">
        <f aca="false">AVERAGE(AU60,AW60)</f>
        <v>22.03</v>
      </c>
      <c r="AW60" s="51" t="n">
        <v>40.5</v>
      </c>
      <c r="AX60" s="79" t="n">
        <v>5.7</v>
      </c>
      <c r="AY60" s="53" t="n">
        <f aca="false">AVERAGE(AX60,AZ60)</f>
        <v>26.85</v>
      </c>
      <c r="AZ60" s="54" t="n">
        <v>48</v>
      </c>
      <c r="BA60" s="49" t="n">
        <v>6.2</v>
      </c>
      <c r="BB60" s="50" t="n">
        <f aca="false">AVERAGE(BA60,BC60)</f>
        <v>42.1</v>
      </c>
      <c r="BC60" s="51" t="n">
        <v>78</v>
      </c>
      <c r="BD60" s="78" t="n">
        <v>1.8</v>
      </c>
      <c r="BE60" s="53" t="n">
        <f aca="false">AVERAGEA(BF60, BD60)</f>
        <v>1.8</v>
      </c>
      <c r="BF60" s="54" t="n">
        <v>1.8</v>
      </c>
      <c r="BG60" s="49" t="n">
        <v>78</v>
      </c>
      <c r="BH60" s="50" t="n">
        <f aca="false">AVERAGEA(BG60,BI60)</f>
        <v>159</v>
      </c>
      <c r="BI60" s="51" t="n">
        <v>240</v>
      </c>
      <c r="BJ60" s="79" t="n">
        <v>2</v>
      </c>
      <c r="BK60" s="53" t="n">
        <f aca="false">AVERAGEA(BJ60,BL60)</f>
        <v>3.5</v>
      </c>
      <c r="BL60" s="54" t="n">
        <v>5</v>
      </c>
      <c r="BM60" s="49" t="n">
        <v>5</v>
      </c>
      <c r="BN60" s="50" t="n">
        <f aca="false">AVERAGEA(BM60,BO60)</f>
        <v>8.9</v>
      </c>
      <c r="BO60" s="51" t="n">
        <v>12.8</v>
      </c>
    </row>
    <row r="61" customFormat="false" ht="15" hidden="false" customHeight="true" outlineLevel="0" collapsed="false">
      <c r="B61" s="40"/>
      <c r="C61" s="90" t="s">
        <v>57</v>
      </c>
      <c r="D61" s="86" t="s">
        <v>54</v>
      </c>
      <c r="E61" s="80" t="s">
        <v>44</v>
      </c>
      <c r="F61" s="44" t="s">
        <v>45</v>
      </c>
      <c r="G61" s="81"/>
      <c r="H61" s="92" t="n">
        <v>40.8658372144628</v>
      </c>
      <c r="I61" s="71" t="n">
        <f aca="false">AVERAGE(H61,J61)</f>
        <v>42.0852097252407</v>
      </c>
      <c r="J61" s="93" t="n">
        <v>43.3045822360186</v>
      </c>
      <c r="K61" s="49" t="s">
        <v>46</v>
      </c>
      <c r="L61" s="50"/>
      <c r="M61" s="51" t="s">
        <v>46</v>
      </c>
      <c r="N61" s="52" t="s">
        <v>46</v>
      </c>
      <c r="O61" s="53"/>
      <c r="P61" s="54" t="s">
        <v>46</v>
      </c>
      <c r="Q61" s="52" t="s">
        <v>46</v>
      </c>
      <c r="R61" s="53"/>
      <c r="S61" s="53" t="s">
        <v>46</v>
      </c>
      <c r="T61" s="49" t="n">
        <v>85</v>
      </c>
      <c r="U61" s="50" t="n">
        <f aca="false">AVERAGEA(V61, T61)</f>
        <v>90.15</v>
      </c>
      <c r="V61" s="51" t="n">
        <v>95.3</v>
      </c>
      <c r="W61" s="78" t="n">
        <v>60</v>
      </c>
      <c r="X61" s="100" t="n">
        <f aca="false">AVERAGEA(Y61, W61)</f>
        <v>40</v>
      </c>
      <c r="Y61" s="54" t="n">
        <v>20</v>
      </c>
      <c r="Z61" s="49" t="n">
        <v>0.58</v>
      </c>
      <c r="AA61" s="94" t="n">
        <f aca="false">AVERAGEA(AB61, Z61)</f>
        <v>3.29</v>
      </c>
      <c r="AB61" s="98" t="n">
        <v>6</v>
      </c>
      <c r="AC61" s="95" t="n">
        <v>0.58</v>
      </c>
      <c r="AD61" s="100" t="n">
        <f aca="false">AVERAGEA(AE61, AC61)</f>
        <v>3.29</v>
      </c>
      <c r="AE61" s="96" t="n">
        <v>6</v>
      </c>
      <c r="AF61" s="97" t="n">
        <v>3</v>
      </c>
      <c r="AG61" s="50" t="n">
        <f aca="false">AVERAGEA(AH61, AF61)</f>
        <v>6.5</v>
      </c>
      <c r="AH61" s="98" t="n">
        <v>10</v>
      </c>
      <c r="AI61" s="99" t="n">
        <v>1.5</v>
      </c>
      <c r="AJ61" s="77" t="n">
        <f aca="false">AVERAGEA(AK61, AI61)</f>
        <v>2.25</v>
      </c>
      <c r="AK61" s="98" t="n">
        <v>3</v>
      </c>
      <c r="AL61" s="95" t="n">
        <v>998</v>
      </c>
      <c r="AM61" s="100" t="n">
        <f aca="false">AVERAGEA(AN61, AL61)</f>
        <v>1839</v>
      </c>
      <c r="AN61" s="96" t="n">
        <v>2680</v>
      </c>
      <c r="AO61" s="97" t="n">
        <v>26.6</v>
      </c>
      <c r="AP61" s="94" t="n">
        <f aca="false">AVERAGEA(AQ61, AO61)</f>
        <v>31.8</v>
      </c>
      <c r="AQ61" s="98" t="n">
        <v>37</v>
      </c>
      <c r="AR61" s="78" t="n">
        <v>2.6</v>
      </c>
      <c r="AS61" s="53" t="n">
        <f aca="false">AVERAGEA(AT61, AR61)</f>
        <v>6.55</v>
      </c>
      <c r="AT61" s="54" t="n">
        <v>10.5</v>
      </c>
      <c r="AU61" s="49" t="n">
        <v>3.56</v>
      </c>
      <c r="AV61" s="50" t="n">
        <f aca="false">AVERAGE(AU61,AW61)</f>
        <v>22.03</v>
      </c>
      <c r="AW61" s="51" t="n">
        <v>40.5</v>
      </c>
      <c r="AX61" s="79" t="n">
        <v>5.7</v>
      </c>
      <c r="AY61" s="53" t="n">
        <f aca="false">AVERAGE(AX61,AZ61)</f>
        <v>26.85</v>
      </c>
      <c r="AZ61" s="54" t="n">
        <v>48</v>
      </c>
      <c r="BA61" s="49" t="n">
        <v>6.2</v>
      </c>
      <c r="BB61" s="50" t="n">
        <f aca="false">AVERAGE(BA61,BC61)</f>
        <v>42.1</v>
      </c>
      <c r="BC61" s="51" t="n">
        <v>78</v>
      </c>
      <c r="BD61" s="78" t="n">
        <v>1.8</v>
      </c>
      <c r="BE61" s="53" t="n">
        <f aca="false">AVERAGEA(BF61, BD61)</f>
        <v>1.8</v>
      </c>
      <c r="BF61" s="54" t="n">
        <v>1.8</v>
      </c>
      <c r="BG61" s="49" t="n">
        <v>78</v>
      </c>
      <c r="BH61" s="50" t="n">
        <f aca="false">AVERAGEA(BG61,BI61)</f>
        <v>159</v>
      </c>
      <c r="BI61" s="51" t="n">
        <v>240</v>
      </c>
      <c r="BJ61" s="79" t="n">
        <v>2</v>
      </c>
      <c r="BK61" s="53" t="n">
        <f aca="false">AVERAGEA(BJ61,BL61)</f>
        <v>3.5</v>
      </c>
      <c r="BL61" s="54" t="n">
        <v>5</v>
      </c>
      <c r="BM61" s="49" t="n">
        <v>5</v>
      </c>
      <c r="BN61" s="50" t="n">
        <f aca="false">AVERAGEA(BM61,BO61)</f>
        <v>8.9</v>
      </c>
      <c r="BO61" s="51" t="n">
        <v>12.8</v>
      </c>
    </row>
    <row r="62" customFormat="false" ht="15" hidden="false" customHeight="true" outlineLevel="0" collapsed="false">
      <c r="B62" s="40"/>
      <c r="C62" s="90"/>
      <c r="D62" s="86"/>
      <c r="E62" s="80"/>
      <c r="F62" s="44" t="s">
        <v>47</v>
      </c>
      <c r="G62" s="81"/>
      <c r="H62" s="92" t="n">
        <v>37.9161475741639</v>
      </c>
      <c r="I62" s="71" t="n">
        <f aca="false">AVERAGE(H62,J62)</f>
        <v>39.3872285091875</v>
      </c>
      <c r="J62" s="93" t="n">
        <v>40.8583094442112</v>
      </c>
      <c r="K62" s="49" t="s">
        <v>46</v>
      </c>
      <c r="L62" s="50"/>
      <c r="M62" s="51" t="s">
        <v>46</v>
      </c>
      <c r="N62" s="52" t="s">
        <v>46</v>
      </c>
      <c r="O62" s="53"/>
      <c r="P62" s="54" t="s">
        <v>46</v>
      </c>
      <c r="Q62" s="52" t="s">
        <v>46</v>
      </c>
      <c r="R62" s="53"/>
      <c r="S62" s="53" t="s">
        <v>46</v>
      </c>
      <c r="T62" s="49" t="n">
        <v>85</v>
      </c>
      <c r="U62" s="50" t="n">
        <f aca="false">AVERAGEA(V62, T62)</f>
        <v>90.15</v>
      </c>
      <c r="V62" s="51" t="n">
        <v>95.3</v>
      </c>
      <c r="W62" s="78" t="n">
        <v>60</v>
      </c>
      <c r="X62" s="100" t="n">
        <f aca="false">AVERAGEA(Y62, W62)</f>
        <v>40</v>
      </c>
      <c r="Y62" s="54" t="n">
        <v>20</v>
      </c>
      <c r="Z62" s="49" t="n">
        <v>0.58</v>
      </c>
      <c r="AA62" s="94" t="n">
        <f aca="false">AVERAGEA(AB62, Z62)</f>
        <v>3.29</v>
      </c>
      <c r="AB62" s="98" t="n">
        <v>6</v>
      </c>
      <c r="AC62" s="95" t="n">
        <v>0.58</v>
      </c>
      <c r="AD62" s="100" t="n">
        <f aca="false">AVERAGEA(AE62, AC62)</f>
        <v>3.29</v>
      </c>
      <c r="AE62" s="96" t="n">
        <v>6</v>
      </c>
      <c r="AF62" s="97" t="n">
        <v>3</v>
      </c>
      <c r="AG62" s="50" t="n">
        <f aca="false">AVERAGEA(AH62, AF62)</f>
        <v>6.5</v>
      </c>
      <c r="AH62" s="98" t="n">
        <v>10</v>
      </c>
      <c r="AI62" s="99" t="n">
        <v>1.5</v>
      </c>
      <c r="AJ62" s="77" t="n">
        <f aca="false">AVERAGEA(AK62, AI62)</f>
        <v>2.25</v>
      </c>
      <c r="AK62" s="98" t="n">
        <v>3</v>
      </c>
      <c r="AL62" s="95" t="n">
        <v>998</v>
      </c>
      <c r="AM62" s="100" t="n">
        <f aca="false">AVERAGEA(AN62, AL62)</f>
        <v>1839</v>
      </c>
      <c r="AN62" s="96" t="n">
        <v>2680</v>
      </c>
      <c r="AO62" s="97" t="n">
        <v>26.6</v>
      </c>
      <c r="AP62" s="94" t="n">
        <f aca="false">AVERAGEA(AQ62, AO62)</f>
        <v>31.8</v>
      </c>
      <c r="AQ62" s="98" t="n">
        <v>37</v>
      </c>
      <c r="AR62" s="78" t="n">
        <v>2.6</v>
      </c>
      <c r="AS62" s="53" t="n">
        <f aca="false">AVERAGEA(AT62, AR62)</f>
        <v>6.55</v>
      </c>
      <c r="AT62" s="54" t="n">
        <v>10.5</v>
      </c>
      <c r="AU62" s="49" t="n">
        <v>3.56</v>
      </c>
      <c r="AV62" s="50" t="n">
        <f aca="false">AVERAGE(AU62,AW62)</f>
        <v>22.03</v>
      </c>
      <c r="AW62" s="51" t="n">
        <v>40.5</v>
      </c>
      <c r="AX62" s="79" t="n">
        <v>5.7</v>
      </c>
      <c r="AY62" s="53" t="n">
        <f aca="false">AVERAGE(AX62,AZ62)</f>
        <v>26.85</v>
      </c>
      <c r="AZ62" s="54" t="n">
        <v>48</v>
      </c>
      <c r="BA62" s="49" t="n">
        <v>6.2</v>
      </c>
      <c r="BB62" s="50" t="n">
        <f aca="false">AVERAGE(BA62,BC62)</f>
        <v>42.1</v>
      </c>
      <c r="BC62" s="51" t="n">
        <v>78</v>
      </c>
      <c r="BD62" s="78" t="n">
        <v>1.8</v>
      </c>
      <c r="BE62" s="53" t="n">
        <f aca="false">AVERAGEA(BF62, BD62)</f>
        <v>1.8</v>
      </c>
      <c r="BF62" s="54" t="n">
        <v>1.8</v>
      </c>
      <c r="BG62" s="49" t="n">
        <v>78</v>
      </c>
      <c r="BH62" s="50" t="n">
        <f aca="false">AVERAGEA(BG62,BI62)</f>
        <v>159</v>
      </c>
      <c r="BI62" s="51" t="n">
        <v>240</v>
      </c>
      <c r="BJ62" s="79" t="n">
        <v>2</v>
      </c>
      <c r="BK62" s="53" t="n">
        <f aca="false">AVERAGEA(BJ62,BL62)</f>
        <v>3.5</v>
      </c>
      <c r="BL62" s="54" t="n">
        <v>5</v>
      </c>
      <c r="BM62" s="49" t="n">
        <v>5</v>
      </c>
      <c r="BN62" s="50" t="n">
        <f aca="false">AVERAGEA(BM62,BO62)</f>
        <v>8.9</v>
      </c>
      <c r="BO62" s="51" t="n">
        <v>12.8</v>
      </c>
    </row>
    <row r="63" customFormat="false" ht="15" hidden="false" customHeight="true" outlineLevel="0" collapsed="false">
      <c r="B63" s="40"/>
      <c r="C63" s="90"/>
      <c r="D63" s="86"/>
      <c r="E63" s="80"/>
      <c r="F63" s="44" t="s">
        <v>48</v>
      </c>
      <c r="G63" s="81"/>
      <c r="H63" s="92" t="n">
        <v>28.9069541541286</v>
      </c>
      <c r="I63" s="71" t="n">
        <f aca="false">AVERAGE(H63,J63)</f>
        <v>33.4014928244865</v>
      </c>
      <c r="J63" s="93" t="n">
        <v>37.8960314948443</v>
      </c>
      <c r="K63" s="49" t="s">
        <v>46</v>
      </c>
      <c r="L63" s="50"/>
      <c r="M63" s="51" t="s">
        <v>46</v>
      </c>
      <c r="N63" s="52" t="s">
        <v>46</v>
      </c>
      <c r="O63" s="53"/>
      <c r="P63" s="54" t="s">
        <v>46</v>
      </c>
      <c r="Q63" s="52" t="s">
        <v>46</v>
      </c>
      <c r="R63" s="53"/>
      <c r="S63" s="53" t="s">
        <v>46</v>
      </c>
      <c r="T63" s="49" t="n">
        <v>85</v>
      </c>
      <c r="U63" s="50" t="n">
        <f aca="false">AVERAGEA(V63, T63)</f>
        <v>90.15</v>
      </c>
      <c r="V63" s="51" t="n">
        <v>95.3</v>
      </c>
      <c r="W63" s="78" t="n">
        <v>60</v>
      </c>
      <c r="X63" s="100" t="n">
        <f aca="false">AVERAGEA(Y63, W63)</f>
        <v>40</v>
      </c>
      <c r="Y63" s="54" t="n">
        <v>20</v>
      </c>
      <c r="Z63" s="49" t="n">
        <v>0.58</v>
      </c>
      <c r="AA63" s="94" t="n">
        <f aca="false">AVERAGEA(AB63, Z63)</f>
        <v>3.29</v>
      </c>
      <c r="AB63" s="98" t="n">
        <v>6</v>
      </c>
      <c r="AC63" s="95" t="n">
        <v>0.58</v>
      </c>
      <c r="AD63" s="100" t="n">
        <f aca="false">AVERAGEA(AE63, AC63)</f>
        <v>3.29</v>
      </c>
      <c r="AE63" s="96" t="n">
        <v>6</v>
      </c>
      <c r="AF63" s="97" t="n">
        <v>3</v>
      </c>
      <c r="AG63" s="50" t="n">
        <f aca="false">AVERAGEA(AH63, AF63)</f>
        <v>6.5</v>
      </c>
      <c r="AH63" s="98" t="n">
        <v>10</v>
      </c>
      <c r="AI63" s="99" t="n">
        <v>1.5</v>
      </c>
      <c r="AJ63" s="77" t="n">
        <f aca="false">AVERAGEA(AK63, AI63)</f>
        <v>2.25</v>
      </c>
      <c r="AK63" s="98" t="n">
        <v>3</v>
      </c>
      <c r="AL63" s="95" t="n">
        <v>998</v>
      </c>
      <c r="AM63" s="100" t="n">
        <f aca="false">AVERAGEA(AN63, AL63)</f>
        <v>1839</v>
      </c>
      <c r="AN63" s="96" t="n">
        <v>2680</v>
      </c>
      <c r="AO63" s="97" t="n">
        <v>26.6</v>
      </c>
      <c r="AP63" s="94" t="n">
        <f aca="false">AVERAGEA(AQ63, AO63)</f>
        <v>31.8</v>
      </c>
      <c r="AQ63" s="98" t="n">
        <v>37</v>
      </c>
      <c r="AR63" s="78" t="n">
        <v>2.6</v>
      </c>
      <c r="AS63" s="53" t="n">
        <f aca="false">AVERAGEA(AT63, AR63)</f>
        <v>6.55</v>
      </c>
      <c r="AT63" s="54" t="n">
        <v>10.5</v>
      </c>
      <c r="AU63" s="49" t="n">
        <v>3.56</v>
      </c>
      <c r="AV63" s="50" t="n">
        <f aca="false">AVERAGE(AU63,AW63)</f>
        <v>22.03</v>
      </c>
      <c r="AW63" s="51" t="n">
        <v>40.5</v>
      </c>
      <c r="AX63" s="79" t="n">
        <v>5.7</v>
      </c>
      <c r="AY63" s="53" t="n">
        <f aca="false">AVERAGE(AX63,AZ63)</f>
        <v>26.85</v>
      </c>
      <c r="AZ63" s="54" t="n">
        <v>48</v>
      </c>
      <c r="BA63" s="49" t="n">
        <v>6.2</v>
      </c>
      <c r="BB63" s="50" t="n">
        <f aca="false">AVERAGE(BA63,BC63)</f>
        <v>42.1</v>
      </c>
      <c r="BC63" s="51" t="n">
        <v>78</v>
      </c>
      <c r="BD63" s="78" t="n">
        <v>1.8</v>
      </c>
      <c r="BE63" s="53" t="n">
        <f aca="false">AVERAGEA(BF63, BD63)</f>
        <v>1.8</v>
      </c>
      <c r="BF63" s="54" t="n">
        <v>1.8</v>
      </c>
      <c r="BG63" s="49" t="n">
        <v>78</v>
      </c>
      <c r="BH63" s="50" t="n">
        <f aca="false">AVERAGEA(BG63,BI63)</f>
        <v>159</v>
      </c>
      <c r="BI63" s="51" t="n">
        <v>240</v>
      </c>
      <c r="BJ63" s="79" t="n">
        <v>2</v>
      </c>
      <c r="BK63" s="53" t="n">
        <f aca="false">AVERAGEA(BJ63,BL63)</f>
        <v>3.5</v>
      </c>
      <c r="BL63" s="54" t="n">
        <v>5</v>
      </c>
      <c r="BM63" s="49" t="n">
        <v>5</v>
      </c>
      <c r="BN63" s="50" t="n">
        <f aca="false">AVERAGEA(BM63,BO63)</f>
        <v>8.9</v>
      </c>
      <c r="BO63" s="51" t="n">
        <v>12.8</v>
      </c>
    </row>
    <row r="64" customFormat="false" ht="15" hidden="false" customHeight="true" outlineLevel="0" collapsed="false">
      <c r="B64" s="40"/>
      <c r="C64" s="90"/>
      <c r="D64" s="86"/>
      <c r="E64" s="80"/>
      <c r="F64" s="44" t="s">
        <v>49</v>
      </c>
      <c r="G64" s="81"/>
      <c r="H64" s="92" t="n">
        <v>22.8474503743923</v>
      </c>
      <c r="I64" s="71" t="n">
        <f aca="false">AVERAGE(H64,J64)</f>
        <v>25.8570184535239</v>
      </c>
      <c r="J64" s="93" t="n">
        <v>28.8665865326556</v>
      </c>
      <c r="K64" s="49" t="s">
        <v>46</v>
      </c>
      <c r="L64" s="50"/>
      <c r="M64" s="51" t="s">
        <v>46</v>
      </c>
      <c r="N64" s="52" t="s">
        <v>46</v>
      </c>
      <c r="O64" s="53"/>
      <c r="P64" s="54" t="s">
        <v>46</v>
      </c>
      <c r="Q64" s="52" t="s">
        <v>46</v>
      </c>
      <c r="R64" s="53"/>
      <c r="S64" s="53" t="s">
        <v>46</v>
      </c>
      <c r="T64" s="49" t="n">
        <v>85</v>
      </c>
      <c r="U64" s="50" t="n">
        <f aca="false">AVERAGEA(V64, T64)</f>
        <v>90.15</v>
      </c>
      <c r="V64" s="51" t="n">
        <v>95.3</v>
      </c>
      <c r="W64" s="78" t="n">
        <v>60</v>
      </c>
      <c r="X64" s="100" t="n">
        <f aca="false">AVERAGEA(Y64, W64)</f>
        <v>40</v>
      </c>
      <c r="Y64" s="54" t="n">
        <v>20</v>
      </c>
      <c r="Z64" s="49" t="n">
        <v>0.58</v>
      </c>
      <c r="AA64" s="94" t="n">
        <f aca="false">AVERAGEA(AB64, Z64)</f>
        <v>3.29</v>
      </c>
      <c r="AB64" s="98" t="n">
        <v>6</v>
      </c>
      <c r="AC64" s="95" t="n">
        <v>0.58</v>
      </c>
      <c r="AD64" s="100" t="n">
        <f aca="false">AVERAGEA(AE64, AC64)</f>
        <v>3.29</v>
      </c>
      <c r="AE64" s="96" t="n">
        <v>6</v>
      </c>
      <c r="AF64" s="97" t="n">
        <v>3</v>
      </c>
      <c r="AG64" s="50" t="n">
        <f aca="false">AVERAGEA(AH64, AF64)</f>
        <v>6.5</v>
      </c>
      <c r="AH64" s="98" t="n">
        <v>10</v>
      </c>
      <c r="AI64" s="99" t="n">
        <v>1.5</v>
      </c>
      <c r="AJ64" s="77" t="n">
        <f aca="false">AVERAGEA(AK64, AI64)</f>
        <v>2.25</v>
      </c>
      <c r="AK64" s="98" t="n">
        <v>3</v>
      </c>
      <c r="AL64" s="95" t="n">
        <v>998</v>
      </c>
      <c r="AM64" s="100" t="n">
        <f aca="false">AVERAGEA(AN64, AL64)</f>
        <v>1839</v>
      </c>
      <c r="AN64" s="96" t="n">
        <v>2680</v>
      </c>
      <c r="AO64" s="97" t="n">
        <v>26.6</v>
      </c>
      <c r="AP64" s="94" t="n">
        <f aca="false">AVERAGEA(AQ64, AO64)</f>
        <v>31.8</v>
      </c>
      <c r="AQ64" s="98" t="n">
        <v>37</v>
      </c>
      <c r="AR64" s="78" t="n">
        <v>2.6</v>
      </c>
      <c r="AS64" s="53" t="n">
        <f aca="false">AVERAGEA(AT64, AR64)</f>
        <v>6.55</v>
      </c>
      <c r="AT64" s="54" t="n">
        <v>10.5</v>
      </c>
      <c r="AU64" s="49" t="n">
        <v>3.56</v>
      </c>
      <c r="AV64" s="50" t="n">
        <f aca="false">AVERAGE(AU64,AW64)</f>
        <v>22.03</v>
      </c>
      <c r="AW64" s="51" t="n">
        <v>40.5</v>
      </c>
      <c r="AX64" s="79" t="n">
        <v>5.7</v>
      </c>
      <c r="AY64" s="53" t="n">
        <f aca="false">AVERAGE(AX64,AZ64)</f>
        <v>26.85</v>
      </c>
      <c r="AZ64" s="54" t="n">
        <v>48</v>
      </c>
      <c r="BA64" s="49" t="n">
        <v>6.2</v>
      </c>
      <c r="BB64" s="50" t="n">
        <f aca="false">AVERAGE(BA64,BC64)</f>
        <v>42.1</v>
      </c>
      <c r="BC64" s="51" t="n">
        <v>78</v>
      </c>
      <c r="BD64" s="78" t="n">
        <v>1.8</v>
      </c>
      <c r="BE64" s="53" t="n">
        <f aca="false">AVERAGEA(BF64, BD64)</f>
        <v>1.8</v>
      </c>
      <c r="BF64" s="54" t="n">
        <v>1.8</v>
      </c>
      <c r="BG64" s="49" t="n">
        <v>78</v>
      </c>
      <c r="BH64" s="50" t="n">
        <f aca="false">AVERAGEA(BG64,BI64)</f>
        <v>159</v>
      </c>
      <c r="BI64" s="51" t="n">
        <v>240</v>
      </c>
      <c r="BJ64" s="79" t="n">
        <v>2</v>
      </c>
      <c r="BK64" s="53" t="n">
        <f aca="false">AVERAGEA(BJ64,BL64)</f>
        <v>3.5</v>
      </c>
      <c r="BL64" s="54" t="n">
        <v>5</v>
      </c>
      <c r="BM64" s="49" t="n">
        <v>5</v>
      </c>
      <c r="BN64" s="50" t="n">
        <f aca="false">AVERAGEA(BM64,BO64)</f>
        <v>8.9</v>
      </c>
      <c r="BO64" s="51" t="n">
        <v>12.8</v>
      </c>
    </row>
    <row r="65" customFormat="false" ht="15" hidden="false" customHeight="true" outlineLevel="0" collapsed="false">
      <c r="B65" s="40"/>
      <c r="C65" s="90"/>
      <c r="D65" s="86"/>
      <c r="E65" s="80" t="s">
        <v>55</v>
      </c>
      <c r="F65" s="44" t="s">
        <v>45</v>
      </c>
      <c r="G65" s="81"/>
      <c r="H65" s="92" t="n">
        <v>40.3631267360302</v>
      </c>
      <c r="I65" s="71" t="n">
        <f aca="false">AVERAGE(H65,J65)</f>
        <v>41.5674991543087</v>
      </c>
      <c r="J65" s="93" t="n">
        <v>42.7718715725873</v>
      </c>
      <c r="K65" s="49" t="s">
        <v>46</v>
      </c>
      <c r="L65" s="50"/>
      <c r="M65" s="51" t="s">
        <v>46</v>
      </c>
      <c r="N65" s="52" t="s">
        <v>46</v>
      </c>
      <c r="O65" s="53"/>
      <c r="P65" s="54" t="s">
        <v>46</v>
      </c>
      <c r="Q65" s="52" t="s">
        <v>46</v>
      </c>
      <c r="R65" s="53"/>
      <c r="S65" s="53" t="s">
        <v>46</v>
      </c>
      <c r="T65" s="49" t="n">
        <v>85</v>
      </c>
      <c r="U65" s="50" t="n">
        <f aca="false">AVERAGEA(V65, T65)</f>
        <v>90.15</v>
      </c>
      <c r="V65" s="51" t="n">
        <v>95.3</v>
      </c>
      <c r="W65" s="78" t="n">
        <v>60</v>
      </c>
      <c r="X65" s="100" t="n">
        <f aca="false">AVERAGEA(Y65, W65)</f>
        <v>40</v>
      </c>
      <c r="Y65" s="54" t="n">
        <v>20</v>
      </c>
      <c r="Z65" s="49" t="n">
        <v>0.58</v>
      </c>
      <c r="AA65" s="94" t="n">
        <f aca="false">AVERAGEA(AB65, Z65)</f>
        <v>3.29</v>
      </c>
      <c r="AB65" s="98" t="n">
        <v>6</v>
      </c>
      <c r="AC65" s="95" t="n">
        <v>0.58</v>
      </c>
      <c r="AD65" s="100" t="n">
        <f aca="false">AVERAGEA(AE65, AC65)</f>
        <v>3.29</v>
      </c>
      <c r="AE65" s="96" t="n">
        <v>6</v>
      </c>
      <c r="AF65" s="97" t="n">
        <v>3</v>
      </c>
      <c r="AG65" s="50" t="n">
        <f aca="false">AVERAGEA(AH65, AF65)</f>
        <v>6.5</v>
      </c>
      <c r="AH65" s="98" t="n">
        <v>10</v>
      </c>
      <c r="AI65" s="99" t="n">
        <v>1.5</v>
      </c>
      <c r="AJ65" s="77" t="n">
        <f aca="false">AVERAGEA(AK65, AI65)</f>
        <v>2.25</v>
      </c>
      <c r="AK65" s="98" t="n">
        <v>3</v>
      </c>
      <c r="AL65" s="95" t="n">
        <v>998</v>
      </c>
      <c r="AM65" s="100" t="n">
        <f aca="false">AVERAGEA(AN65, AL65)</f>
        <v>1839</v>
      </c>
      <c r="AN65" s="96" t="n">
        <v>2680</v>
      </c>
      <c r="AO65" s="97" t="n">
        <v>26.6</v>
      </c>
      <c r="AP65" s="94" t="n">
        <f aca="false">AVERAGEA(AQ65, AO65)</f>
        <v>31.8</v>
      </c>
      <c r="AQ65" s="98" t="n">
        <v>37</v>
      </c>
      <c r="AR65" s="78" t="n">
        <v>2.6</v>
      </c>
      <c r="AS65" s="53" t="n">
        <f aca="false">AVERAGEA(AT65, AR65)</f>
        <v>6.55</v>
      </c>
      <c r="AT65" s="54" t="n">
        <v>10.5</v>
      </c>
      <c r="AU65" s="49" t="n">
        <v>3.56</v>
      </c>
      <c r="AV65" s="50" t="n">
        <f aca="false">AVERAGE(AU65,AW65)</f>
        <v>22.03</v>
      </c>
      <c r="AW65" s="51" t="n">
        <v>40.5</v>
      </c>
      <c r="AX65" s="79" t="n">
        <v>5.7</v>
      </c>
      <c r="AY65" s="53" t="n">
        <f aca="false">AVERAGE(AX65,AZ65)</f>
        <v>26.85</v>
      </c>
      <c r="AZ65" s="54" t="n">
        <v>48</v>
      </c>
      <c r="BA65" s="49" t="n">
        <v>6.2</v>
      </c>
      <c r="BB65" s="50" t="n">
        <f aca="false">AVERAGE(BA65,BC65)</f>
        <v>42.1</v>
      </c>
      <c r="BC65" s="51" t="n">
        <v>78</v>
      </c>
      <c r="BD65" s="78" t="n">
        <v>1.8</v>
      </c>
      <c r="BE65" s="53" t="n">
        <f aca="false">AVERAGEA(BF65, BD65)</f>
        <v>1.8</v>
      </c>
      <c r="BF65" s="54" t="n">
        <v>1.8</v>
      </c>
      <c r="BG65" s="49" t="n">
        <v>78</v>
      </c>
      <c r="BH65" s="50" t="n">
        <f aca="false">AVERAGEA(BG65,BI65)</f>
        <v>159</v>
      </c>
      <c r="BI65" s="51" t="n">
        <v>240</v>
      </c>
      <c r="BJ65" s="79" t="n">
        <v>2</v>
      </c>
      <c r="BK65" s="53" t="n">
        <f aca="false">AVERAGEA(BJ65,BL65)</f>
        <v>3.5</v>
      </c>
      <c r="BL65" s="54" t="n">
        <v>5</v>
      </c>
      <c r="BM65" s="49" t="n">
        <v>5</v>
      </c>
      <c r="BN65" s="50" t="n">
        <f aca="false">AVERAGEA(BM65,BO65)</f>
        <v>8.9</v>
      </c>
      <c r="BO65" s="51" t="n">
        <v>12.8</v>
      </c>
    </row>
    <row r="66" customFormat="false" ht="15" hidden="false" customHeight="true" outlineLevel="0" collapsed="false">
      <c r="B66" s="40"/>
      <c r="C66" s="90"/>
      <c r="D66" s="86"/>
      <c r="E66" s="80"/>
      <c r="F66" s="44" t="s">
        <v>47</v>
      </c>
      <c r="G66" s="81"/>
      <c r="H66" s="92" t="n">
        <v>37.4497226582298</v>
      </c>
      <c r="I66" s="71" t="n">
        <f aca="false">AVERAGE(H66,J66)</f>
        <v>38.9027071133801</v>
      </c>
      <c r="J66" s="93" t="n">
        <v>40.3556915685305</v>
      </c>
      <c r="K66" s="49" t="s">
        <v>46</v>
      </c>
      <c r="L66" s="50"/>
      <c r="M66" s="51" t="s">
        <v>46</v>
      </c>
      <c r="N66" s="52" t="s">
        <v>46</v>
      </c>
      <c r="O66" s="53"/>
      <c r="P66" s="54" t="s">
        <v>46</v>
      </c>
      <c r="Q66" s="52" t="s">
        <v>46</v>
      </c>
      <c r="R66" s="53"/>
      <c r="S66" s="53" t="s">
        <v>46</v>
      </c>
      <c r="T66" s="49" t="n">
        <v>85</v>
      </c>
      <c r="U66" s="50" t="n">
        <f aca="false">AVERAGEA(V66, T66)</f>
        <v>90.15</v>
      </c>
      <c r="V66" s="51" t="n">
        <v>95.3</v>
      </c>
      <c r="W66" s="78" t="n">
        <v>60</v>
      </c>
      <c r="X66" s="100" t="n">
        <f aca="false">AVERAGEA(Y66, W66)</f>
        <v>40</v>
      </c>
      <c r="Y66" s="54" t="n">
        <v>20</v>
      </c>
      <c r="Z66" s="49" t="n">
        <v>0.58</v>
      </c>
      <c r="AA66" s="94" t="n">
        <f aca="false">AVERAGEA(AB66, Z66)</f>
        <v>3.29</v>
      </c>
      <c r="AB66" s="98" t="n">
        <v>6</v>
      </c>
      <c r="AC66" s="95" t="n">
        <v>0.58</v>
      </c>
      <c r="AD66" s="100" t="n">
        <f aca="false">AVERAGEA(AE66, AC66)</f>
        <v>3.29</v>
      </c>
      <c r="AE66" s="96" t="n">
        <v>6</v>
      </c>
      <c r="AF66" s="97" t="n">
        <v>3</v>
      </c>
      <c r="AG66" s="50" t="n">
        <f aca="false">AVERAGEA(AH66, AF66)</f>
        <v>6.5</v>
      </c>
      <c r="AH66" s="98" t="n">
        <v>10</v>
      </c>
      <c r="AI66" s="99" t="n">
        <v>1.5</v>
      </c>
      <c r="AJ66" s="77" t="n">
        <f aca="false">AVERAGEA(AK66, AI66)</f>
        <v>2.25</v>
      </c>
      <c r="AK66" s="98" t="n">
        <v>3</v>
      </c>
      <c r="AL66" s="95" t="n">
        <v>998</v>
      </c>
      <c r="AM66" s="100" t="n">
        <f aca="false">AVERAGEA(AN66, AL66)</f>
        <v>1839</v>
      </c>
      <c r="AN66" s="96" t="n">
        <v>2680</v>
      </c>
      <c r="AO66" s="97" t="n">
        <v>26.6</v>
      </c>
      <c r="AP66" s="94" t="n">
        <f aca="false">AVERAGEA(AQ66, AO66)</f>
        <v>31.8</v>
      </c>
      <c r="AQ66" s="98" t="n">
        <v>37</v>
      </c>
      <c r="AR66" s="78" t="n">
        <v>2.6</v>
      </c>
      <c r="AS66" s="53" t="n">
        <f aca="false">AVERAGEA(AT66, AR66)</f>
        <v>6.55</v>
      </c>
      <c r="AT66" s="54" t="n">
        <v>10.5</v>
      </c>
      <c r="AU66" s="49" t="n">
        <v>3.56</v>
      </c>
      <c r="AV66" s="50" t="n">
        <f aca="false">AVERAGE(AU66,AW66)</f>
        <v>22.03</v>
      </c>
      <c r="AW66" s="51" t="n">
        <v>40.5</v>
      </c>
      <c r="AX66" s="79" t="n">
        <v>5.7</v>
      </c>
      <c r="AY66" s="53" t="n">
        <f aca="false">AVERAGE(AX66,AZ66)</f>
        <v>26.85</v>
      </c>
      <c r="AZ66" s="54" t="n">
        <v>48</v>
      </c>
      <c r="BA66" s="49" t="n">
        <v>6.2</v>
      </c>
      <c r="BB66" s="50" t="n">
        <f aca="false">AVERAGE(BA66,BC66)</f>
        <v>42.1</v>
      </c>
      <c r="BC66" s="51" t="n">
        <v>78</v>
      </c>
      <c r="BD66" s="78" t="n">
        <v>1.8</v>
      </c>
      <c r="BE66" s="53" t="n">
        <f aca="false">AVERAGEA(BF66, BD66)</f>
        <v>1.8</v>
      </c>
      <c r="BF66" s="54" t="n">
        <v>1.8</v>
      </c>
      <c r="BG66" s="49" t="n">
        <v>78</v>
      </c>
      <c r="BH66" s="50" t="n">
        <f aca="false">AVERAGEA(BG66,BI66)</f>
        <v>159</v>
      </c>
      <c r="BI66" s="51" t="n">
        <v>240</v>
      </c>
      <c r="BJ66" s="79" t="n">
        <v>2</v>
      </c>
      <c r="BK66" s="53" t="n">
        <f aca="false">AVERAGEA(BJ66,BL66)</f>
        <v>3.5</v>
      </c>
      <c r="BL66" s="54" t="n">
        <v>5</v>
      </c>
      <c r="BM66" s="49" t="n">
        <v>5</v>
      </c>
      <c r="BN66" s="50" t="n">
        <f aca="false">AVERAGEA(BM66,BO66)</f>
        <v>8.9</v>
      </c>
      <c r="BO66" s="51" t="n">
        <v>12.8</v>
      </c>
    </row>
    <row r="67" customFormat="false" ht="15" hidden="false" customHeight="true" outlineLevel="0" collapsed="false">
      <c r="B67" s="40"/>
      <c r="C67" s="90"/>
      <c r="D67" s="86"/>
      <c r="E67" s="80"/>
      <c r="F67" s="44" t="s">
        <v>48</v>
      </c>
      <c r="G67" s="81"/>
      <c r="H67" s="92" t="n">
        <v>28.5513556947947</v>
      </c>
      <c r="I67" s="71" t="n">
        <f aca="false">AVERAGE(H67,J67)</f>
        <v>32.9906048656753</v>
      </c>
      <c r="J67" s="93" t="n">
        <v>37.4298540365558</v>
      </c>
      <c r="K67" s="49" t="s">
        <v>46</v>
      </c>
      <c r="L67" s="50"/>
      <c r="M67" s="51" t="s">
        <v>46</v>
      </c>
      <c r="N67" s="52" t="s">
        <v>46</v>
      </c>
      <c r="O67" s="53"/>
      <c r="P67" s="54" t="s">
        <v>46</v>
      </c>
      <c r="Q67" s="52" t="s">
        <v>46</v>
      </c>
      <c r="R67" s="53"/>
      <c r="S67" s="53" t="s">
        <v>46</v>
      </c>
      <c r="T67" s="49" t="n">
        <v>85</v>
      </c>
      <c r="U67" s="50" t="n">
        <f aca="false">AVERAGEA(V67, T67)</f>
        <v>90.15</v>
      </c>
      <c r="V67" s="51" t="n">
        <v>95.3</v>
      </c>
      <c r="W67" s="78" t="n">
        <v>60</v>
      </c>
      <c r="X67" s="100" t="n">
        <f aca="false">AVERAGEA(Y67, W67)</f>
        <v>40</v>
      </c>
      <c r="Y67" s="54" t="n">
        <v>20</v>
      </c>
      <c r="Z67" s="49" t="n">
        <v>0.58</v>
      </c>
      <c r="AA67" s="94" t="n">
        <f aca="false">AVERAGEA(AB67, Z67)</f>
        <v>3.29</v>
      </c>
      <c r="AB67" s="98" t="n">
        <v>6</v>
      </c>
      <c r="AC67" s="95" t="n">
        <v>0.58</v>
      </c>
      <c r="AD67" s="100" t="n">
        <f aca="false">AVERAGEA(AE67, AC67)</f>
        <v>3.29</v>
      </c>
      <c r="AE67" s="96" t="n">
        <v>6</v>
      </c>
      <c r="AF67" s="97" t="n">
        <v>3</v>
      </c>
      <c r="AG67" s="50" t="n">
        <f aca="false">AVERAGEA(AH67, AF67)</f>
        <v>6.5</v>
      </c>
      <c r="AH67" s="98" t="n">
        <v>10</v>
      </c>
      <c r="AI67" s="99" t="n">
        <v>1.5</v>
      </c>
      <c r="AJ67" s="77" t="n">
        <f aca="false">AVERAGEA(AK67, AI67)</f>
        <v>2.25</v>
      </c>
      <c r="AK67" s="98" t="n">
        <v>3</v>
      </c>
      <c r="AL67" s="95" t="n">
        <v>998</v>
      </c>
      <c r="AM67" s="100" t="n">
        <f aca="false">AVERAGEA(AN67, AL67)</f>
        <v>1839</v>
      </c>
      <c r="AN67" s="96" t="n">
        <v>2680</v>
      </c>
      <c r="AO67" s="97" t="n">
        <v>26.6</v>
      </c>
      <c r="AP67" s="94" t="n">
        <f aca="false">AVERAGEA(AQ67, AO67)</f>
        <v>31.8</v>
      </c>
      <c r="AQ67" s="98" t="n">
        <v>37</v>
      </c>
      <c r="AR67" s="78" t="n">
        <v>2.6</v>
      </c>
      <c r="AS67" s="53" t="n">
        <f aca="false">AVERAGEA(AT67, AR67)</f>
        <v>6.55</v>
      </c>
      <c r="AT67" s="54" t="n">
        <v>10.5</v>
      </c>
      <c r="AU67" s="49" t="n">
        <v>3.56</v>
      </c>
      <c r="AV67" s="50" t="n">
        <f aca="false">AVERAGE(AU67,AW67)</f>
        <v>22.03</v>
      </c>
      <c r="AW67" s="51" t="n">
        <v>40.5</v>
      </c>
      <c r="AX67" s="79" t="n">
        <v>5.7</v>
      </c>
      <c r="AY67" s="53" t="n">
        <f aca="false">AVERAGE(AX67,AZ67)</f>
        <v>26.85</v>
      </c>
      <c r="AZ67" s="54" t="n">
        <v>48</v>
      </c>
      <c r="BA67" s="49" t="n">
        <v>6.2</v>
      </c>
      <c r="BB67" s="50" t="n">
        <f aca="false">AVERAGE(BA67,BC67)</f>
        <v>42.1</v>
      </c>
      <c r="BC67" s="51" t="n">
        <v>78</v>
      </c>
      <c r="BD67" s="79" t="n">
        <v>1.8</v>
      </c>
      <c r="BE67" s="53" t="n">
        <f aca="false">AVERAGEA(BF67, BD67)</f>
        <v>1.8</v>
      </c>
      <c r="BF67" s="54" t="n">
        <v>1.8</v>
      </c>
      <c r="BG67" s="49" t="n">
        <v>78</v>
      </c>
      <c r="BH67" s="50" t="n">
        <f aca="false">AVERAGEA(BG67,BI67)</f>
        <v>159</v>
      </c>
      <c r="BI67" s="51" t="n">
        <v>240</v>
      </c>
      <c r="BJ67" s="79" t="n">
        <v>2</v>
      </c>
      <c r="BK67" s="53" t="n">
        <f aca="false">AVERAGEA(BJ67,BL67)</f>
        <v>3.5</v>
      </c>
      <c r="BL67" s="54" t="n">
        <v>5</v>
      </c>
      <c r="BM67" s="49" t="n">
        <v>5</v>
      </c>
      <c r="BN67" s="50" t="n">
        <f aca="false">AVERAGEA(BM67,BO67)</f>
        <v>8.9</v>
      </c>
      <c r="BO67" s="51" t="n">
        <v>12.8</v>
      </c>
    </row>
    <row r="68" customFormat="false" ht="15" hidden="false" customHeight="true" outlineLevel="0" collapsed="false">
      <c r="B68" s="40"/>
      <c r="C68" s="90"/>
      <c r="D68" s="86"/>
      <c r="E68" s="80"/>
      <c r="F68" s="44" t="s">
        <v>49</v>
      </c>
      <c r="G68" s="81"/>
      <c r="H68" s="92" t="n">
        <v>22.56639280916</v>
      </c>
      <c r="I68" s="71" t="n">
        <f aca="false">AVERAGE(H68,J68)</f>
        <v>25.5389387320833</v>
      </c>
      <c r="J68" s="93" t="n">
        <v>28.5114846550067</v>
      </c>
      <c r="K68" s="49" t="s">
        <v>46</v>
      </c>
      <c r="L68" s="50"/>
      <c r="M68" s="51" t="s">
        <v>46</v>
      </c>
      <c r="N68" s="52" t="s">
        <v>46</v>
      </c>
      <c r="O68" s="53"/>
      <c r="P68" s="54" t="s">
        <v>46</v>
      </c>
      <c r="Q68" s="52" t="s">
        <v>46</v>
      </c>
      <c r="R68" s="53"/>
      <c r="S68" s="53" t="s">
        <v>46</v>
      </c>
      <c r="T68" s="49" t="n">
        <v>85</v>
      </c>
      <c r="U68" s="50" t="n">
        <f aca="false">AVERAGEA(V68, T68)</f>
        <v>90.15</v>
      </c>
      <c r="V68" s="51" t="n">
        <v>95.3</v>
      </c>
      <c r="W68" s="78" t="n">
        <v>60</v>
      </c>
      <c r="X68" s="100" t="n">
        <f aca="false">AVERAGEA(Y68, W68)</f>
        <v>40</v>
      </c>
      <c r="Y68" s="54" t="n">
        <v>20</v>
      </c>
      <c r="Z68" s="49" t="n">
        <v>0.58</v>
      </c>
      <c r="AA68" s="94" t="n">
        <f aca="false">AVERAGEA(AB68, Z68)</f>
        <v>3.29</v>
      </c>
      <c r="AB68" s="98" t="n">
        <v>6</v>
      </c>
      <c r="AC68" s="95" t="n">
        <v>0.58</v>
      </c>
      <c r="AD68" s="100" t="n">
        <f aca="false">AVERAGEA(AE68, AC68)</f>
        <v>3.29</v>
      </c>
      <c r="AE68" s="96" t="n">
        <v>6</v>
      </c>
      <c r="AF68" s="97" t="n">
        <v>3</v>
      </c>
      <c r="AG68" s="50" t="n">
        <f aca="false">AVERAGEA(AH68, AF68)</f>
        <v>6.5</v>
      </c>
      <c r="AH68" s="98" t="n">
        <v>10</v>
      </c>
      <c r="AI68" s="99" t="n">
        <v>1.5</v>
      </c>
      <c r="AJ68" s="77" t="n">
        <f aca="false">AVERAGEA(AK68, AI68)</f>
        <v>2.25</v>
      </c>
      <c r="AK68" s="98" t="n">
        <v>3</v>
      </c>
      <c r="AL68" s="95" t="n">
        <v>998</v>
      </c>
      <c r="AM68" s="100" t="n">
        <f aca="false">AVERAGEA(AN68, AL68)</f>
        <v>1839</v>
      </c>
      <c r="AN68" s="96" t="n">
        <v>2680</v>
      </c>
      <c r="AO68" s="97" t="n">
        <v>26.6</v>
      </c>
      <c r="AP68" s="94" t="n">
        <f aca="false">AVERAGEA(AQ68, AO68)</f>
        <v>31.8</v>
      </c>
      <c r="AQ68" s="98" t="n">
        <v>37</v>
      </c>
      <c r="AR68" s="78" t="n">
        <v>2.6</v>
      </c>
      <c r="AS68" s="53" t="n">
        <f aca="false">AVERAGEA(AT68, AR68)</f>
        <v>6.55</v>
      </c>
      <c r="AT68" s="54" t="n">
        <v>10.5</v>
      </c>
      <c r="AU68" s="49" t="n">
        <v>3.56</v>
      </c>
      <c r="AV68" s="50" t="n">
        <f aca="false">AVERAGE(AU68,AW68)</f>
        <v>22.03</v>
      </c>
      <c r="AW68" s="51" t="n">
        <v>40.5</v>
      </c>
      <c r="AX68" s="79" t="n">
        <v>5.7</v>
      </c>
      <c r="AY68" s="53" t="n">
        <f aca="false">AVERAGE(AX68,AZ68)</f>
        <v>26.85</v>
      </c>
      <c r="AZ68" s="54" t="n">
        <v>48</v>
      </c>
      <c r="BA68" s="49" t="n">
        <v>6.2</v>
      </c>
      <c r="BB68" s="50" t="n">
        <f aca="false">AVERAGE(BA68,BC68)</f>
        <v>42.1</v>
      </c>
      <c r="BC68" s="51" t="n">
        <v>78</v>
      </c>
      <c r="BD68" s="79" t="n">
        <v>1.8</v>
      </c>
      <c r="BE68" s="53" t="n">
        <f aca="false">AVERAGEA(BF68, BD68)</f>
        <v>1.8</v>
      </c>
      <c r="BF68" s="54" t="n">
        <v>1.8</v>
      </c>
      <c r="BG68" s="49" t="n">
        <v>78</v>
      </c>
      <c r="BH68" s="50" t="n">
        <f aca="false">AVERAGEA(BG68,BI68)</f>
        <v>159</v>
      </c>
      <c r="BI68" s="51" t="n">
        <v>240</v>
      </c>
      <c r="BJ68" s="79" t="n">
        <v>2</v>
      </c>
      <c r="BK68" s="53" t="n">
        <f aca="false">AVERAGEA(BJ68,BL68)</f>
        <v>3.5</v>
      </c>
      <c r="BL68" s="54" t="n">
        <v>5</v>
      </c>
      <c r="BM68" s="49" t="n">
        <v>5</v>
      </c>
      <c r="BN68" s="50" t="n">
        <f aca="false">AVERAGEA(BM68,BO68)</f>
        <v>8.9</v>
      </c>
      <c r="BO68" s="51" t="n">
        <v>12.8</v>
      </c>
    </row>
    <row r="69" customFormat="false" ht="15" hidden="false" customHeight="true" outlineLevel="0" collapsed="false">
      <c r="B69" s="40"/>
      <c r="C69" s="101" t="s">
        <v>58</v>
      </c>
      <c r="D69" s="102"/>
      <c r="E69" s="80"/>
      <c r="F69" s="44" t="s">
        <v>45</v>
      </c>
      <c r="G69" s="81"/>
      <c r="H69" s="95" t="n">
        <v>38.4</v>
      </c>
      <c r="I69" s="71" t="n">
        <f aca="false">AVERAGE(H69,J69)</f>
        <v>44.2</v>
      </c>
      <c r="J69" s="103" t="n">
        <v>50</v>
      </c>
      <c r="K69" s="49" t="s">
        <v>46</v>
      </c>
      <c r="L69" s="50"/>
      <c r="M69" s="51" t="s">
        <v>46</v>
      </c>
      <c r="N69" s="52" t="s">
        <v>46</v>
      </c>
      <c r="O69" s="53"/>
      <c r="P69" s="54" t="s">
        <v>46</v>
      </c>
      <c r="Q69" s="52" t="s">
        <v>46</v>
      </c>
      <c r="R69" s="53"/>
      <c r="S69" s="53" t="s">
        <v>46</v>
      </c>
      <c r="T69" s="49" t="n">
        <v>80</v>
      </c>
      <c r="U69" s="50" t="n">
        <v>80</v>
      </c>
      <c r="V69" s="51" t="n">
        <v>80</v>
      </c>
      <c r="W69" s="95" t="n">
        <v>50</v>
      </c>
      <c r="X69" s="100" t="n">
        <f aca="false">AVERAGEA(Y69, W69)</f>
        <v>45</v>
      </c>
      <c r="Y69" s="96" t="n">
        <v>40</v>
      </c>
      <c r="Z69" s="97" t="n">
        <v>3</v>
      </c>
      <c r="AA69" s="94" t="n">
        <f aca="false">AVERAGEA(AB69, Z69)</f>
        <v>3.5</v>
      </c>
      <c r="AB69" s="98" t="n">
        <v>4</v>
      </c>
      <c r="AC69" s="95" t="n">
        <v>3</v>
      </c>
      <c r="AD69" s="100" t="n">
        <f aca="false">AVERAGEA(AE69, AC69)</f>
        <v>3.5</v>
      </c>
      <c r="AE69" s="96" t="n">
        <v>4</v>
      </c>
      <c r="AF69" s="97" t="s">
        <v>59</v>
      </c>
      <c r="AG69" s="94"/>
      <c r="AH69" s="98" t="s">
        <v>59</v>
      </c>
      <c r="AI69" s="99" t="s">
        <v>59</v>
      </c>
      <c r="AJ69" s="104"/>
      <c r="AK69" s="98" t="s">
        <v>59</v>
      </c>
      <c r="AL69" s="95" t="n">
        <v>1400</v>
      </c>
      <c r="AM69" s="100" t="n">
        <f aca="false">AVERAGEA(AN69, AL69)</f>
        <v>2496.5</v>
      </c>
      <c r="AN69" s="96" t="n">
        <v>3593</v>
      </c>
      <c r="AO69" s="97" t="n">
        <v>40</v>
      </c>
      <c r="AP69" s="94" t="n">
        <f aca="false">AVERAGEA(AQ69, AO69)</f>
        <v>51.5</v>
      </c>
      <c r="AQ69" s="98" t="n">
        <v>63</v>
      </c>
      <c r="AR69" s="95" t="n">
        <v>3</v>
      </c>
      <c r="AS69" s="100" t="n">
        <f aca="false">AVERAGEA(AT69, AR69)</f>
        <v>6</v>
      </c>
      <c r="AT69" s="96" t="n">
        <v>9</v>
      </c>
      <c r="AU69" s="105" t="s">
        <v>59</v>
      </c>
      <c r="AV69" s="106"/>
      <c r="AW69" s="107" t="s">
        <v>59</v>
      </c>
      <c r="AX69" s="108" t="s">
        <v>60</v>
      </c>
      <c r="AY69" s="109"/>
      <c r="AZ69" s="87" t="s">
        <v>60</v>
      </c>
      <c r="BA69" s="105" t="s">
        <v>59</v>
      </c>
      <c r="BB69" s="106"/>
      <c r="BC69" s="107" t="s">
        <v>59</v>
      </c>
      <c r="BD69" s="110" t="s">
        <v>60</v>
      </c>
      <c r="BE69" s="53"/>
      <c r="BF69" s="87" t="s">
        <v>60</v>
      </c>
      <c r="BG69" s="105" t="n">
        <v>180</v>
      </c>
      <c r="BH69" s="50" t="n">
        <f aca="false">AVERAGEA(BG69,BI69)</f>
        <v>300</v>
      </c>
      <c r="BI69" s="107" t="n">
        <v>420</v>
      </c>
      <c r="BJ69" s="108" t="s">
        <v>59</v>
      </c>
      <c r="BK69" s="109"/>
      <c r="BL69" s="87" t="s">
        <v>59</v>
      </c>
      <c r="BM69" s="105" t="n">
        <v>80</v>
      </c>
      <c r="BN69" s="50" t="n">
        <f aca="false">AVERAGEA(BM69,BO69)</f>
        <v>90</v>
      </c>
      <c r="BO69" s="107" t="n">
        <v>100</v>
      </c>
    </row>
    <row r="70" customFormat="false" ht="15" hidden="false" customHeight="true" outlineLevel="0" collapsed="false">
      <c r="B70" s="40"/>
      <c r="C70" s="101"/>
      <c r="D70" s="101"/>
      <c r="E70" s="80"/>
      <c r="F70" s="44" t="s">
        <v>47</v>
      </c>
      <c r="G70" s="81"/>
      <c r="H70" s="95" t="n">
        <v>38.4</v>
      </c>
      <c r="I70" s="71" t="n">
        <f aca="false">AVERAGE(H70,J70)</f>
        <v>44.2</v>
      </c>
      <c r="J70" s="103" t="n">
        <v>50</v>
      </c>
      <c r="K70" s="49" t="s">
        <v>46</v>
      </c>
      <c r="L70" s="50"/>
      <c r="M70" s="51" t="s">
        <v>46</v>
      </c>
      <c r="N70" s="52" t="s">
        <v>46</v>
      </c>
      <c r="O70" s="53"/>
      <c r="P70" s="54" t="s">
        <v>46</v>
      </c>
      <c r="Q70" s="52" t="s">
        <v>46</v>
      </c>
      <c r="R70" s="53"/>
      <c r="S70" s="53" t="s">
        <v>46</v>
      </c>
      <c r="T70" s="49" t="n">
        <v>80</v>
      </c>
      <c r="U70" s="50" t="n">
        <v>80</v>
      </c>
      <c r="V70" s="51" t="n">
        <v>80</v>
      </c>
      <c r="W70" s="95" t="n">
        <v>50</v>
      </c>
      <c r="X70" s="100" t="n">
        <f aca="false">AVERAGEA(Y70, W70)</f>
        <v>45</v>
      </c>
      <c r="Y70" s="96" t="n">
        <v>40</v>
      </c>
      <c r="Z70" s="97" t="n">
        <v>3</v>
      </c>
      <c r="AA70" s="94" t="n">
        <f aca="false">AVERAGEA(AB70, Z70)</f>
        <v>3.5</v>
      </c>
      <c r="AB70" s="98" t="n">
        <v>4</v>
      </c>
      <c r="AC70" s="95" t="n">
        <v>3</v>
      </c>
      <c r="AD70" s="100" t="n">
        <f aca="false">AVERAGEA(AE70, AC70)</f>
        <v>3.5</v>
      </c>
      <c r="AE70" s="96" t="n">
        <v>4</v>
      </c>
      <c r="AF70" s="97" t="s">
        <v>59</v>
      </c>
      <c r="AG70" s="94"/>
      <c r="AH70" s="98" t="s">
        <v>59</v>
      </c>
      <c r="AI70" s="99" t="s">
        <v>59</v>
      </c>
      <c r="AJ70" s="104"/>
      <c r="AK70" s="98" t="s">
        <v>59</v>
      </c>
      <c r="AL70" s="95" t="n">
        <v>1400</v>
      </c>
      <c r="AM70" s="100" t="n">
        <f aca="false">AVERAGEA(AN70, AL70)</f>
        <v>2496.5</v>
      </c>
      <c r="AN70" s="96" t="n">
        <v>3593</v>
      </c>
      <c r="AO70" s="97" t="n">
        <v>40</v>
      </c>
      <c r="AP70" s="94" t="n">
        <f aca="false">AVERAGEA(AQ70, AO70)</f>
        <v>51.5</v>
      </c>
      <c r="AQ70" s="98" t="n">
        <v>63</v>
      </c>
      <c r="AR70" s="95" t="n">
        <v>3</v>
      </c>
      <c r="AS70" s="100" t="n">
        <f aca="false">AVERAGEA(AT70, AR70)</f>
        <v>6</v>
      </c>
      <c r="AT70" s="96" t="n">
        <v>9</v>
      </c>
      <c r="AU70" s="105" t="s">
        <v>59</v>
      </c>
      <c r="AV70" s="106"/>
      <c r="AW70" s="107" t="s">
        <v>59</v>
      </c>
      <c r="AX70" s="108" t="s">
        <v>60</v>
      </c>
      <c r="AY70" s="109"/>
      <c r="AZ70" s="87" t="s">
        <v>60</v>
      </c>
      <c r="BA70" s="105" t="s">
        <v>59</v>
      </c>
      <c r="BB70" s="106"/>
      <c r="BC70" s="107" t="s">
        <v>59</v>
      </c>
      <c r="BD70" s="110" t="s">
        <v>60</v>
      </c>
      <c r="BE70" s="53"/>
      <c r="BF70" s="87" t="s">
        <v>60</v>
      </c>
      <c r="BG70" s="105" t="n">
        <v>180</v>
      </c>
      <c r="BH70" s="50" t="n">
        <f aca="false">AVERAGEA(BG70,BI70)</f>
        <v>300</v>
      </c>
      <c r="BI70" s="107" t="n">
        <v>420</v>
      </c>
      <c r="BJ70" s="108" t="s">
        <v>59</v>
      </c>
      <c r="BK70" s="109"/>
      <c r="BL70" s="87" t="s">
        <v>59</v>
      </c>
      <c r="BM70" s="105" t="n">
        <v>80</v>
      </c>
      <c r="BN70" s="50" t="n">
        <f aca="false">AVERAGEA(BM70,BO70)</f>
        <v>90</v>
      </c>
      <c r="BO70" s="107" t="n">
        <v>100</v>
      </c>
    </row>
    <row r="71" customFormat="false" ht="15" hidden="false" customHeight="true" outlineLevel="0" collapsed="false">
      <c r="B71" s="40"/>
      <c r="C71" s="101"/>
      <c r="D71" s="101"/>
      <c r="E71" s="80"/>
      <c r="F71" s="44" t="s">
        <v>48</v>
      </c>
      <c r="G71" s="81"/>
      <c r="H71" s="95" t="n">
        <v>38.4</v>
      </c>
      <c r="I71" s="71" t="n">
        <f aca="false">AVERAGE(H71,J71)</f>
        <v>44.2</v>
      </c>
      <c r="J71" s="103" t="n">
        <v>50</v>
      </c>
      <c r="K71" s="49" t="s">
        <v>46</v>
      </c>
      <c r="L71" s="50"/>
      <c r="M71" s="51" t="s">
        <v>46</v>
      </c>
      <c r="N71" s="52" t="s">
        <v>46</v>
      </c>
      <c r="O71" s="53"/>
      <c r="P71" s="54" t="s">
        <v>46</v>
      </c>
      <c r="Q71" s="52" t="s">
        <v>46</v>
      </c>
      <c r="R71" s="53"/>
      <c r="S71" s="53" t="s">
        <v>46</v>
      </c>
      <c r="T71" s="49" t="n">
        <v>80</v>
      </c>
      <c r="U71" s="50" t="n">
        <v>80</v>
      </c>
      <c r="V71" s="51" t="n">
        <v>80</v>
      </c>
      <c r="W71" s="95" t="n">
        <v>50</v>
      </c>
      <c r="X71" s="100" t="n">
        <f aca="false">AVERAGEA(Y71, W71)</f>
        <v>45</v>
      </c>
      <c r="Y71" s="96" t="n">
        <v>40</v>
      </c>
      <c r="Z71" s="97" t="n">
        <v>3</v>
      </c>
      <c r="AA71" s="94" t="n">
        <f aca="false">AVERAGEA(AB71, Z71)</f>
        <v>3.5</v>
      </c>
      <c r="AB71" s="98" t="n">
        <v>4</v>
      </c>
      <c r="AC71" s="95" t="n">
        <v>3</v>
      </c>
      <c r="AD71" s="100" t="n">
        <f aca="false">AVERAGEA(AE71, AC71)</f>
        <v>3.5</v>
      </c>
      <c r="AE71" s="96" t="n">
        <v>4</v>
      </c>
      <c r="AF71" s="97" t="s">
        <v>59</v>
      </c>
      <c r="AG71" s="94"/>
      <c r="AH71" s="98" t="s">
        <v>59</v>
      </c>
      <c r="AI71" s="99" t="s">
        <v>59</v>
      </c>
      <c r="AJ71" s="104"/>
      <c r="AK71" s="98" t="s">
        <v>59</v>
      </c>
      <c r="AL71" s="95" t="n">
        <v>1400</v>
      </c>
      <c r="AM71" s="100" t="n">
        <f aca="false">AVERAGEA(AN71, AL71)</f>
        <v>2496.5</v>
      </c>
      <c r="AN71" s="96" t="n">
        <v>3593</v>
      </c>
      <c r="AO71" s="97" t="n">
        <v>40</v>
      </c>
      <c r="AP71" s="94" t="n">
        <f aca="false">AVERAGEA(AQ71, AO71)</f>
        <v>51.5</v>
      </c>
      <c r="AQ71" s="98" t="n">
        <v>63</v>
      </c>
      <c r="AR71" s="95" t="n">
        <v>3</v>
      </c>
      <c r="AS71" s="100" t="n">
        <f aca="false">AVERAGEA(AT71, AR71)</f>
        <v>6</v>
      </c>
      <c r="AT71" s="96" t="n">
        <v>9</v>
      </c>
      <c r="AU71" s="105" t="s">
        <v>59</v>
      </c>
      <c r="AV71" s="106"/>
      <c r="AW71" s="107" t="s">
        <v>59</v>
      </c>
      <c r="AX71" s="108" t="s">
        <v>60</v>
      </c>
      <c r="AY71" s="109"/>
      <c r="AZ71" s="87" t="s">
        <v>60</v>
      </c>
      <c r="BA71" s="105" t="s">
        <v>59</v>
      </c>
      <c r="BB71" s="106"/>
      <c r="BC71" s="107" t="s">
        <v>59</v>
      </c>
      <c r="BD71" s="110" t="s">
        <v>60</v>
      </c>
      <c r="BE71" s="53"/>
      <c r="BF71" s="87" t="s">
        <v>60</v>
      </c>
      <c r="BG71" s="105" t="n">
        <v>180</v>
      </c>
      <c r="BH71" s="50" t="n">
        <f aca="false">AVERAGEA(BG71,BI71)</f>
        <v>300</v>
      </c>
      <c r="BI71" s="107" t="n">
        <v>420</v>
      </c>
      <c r="BJ71" s="108" t="s">
        <v>59</v>
      </c>
      <c r="BK71" s="109"/>
      <c r="BL71" s="87" t="s">
        <v>59</v>
      </c>
      <c r="BM71" s="105" t="n">
        <v>80</v>
      </c>
      <c r="BN71" s="50" t="n">
        <f aca="false">AVERAGEA(BM71,BO71)</f>
        <v>90</v>
      </c>
      <c r="BO71" s="107" t="n">
        <v>100</v>
      </c>
    </row>
    <row r="72" customFormat="false" ht="15" hidden="false" customHeight="true" outlineLevel="0" collapsed="false">
      <c r="B72" s="40"/>
      <c r="C72" s="101"/>
      <c r="D72" s="101"/>
      <c r="E72" s="80"/>
      <c r="F72" s="44" t="s">
        <v>49</v>
      </c>
      <c r="G72" s="81"/>
      <c r="H72" s="95" t="n">
        <v>38.4</v>
      </c>
      <c r="I72" s="71" t="n">
        <f aca="false">AVERAGE(H72,J72)</f>
        <v>44.2</v>
      </c>
      <c r="J72" s="103" t="n">
        <v>50</v>
      </c>
      <c r="K72" s="49" t="s">
        <v>46</v>
      </c>
      <c r="L72" s="50"/>
      <c r="M72" s="51" t="s">
        <v>46</v>
      </c>
      <c r="N72" s="52" t="s">
        <v>46</v>
      </c>
      <c r="O72" s="53"/>
      <c r="P72" s="54" t="s">
        <v>46</v>
      </c>
      <c r="Q72" s="52" t="s">
        <v>46</v>
      </c>
      <c r="R72" s="53"/>
      <c r="S72" s="53" t="s">
        <v>46</v>
      </c>
      <c r="T72" s="49" t="n">
        <v>80</v>
      </c>
      <c r="U72" s="50" t="n">
        <v>80</v>
      </c>
      <c r="V72" s="51" t="n">
        <v>80</v>
      </c>
      <c r="W72" s="95" t="n">
        <v>50</v>
      </c>
      <c r="X72" s="100" t="n">
        <f aca="false">AVERAGEA(Y72, W72)</f>
        <v>45</v>
      </c>
      <c r="Y72" s="96" t="n">
        <v>40</v>
      </c>
      <c r="Z72" s="97" t="n">
        <v>3</v>
      </c>
      <c r="AA72" s="94" t="n">
        <f aca="false">AVERAGEA(AB72, Z72)</f>
        <v>3.5</v>
      </c>
      <c r="AB72" s="98" t="n">
        <v>4</v>
      </c>
      <c r="AC72" s="95" t="n">
        <v>3</v>
      </c>
      <c r="AD72" s="100" t="n">
        <f aca="false">AVERAGEA(AE72, AC72)</f>
        <v>3.5</v>
      </c>
      <c r="AE72" s="96" t="n">
        <v>4</v>
      </c>
      <c r="AF72" s="97" t="s">
        <v>59</v>
      </c>
      <c r="AG72" s="94"/>
      <c r="AH72" s="98" t="s">
        <v>59</v>
      </c>
      <c r="AI72" s="99" t="s">
        <v>59</v>
      </c>
      <c r="AJ72" s="104"/>
      <c r="AK72" s="98" t="s">
        <v>59</v>
      </c>
      <c r="AL72" s="95" t="n">
        <v>1400</v>
      </c>
      <c r="AM72" s="100" t="n">
        <f aca="false">AVERAGEA(AN72, AL72)</f>
        <v>2496.5</v>
      </c>
      <c r="AN72" s="96" t="n">
        <v>3593</v>
      </c>
      <c r="AO72" s="111" t="n">
        <v>40</v>
      </c>
      <c r="AP72" s="94" t="n">
        <f aca="false">AVERAGEA(AQ72, AO72)</f>
        <v>51.5</v>
      </c>
      <c r="AQ72" s="98" t="n">
        <v>63</v>
      </c>
      <c r="AR72" s="95" t="n">
        <v>3</v>
      </c>
      <c r="AS72" s="100" t="n">
        <f aca="false">AVERAGEA(AT72, AR72)</f>
        <v>6</v>
      </c>
      <c r="AT72" s="96" t="n">
        <v>9</v>
      </c>
      <c r="AU72" s="105" t="s">
        <v>59</v>
      </c>
      <c r="AV72" s="106"/>
      <c r="AW72" s="107" t="s">
        <v>59</v>
      </c>
      <c r="AX72" s="108" t="s">
        <v>60</v>
      </c>
      <c r="AY72" s="109"/>
      <c r="AZ72" s="87" t="s">
        <v>60</v>
      </c>
      <c r="BA72" s="105" t="s">
        <v>59</v>
      </c>
      <c r="BB72" s="106"/>
      <c r="BC72" s="107" t="s">
        <v>59</v>
      </c>
      <c r="BD72" s="110" t="s">
        <v>60</v>
      </c>
      <c r="BE72" s="53"/>
      <c r="BF72" s="87" t="s">
        <v>60</v>
      </c>
      <c r="BG72" s="105" t="n">
        <v>180</v>
      </c>
      <c r="BH72" s="50" t="n">
        <f aca="false">AVERAGEA(BG72,BI72)</f>
        <v>300</v>
      </c>
      <c r="BI72" s="107" t="n">
        <v>420</v>
      </c>
      <c r="BJ72" s="108" t="s">
        <v>59</v>
      </c>
      <c r="BK72" s="109"/>
      <c r="BL72" s="87" t="s">
        <v>59</v>
      </c>
      <c r="BM72" s="105" t="n">
        <v>80</v>
      </c>
      <c r="BN72" s="50" t="n">
        <f aca="false">AVERAGEA(BM72,BO72)</f>
        <v>90</v>
      </c>
      <c r="BO72" s="107" t="n">
        <v>100</v>
      </c>
    </row>
    <row r="73" customFormat="false" ht="15" hidden="false" customHeight="true" outlineLevel="0" collapsed="false">
      <c r="B73" s="40"/>
      <c r="C73" s="85" t="s">
        <v>61</v>
      </c>
      <c r="D73" s="85" t="s">
        <v>62</v>
      </c>
      <c r="E73" s="112"/>
      <c r="F73" s="44" t="s">
        <v>45</v>
      </c>
      <c r="G73" s="113"/>
      <c r="H73" s="95" t="s">
        <v>46</v>
      </c>
      <c r="I73" s="100"/>
      <c r="J73" s="103" t="s">
        <v>46</v>
      </c>
      <c r="K73" s="49" t="n">
        <v>15</v>
      </c>
      <c r="L73" s="50" t="n">
        <f aca="false">AVERAGEA(K73,M73)</f>
        <v>28.5</v>
      </c>
      <c r="M73" s="51" t="n">
        <v>42</v>
      </c>
      <c r="N73" s="52" t="n">
        <v>38</v>
      </c>
      <c r="O73" s="53" t="n">
        <f aca="false">AVERAGEA(N73,P73)</f>
        <v>42</v>
      </c>
      <c r="P73" s="54" t="n">
        <v>46</v>
      </c>
      <c r="Q73" s="52" t="n">
        <v>53</v>
      </c>
      <c r="R73" s="53" t="n">
        <f aca="false">AVERAGEA(Q73,S73)</f>
        <v>70.5</v>
      </c>
      <c r="S73" s="54" t="n">
        <v>88</v>
      </c>
      <c r="T73" s="49" t="n">
        <v>80</v>
      </c>
      <c r="U73" s="50" t="n">
        <v>80</v>
      </c>
      <c r="V73" s="51" t="n">
        <v>80</v>
      </c>
      <c r="W73" s="95" t="n">
        <v>30</v>
      </c>
      <c r="X73" s="100" t="n">
        <f aca="false">AVERAGEA(Y73, W73)</f>
        <v>30</v>
      </c>
      <c r="Y73" s="96" t="n">
        <v>30</v>
      </c>
      <c r="Z73" s="97" t="n">
        <v>0.66</v>
      </c>
      <c r="AA73" s="94" t="n">
        <f aca="false">AVERAGEA(AB73, Z73)</f>
        <v>0.66</v>
      </c>
      <c r="AB73" s="98" t="n">
        <v>0.66</v>
      </c>
      <c r="AC73" s="95" t="n">
        <v>0.66</v>
      </c>
      <c r="AD73" s="100" t="n">
        <f aca="false">AVERAGEA(AE73, AC73)</f>
        <v>0.66</v>
      </c>
      <c r="AE73" s="96" t="n">
        <v>0.66</v>
      </c>
      <c r="AF73" s="97" t="s">
        <v>59</v>
      </c>
      <c r="AG73" s="94"/>
      <c r="AH73" s="98" t="s">
        <v>59</v>
      </c>
      <c r="AI73" s="99" t="s">
        <v>59</v>
      </c>
      <c r="AJ73" s="104"/>
      <c r="AK73" s="98" t="s">
        <v>59</v>
      </c>
      <c r="AL73" s="95" t="n">
        <v>2350</v>
      </c>
      <c r="AM73" s="100" t="n">
        <f aca="false">AVERAGEA(AN73, AL73)</f>
        <v>2500</v>
      </c>
      <c r="AN73" s="96" t="n">
        <v>2650</v>
      </c>
      <c r="AO73" s="97" t="n">
        <v>55.1</v>
      </c>
      <c r="AP73" s="94" t="n">
        <f aca="false">AVERAGEA(AQ73, AO73)</f>
        <v>58.6</v>
      </c>
      <c r="AQ73" s="98" t="n">
        <v>62.1</v>
      </c>
      <c r="AR73" s="95" t="s">
        <v>60</v>
      </c>
      <c r="AS73" s="100"/>
      <c r="AT73" s="96" t="s">
        <v>60</v>
      </c>
      <c r="AU73" s="105" t="s">
        <v>59</v>
      </c>
      <c r="AV73" s="106"/>
      <c r="AW73" s="107" t="s">
        <v>59</v>
      </c>
      <c r="AX73" s="108" t="s">
        <v>60</v>
      </c>
      <c r="AY73" s="109"/>
      <c r="AZ73" s="87" t="s">
        <v>60</v>
      </c>
      <c r="BA73" s="105" t="s">
        <v>59</v>
      </c>
      <c r="BB73" s="106"/>
      <c r="BC73" s="107" t="s">
        <v>59</v>
      </c>
      <c r="BD73" s="110" t="s">
        <v>60</v>
      </c>
      <c r="BE73" s="53"/>
      <c r="BF73" s="87" t="s">
        <v>60</v>
      </c>
      <c r="BG73" s="105" t="s">
        <v>59</v>
      </c>
      <c r="BH73" s="106"/>
      <c r="BI73" s="107" t="s">
        <v>59</v>
      </c>
      <c r="BJ73" s="108" t="s">
        <v>59</v>
      </c>
      <c r="BK73" s="109"/>
      <c r="BL73" s="87" t="s">
        <v>59</v>
      </c>
      <c r="BM73" s="105" t="s">
        <v>59</v>
      </c>
      <c r="BN73" s="106"/>
      <c r="BO73" s="107" t="s">
        <v>59</v>
      </c>
    </row>
    <row r="74" customFormat="false" ht="15" hidden="false" customHeight="true" outlineLevel="0" collapsed="false">
      <c r="B74" s="40"/>
      <c r="C74" s="85"/>
      <c r="D74" s="85"/>
      <c r="E74" s="112"/>
      <c r="F74" s="44" t="s">
        <v>47</v>
      </c>
      <c r="G74" s="114"/>
      <c r="H74" s="95" t="s">
        <v>46</v>
      </c>
      <c r="I74" s="100"/>
      <c r="J74" s="103" t="s">
        <v>46</v>
      </c>
      <c r="K74" s="49" t="n">
        <v>15</v>
      </c>
      <c r="L74" s="50" t="n">
        <f aca="false">AVERAGEA(K74,M74)</f>
        <v>28.5</v>
      </c>
      <c r="M74" s="51" t="n">
        <v>42</v>
      </c>
      <c r="N74" s="52" t="n">
        <v>38</v>
      </c>
      <c r="O74" s="53" t="n">
        <f aca="false">AVERAGEA(N74,P74)</f>
        <v>42</v>
      </c>
      <c r="P74" s="54" t="n">
        <v>46</v>
      </c>
      <c r="Q74" s="52" t="n">
        <v>53</v>
      </c>
      <c r="R74" s="53" t="n">
        <f aca="false">AVERAGEA(Q74,S74)</f>
        <v>70.5</v>
      </c>
      <c r="S74" s="54" t="n">
        <v>88</v>
      </c>
      <c r="T74" s="49" t="n">
        <v>83.8</v>
      </c>
      <c r="U74" s="50" t="n">
        <f aca="false">AVERAGEA(V74,T74)</f>
        <v>85.05</v>
      </c>
      <c r="V74" s="51" t="n">
        <v>86.3</v>
      </c>
      <c r="W74" s="95" t="n">
        <v>30</v>
      </c>
      <c r="X74" s="100" t="n">
        <f aca="false">AVERAGEA(Y74, W74)</f>
        <v>30</v>
      </c>
      <c r="Y74" s="96" t="n">
        <v>30</v>
      </c>
      <c r="Z74" s="97" t="n">
        <v>0.66</v>
      </c>
      <c r="AA74" s="94" t="n">
        <f aca="false">AVERAGEA(AB74, Z74)</f>
        <v>0.66</v>
      </c>
      <c r="AB74" s="98" t="n">
        <v>0.66</v>
      </c>
      <c r="AC74" s="95" t="n">
        <v>0.66</v>
      </c>
      <c r="AD74" s="100" t="n">
        <f aca="false">AVERAGEA(AE74, AC74)</f>
        <v>0.66</v>
      </c>
      <c r="AE74" s="96" t="n">
        <v>0.66</v>
      </c>
      <c r="AF74" s="97" t="s">
        <v>59</v>
      </c>
      <c r="AG74" s="94"/>
      <c r="AH74" s="98" t="s">
        <v>59</v>
      </c>
      <c r="AI74" s="99" t="s">
        <v>59</v>
      </c>
      <c r="AJ74" s="104"/>
      <c r="AK74" s="98" t="s">
        <v>59</v>
      </c>
      <c r="AL74" s="95" t="n">
        <v>2350</v>
      </c>
      <c r="AM74" s="100" t="n">
        <f aca="false">AVERAGEA(AN74, AL74)</f>
        <v>2500</v>
      </c>
      <c r="AN74" s="96" t="n">
        <v>2650</v>
      </c>
      <c r="AO74" s="97" t="n">
        <v>55.1</v>
      </c>
      <c r="AP74" s="94" t="n">
        <f aca="false">AVERAGEA(AQ74, AO74)</f>
        <v>58.6</v>
      </c>
      <c r="AQ74" s="98" t="n">
        <v>62.1</v>
      </c>
      <c r="AR74" s="95" t="s">
        <v>60</v>
      </c>
      <c r="AS74" s="100"/>
      <c r="AT74" s="96" t="s">
        <v>60</v>
      </c>
      <c r="AU74" s="105" t="s">
        <v>59</v>
      </c>
      <c r="AV74" s="106"/>
      <c r="AW74" s="107" t="s">
        <v>59</v>
      </c>
      <c r="AX74" s="108" t="s">
        <v>60</v>
      </c>
      <c r="AY74" s="109"/>
      <c r="AZ74" s="87" t="s">
        <v>60</v>
      </c>
      <c r="BA74" s="105" t="s">
        <v>59</v>
      </c>
      <c r="BB74" s="106"/>
      <c r="BC74" s="107" t="s">
        <v>59</v>
      </c>
      <c r="BD74" s="110" t="s">
        <v>60</v>
      </c>
      <c r="BE74" s="53"/>
      <c r="BF74" s="87" t="s">
        <v>60</v>
      </c>
      <c r="BG74" s="105" t="s">
        <v>59</v>
      </c>
      <c r="BH74" s="106"/>
      <c r="BI74" s="107" t="s">
        <v>59</v>
      </c>
      <c r="BJ74" s="108" t="s">
        <v>59</v>
      </c>
      <c r="BK74" s="109"/>
      <c r="BL74" s="87" t="s">
        <v>59</v>
      </c>
      <c r="BM74" s="105" t="s">
        <v>59</v>
      </c>
      <c r="BN74" s="106"/>
      <c r="BO74" s="107" t="s">
        <v>59</v>
      </c>
    </row>
    <row r="75" customFormat="false" ht="15" hidden="false" customHeight="true" outlineLevel="0" collapsed="false">
      <c r="B75" s="40"/>
      <c r="C75" s="85"/>
      <c r="D75" s="85"/>
      <c r="E75" s="112"/>
      <c r="F75" s="44" t="s">
        <v>48</v>
      </c>
      <c r="G75" s="114"/>
      <c r="H75" s="95" t="s">
        <v>46</v>
      </c>
      <c r="I75" s="100"/>
      <c r="J75" s="103" t="s">
        <v>46</v>
      </c>
      <c r="K75" s="49" t="n">
        <v>15</v>
      </c>
      <c r="L75" s="50" t="n">
        <f aca="false">AVERAGEA(K75,M75)</f>
        <v>28.5</v>
      </c>
      <c r="M75" s="51" t="n">
        <v>42</v>
      </c>
      <c r="N75" s="52" t="n">
        <v>38</v>
      </c>
      <c r="O75" s="53" t="n">
        <f aca="false">AVERAGEA(N75,P75)</f>
        <v>42</v>
      </c>
      <c r="P75" s="54" t="n">
        <v>46</v>
      </c>
      <c r="Q75" s="52" t="n">
        <v>53</v>
      </c>
      <c r="R75" s="53" t="n">
        <f aca="false">AVERAGEA(Q75,S75)</f>
        <v>70.5</v>
      </c>
      <c r="S75" s="54" t="n">
        <v>88</v>
      </c>
      <c r="T75" s="49" t="n">
        <v>83.8</v>
      </c>
      <c r="U75" s="50" t="n">
        <f aca="false">AVERAGEA(V75,T75)</f>
        <v>85.05</v>
      </c>
      <c r="V75" s="51" t="n">
        <v>86.3</v>
      </c>
      <c r="W75" s="95" t="n">
        <v>30</v>
      </c>
      <c r="X75" s="100" t="n">
        <f aca="false">AVERAGEA(Y75, W75)</f>
        <v>30</v>
      </c>
      <c r="Y75" s="96" t="n">
        <v>30</v>
      </c>
      <c r="Z75" s="97" t="n">
        <v>0.66</v>
      </c>
      <c r="AA75" s="94" t="n">
        <f aca="false">AVERAGEA(AB75, Z75)</f>
        <v>0.66</v>
      </c>
      <c r="AB75" s="98" t="n">
        <v>0.66</v>
      </c>
      <c r="AC75" s="95" t="n">
        <v>0.66</v>
      </c>
      <c r="AD75" s="100" t="n">
        <f aca="false">AVERAGEA(AE75, AC75)</f>
        <v>0.66</v>
      </c>
      <c r="AE75" s="96" t="n">
        <v>0.66</v>
      </c>
      <c r="AF75" s="97" t="s">
        <v>59</v>
      </c>
      <c r="AG75" s="94"/>
      <c r="AH75" s="98" t="s">
        <v>59</v>
      </c>
      <c r="AI75" s="99" t="s">
        <v>59</v>
      </c>
      <c r="AJ75" s="104"/>
      <c r="AK75" s="98" t="s">
        <v>59</v>
      </c>
      <c r="AL75" s="95" t="n">
        <v>2350</v>
      </c>
      <c r="AM75" s="100" t="n">
        <f aca="false">AVERAGEA(AN75, AL75)</f>
        <v>2500</v>
      </c>
      <c r="AN75" s="96" t="n">
        <v>2650</v>
      </c>
      <c r="AO75" s="97" t="n">
        <v>55.1</v>
      </c>
      <c r="AP75" s="94" t="n">
        <f aca="false">AVERAGEA(AQ75, AO75)</f>
        <v>58.6</v>
      </c>
      <c r="AQ75" s="98" t="n">
        <v>62.1</v>
      </c>
      <c r="AR75" s="95" t="s">
        <v>60</v>
      </c>
      <c r="AS75" s="100"/>
      <c r="AT75" s="96" t="s">
        <v>60</v>
      </c>
      <c r="AU75" s="105" t="s">
        <v>59</v>
      </c>
      <c r="AV75" s="106"/>
      <c r="AW75" s="107" t="s">
        <v>59</v>
      </c>
      <c r="AX75" s="108" t="s">
        <v>60</v>
      </c>
      <c r="AY75" s="109"/>
      <c r="AZ75" s="87" t="s">
        <v>60</v>
      </c>
      <c r="BA75" s="105" t="s">
        <v>59</v>
      </c>
      <c r="BB75" s="106"/>
      <c r="BC75" s="107" t="s">
        <v>59</v>
      </c>
      <c r="BD75" s="110" t="s">
        <v>60</v>
      </c>
      <c r="BE75" s="53"/>
      <c r="BF75" s="87" t="s">
        <v>60</v>
      </c>
      <c r="BG75" s="105" t="s">
        <v>59</v>
      </c>
      <c r="BH75" s="106"/>
      <c r="BI75" s="107" t="s">
        <v>59</v>
      </c>
      <c r="BJ75" s="108" t="s">
        <v>59</v>
      </c>
      <c r="BK75" s="109"/>
      <c r="BL75" s="87" t="s">
        <v>59</v>
      </c>
      <c r="BM75" s="105" t="s">
        <v>59</v>
      </c>
      <c r="BN75" s="106"/>
      <c r="BO75" s="107" t="s">
        <v>59</v>
      </c>
    </row>
    <row r="76" customFormat="false" ht="15" hidden="false" customHeight="true" outlineLevel="0" collapsed="false">
      <c r="B76" s="40"/>
      <c r="C76" s="85"/>
      <c r="D76" s="85"/>
      <c r="E76" s="112"/>
      <c r="F76" s="44" t="s">
        <v>49</v>
      </c>
      <c r="G76" s="114"/>
      <c r="H76" s="95" t="s">
        <v>46</v>
      </c>
      <c r="I76" s="100"/>
      <c r="J76" s="103" t="s">
        <v>46</v>
      </c>
      <c r="K76" s="49" t="n">
        <v>48</v>
      </c>
      <c r="L76" s="50" t="n">
        <f aca="false">AVERAGEA(K76,M76)</f>
        <v>52.5</v>
      </c>
      <c r="M76" s="51" t="n">
        <v>57</v>
      </c>
      <c r="N76" s="52" t="n">
        <v>34</v>
      </c>
      <c r="O76" s="53" t="n">
        <f aca="false">AVERAGEA(N76,P76)</f>
        <v>38</v>
      </c>
      <c r="P76" s="54" t="n">
        <v>42</v>
      </c>
      <c r="Q76" s="52" t="n">
        <v>90</v>
      </c>
      <c r="R76" s="53" t="n">
        <f aca="false">AVERAGEA(Q76,S76)</f>
        <v>90.5</v>
      </c>
      <c r="S76" s="54" t="n">
        <v>91</v>
      </c>
      <c r="T76" s="49" t="n">
        <v>83.8</v>
      </c>
      <c r="U76" s="50" t="n">
        <f aca="false">AVERAGEA(V76,T76)</f>
        <v>85.05</v>
      </c>
      <c r="V76" s="51" t="n">
        <v>86.3</v>
      </c>
      <c r="W76" s="95" t="n">
        <v>30</v>
      </c>
      <c r="X76" s="100" t="n">
        <f aca="false">AVERAGEA(Y76, W76)</f>
        <v>30</v>
      </c>
      <c r="Y76" s="96" t="n">
        <v>30</v>
      </c>
      <c r="Z76" s="97" t="n">
        <v>0.66</v>
      </c>
      <c r="AA76" s="94" t="n">
        <f aca="false">AVERAGEA(AB76, Z76)</f>
        <v>0.66</v>
      </c>
      <c r="AB76" s="98" t="n">
        <v>0.66</v>
      </c>
      <c r="AC76" s="95" t="n">
        <v>0.66</v>
      </c>
      <c r="AD76" s="100" t="n">
        <f aca="false">AVERAGEA(AE76, AC76)</f>
        <v>0.66</v>
      </c>
      <c r="AE76" s="96" t="n">
        <v>0.66</v>
      </c>
      <c r="AF76" s="97" t="s">
        <v>59</v>
      </c>
      <c r="AG76" s="94"/>
      <c r="AH76" s="98" t="s">
        <v>59</v>
      </c>
      <c r="AI76" s="99" t="s">
        <v>59</v>
      </c>
      <c r="AJ76" s="104"/>
      <c r="AK76" s="98" t="s">
        <v>59</v>
      </c>
      <c r="AL76" s="95" t="n">
        <v>2350</v>
      </c>
      <c r="AM76" s="100" t="n">
        <f aca="false">AVERAGEA(AN76, AL76)</f>
        <v>2500</v>
      </c>
      <c r="AN76" s="96" t="n">
        <v>2650</v>
      </c>
      <c r="AO76" s="97" t="n">
        <v>55.1</v>
      </c>
      <c r="AP76" s="94" t="n">
        <f aca="false">AVERAGEA(AQ76, AO76)</f>
        <v>58.6</v>
      </c>
      <c r="AQ76" s="98" t="n">
        <v>62.1</v>
      </c>
      <c r="AR76" s="95" t="s">
        <v>60</v>
      </c>
      <c r="AS76" s="100"/>
      <c r="AT76" s="96" t="s">
        <v>60</v>
      </c>
      <c r="AU76" s="105" t="s">
        <v>59</v>
      </c>
      <c r="AV76" s="106"/>
      <c r="AW76" s="107" t="s">
        <v>59</v>
      </c>
      <c r="AX76" s="108" t="s">
        <v>60</v>
      </c>
      <c r="AY76" s="109"/>
      <c r="AZ76" s="87" t="s">
        <v>60</v>
      </c>
      <c r="BA76" s="105" t="s">
        <v>59</v>
      </c>
      <c r="BB76" s="106"/>
      <c r="BC76" s="107" t="s">
        <v>59</v>
      </c>
      <c r="BD76" s="110" t="s">
        <v>60</v>
      </c>
      <c r="BE76" s="53"/>
      <c r="BF76" s="87" t="s">
        <v>60</v>
      </c>
      <c r="BG76" s="105" t="s">
        <v>59</v>
      </c>
      <c r="BH76" s="106"/>
      <c r="BI76" s="107" t="s">
        <v>59</v>
      </c>
      <c r="BJ76" s="108" t="s">
        <v>59</v>
      </c>
      <c r="BK76" s="109"/>
      <c r="BL76" s="87" t="s">
        <v>59</v>
      </c>
      <c r="BM76" s="105" t="s">
        <v>59</v>
      </c>
      <c r="BN76" s="106"/>
      <c r="BO76" s="107" t="s">
        <v>59</v>
      </c>
    </row>
    <row r="77" customFormat="false" ht="15" hidden="false" customHeight="true" outlineLevel="0" collapsed="false">
      <c r="B77" s="40"/>
      <c r="C77" s="85" t="s">
        <v>61</v>
      </c>
      <c r="D77" s="115" t="s">
        <v>63</v>
      </c>
      <c r="E77" s="116"/>
      <c r="F77" s="117" t="s">
        <v>45</v>
      </c>
      <c r="G77" s="114"/>
      <c r="H77" s="95" t="s">
        <v>46</v>
      </c>
      <c r="I77" s="100"/>
      <c r="J77" s="103" t="s">
        <v>46</v>
      </c>
      <c r="K77" s="49" t="n">
        <v>15</v>
      </c>
      <c r="L77" s="50" t="n">
        <f aca="false">AVERAGEA(K77,M77)</f>
        <v>28.5</v>
      </c>
      <c r="M77" s="51" t="n">
        <v>42</v>
      </c>
      <c r="N77" s="52" t="n">
        <v>38</v>
      </c>
      <c r="O77" s="53" t="n">
        <f aca="false">AVERAGEA(N77,P77)</f>
        <v>42</v>
      </c>
      <c r="P77" s="54" t="n">
        <v>46</v>
      </c>
      <c r="Q77" s="52" t="n">
        <v>53</v>
      </c>
      <c r="R77" s="53" t="n">
        <f aca="false">AVERAGEA(Q77,S77)</f>
        <v>70.5</v>
      </c>
      <c r="S77" s="54" t="n">
        <v>88</v>
      </c>
      <c r="T77" s="49" t="n">
        <v>83.8</v>
      </c>
      <c r="U77" s="50" t="n">
        <f aca="false">AVERAGEA(V77,T77)</f>
        <v>85.05</v>
      </c>
      <c r="V77" s="51" t="n">
        <v>86.3</v>
      </c>
      <c r="W77" s="95" t="n">
        <v>30</v>
      </c>
      <c r="X77" s="100" t="n">
        <f aca="false">AVERAGEA(Y77, W77)</f>
        <v>30</v>
      </c>
      <c r="Y77" s="96" t="n">
        <v>30</v>
      </c>
      <c r="Z77" s="97" t="n">
        <v>0.66</v>
      </c>
      <c r="AA77" s="94" t="n">
        <f aca="false">AVERAGEA(AB77, Z77)</f>
        <v>0.66</v>
      </c>
      <c r="AB77" s="98" t="n">
        <v>0.66</v>
      </c>
      <c r="AC77" s="95" t="n">
        <v>0.66</v>
      </c>
      <c r="AD77" s="100" t="n">
        <f aca="false">AVERAGEA(AE77, AC77)</f>
        <v>0.66</v>
      </c>
      <c r="AE77" s="96" t="n">
        <v>0.66</v>
      </c>
      <c r="AF77" s="97" t="s">
        <v>59</v>
      </c>
      <c r="AG77" s="94"/>
      <c r="AH77" s="98" t="s">
        <v>59</v>
      </c>
      <c r="AI77" s="99" t="s">
        <v>59</v>
      </c>
      <c r="AJ77" s="104"/>
      <c r="AK77" s="98" t="s">
        <v>59</v>
      </c>
      <c r="AL77" s="95" t="n">
        <v>2350</v>
      </c>
      <c r="AM77" s="100" t="n">
        <f aca="false">AVERAGEA(AN77, AL77)</f>
        <v>2500</v>
      </c>
      <c r="AN77" s="96" t="n">
        <v>2650</v>
      </c>
      <c r="AO77" s="97" t="n">
        <v>55.1</v>
      </c>
      <c r="AP77" s="94" t="n">
        <f aca="false">AVERAGEA(AQ77, AO77)</f>
        <v>58.6</v>
      </c>
      <c r="AQ77" s="98" t="n">
        <v>62.1</v>
      </c>
      <c r="AR77" s="95" t="s">
        <v>60</v>
      </c>
      <c r="AS77" s="100"/>
      <c r="AT77" s="96" t="s">
        <v>60</v>
      </c>
      <c r="AU77" s="105" t="s">
        <v>59</v>
      </c>
      <c r="AV77" s="106"/>
      <c r="AW77" s="107" t="s">
        <v>59</v>
      </c>
      <c r="AX77" s="108" t="s">
        <v>60</v>
      </c>
      <c r="AY77" s="109"/>
      <c r="AZ77" s="87" t="s">
        <v>60</v>
      </c>
      <c r="BA77" s="105" t="s">
        <v>59</v>
      </c>
      <c r="BB77" s="106"/>
      <c r="BC77" s="107" t="s">
        <v>59</v>
      </c>
      <c r="BD77" s="110" t="s">
        <v>60</v>
      </c>
      <c r="BE77" s="53"/>
      <c r="BF77" s="87" t="s">
        <v>60</v>
      </c>
      <c r="BG77" s="105" t="s">
        <v>59</v>
      </c>
      <c r="BH77" s="106"/>
      <c r="BI77" s="107" t="s">
        <v>59</v>
      </c>
      <c r="BJ77" s="108" t="s">
        <v>59</v>
      </c>
      <c r="BK77" s="109"/>
      <c r="BL77" s="87" t="s">
        <v>59</v>
      </c>
      <c r="BM77" s="105" t="s">
        <v>59</v>
      </c>
      <c r="BN77" s="106"/>
      <c r="BO77" s="107" t="s">
        <v>59</v>
      </c>
    </row>
    <row r="78" customFormat="false" ht="15" hidden="false" customHeight="true" outlineLevel="0" collapsed="false">
      <c r="B78" s="40"/>
      <c r="C78" s="85"/>
      <c r="D78" s="115"/>
      <c r="E78" s="118"/>
      <c r="F78" s="117" t="s">
        <v>47</v>
      </c>
      <c r="G78" s="114"/>
      <c r="H78" s="95" t="s">
        <v>46</v>
      </c>
      <c r="I78" s="100"/>
      <c r="J78" s="103" t="s">
        <v>46</v>
      </c>
      <c r="K78" s="49" t="n">
        <v>15</v>
      </c>
      <c r="L78" s="50" t="n">
        <f aca="false">AVERAGEA(K78,M78)</f>
        <v>28.5</v>
      </c>
      <c r="M78" s="51" t="n">
        <v>42</v>
      </c>
      <c r="N78" s="52" t="n">
        <v>38</v>
      </c>
      <c r="O78" s="53" t="n">
        <f aca="false">AVERAGEA(N78,P78)</f>
        <v>42</v>
      </c>
      <c r="P78" s="54" t="n">
        <v>46</v>
      </c>
      <c r="Q78" s="52" t="n">
        <v>53</v>
      </c>
      <c r="R78" s="53" t="n">
        <f aca="false">AVERAGEA(Q78,S78)</f>
        <v>70.5</v>
      </c>
      <c r="S78" s="54" t="n">
        <v>88</v>
      </c>
      <c r="T78" s="49" t="n">
        <v>83.8</v>
      </c>
      <c r="U78" s="50" t="n">
        <f aca="false">AVERAGEA(V78,T78)</f>
        <v>85.05</v>
      </c>
      <c r="V78" s="51" t="n">
        <v>86.3</v>
      </c>
      <c r="W78" s="95" t="n">
        <v>30</v>
      </c>
      <c r="X78" s="100" t="n">
        <f aca="false">AVERAGEA(Y78, W78)</f>
        <v>30</v>
      </c>
      <c r="Y78" s="96" t="n">
        <v>30</v>
      </c>
      <c r="Z78" s="97" t="n">
        <v>0.66</v>
      </c>
      <c r="AA78" s="94" t="n">
        <f aca="false">AVERAGEA(AB78, Z78)</f>
        <v>0.66</v>
      </c>
      <c r="AB78" s="98" t="n">
        <v>0.66</v>
      </c>
      <c r="AC78" s="95" t="n">
        <v>0.66</v>
      </c>
      <c r="AD78" s="100" t="n">
        <f aca="false">AVERAGEA(AE78, AC78)</f>
        <v>0.66</v>
      </c>
      <c r="AE78" s="96" t="n">
        <v>0.66</v>
      </c>
      <c r="AF78" s="97" t="s">
        <v>59</v>
      </c>
      <c r="AG78" s="94"/>
      <c r="AH78" s="98" t="s">
        <v>59</v>
      </c>
      <c r="AI78" s="99" t="s">
        <v>59</v>
      </c>
      <c r="AJ78" s="104"/>
      <c r="AK78" s="98" t="s">
        <v>59</v>
      </c>
      <c r="AL78" s="95" t="n">
        <v>2350</v>
      </c>
      <c r="AM78" s="100" t="n">
        <f aca="false">AVERAGEA(AN78, AL78)</f>
        <v>2500</v>
      </c>
      <c r="AN78" s="96" t="n">
        <v>2650</v>
      </c>
      <c r="AO78" s="97" t="n">
        <v>55.1</v>
      </c>
      <c r="AP78" s="94" t="n">
        <f aca="false">AVERAGEA(AQ78, AO78)</f>
        <v>58.6</v>
      </c>
      <c r="AQ78" s="98" t="n">
        <v>62.1</v>
      </c>
      <c r="AR78" s="95" t="s">
        <v>60</v>
      </c>
      <c r="AS78" s="100"/>
      <c r="AT78" s="96" t="s">
        <v>60</v>
      </c>
      <c r="AU78" s="105" t="s">
        <v>59</v>
      </c>
      <c r="AV78" s="106"/>
      <c r="AW78" s="107" t="s">
        <v>59</v>
      </c>
      <c r="AX78" s="108" t="s">
        <v>60</v>
      </c>
      <c r="AY78" s="109"/>
      <c r="AZ78" s="87" t="s">
        <v>60</v>
      </c>
      <c r="BA78" s="105" t="s">
        <v>59</v>
      </c>
      <c r="BB78" s="106"/>
      <c r="BC78" s="107" t="s">
        <v>59</v>
      </c>
      <c r="BD78" s="110" t="s">
        <v>60</v>
      </c>
      <c r="BE78" s="53"/>
      <c r="BF78" s="87" t="s">
        <v>60</v>
      </c>
      <c r="BG78" s="105" t="s">
        <v>59</v>
      </c>
      <c r="BH78" s="106"/>
      <c r="BI78" s="107" t="s">
        <v>59</v>
      </c>
      <c r="BJ78" s="108" t="s">
        <v>59</v>
      </c>
      <c r="BK78" s="109"/>
      <c r="BL78" s="87" t="s">
        <v>59</v>
      </c>
      <c r="BM78" s="105" t="s">
        <v>59</v>
      </c>
      <c r="BN78" s="106"/>
      <c r="BO78" s="107" t="s">
        <v>59</v>
      </c>
    </row>
    <row r="79" customFormat="false" ht="15" hidden="false" customHeight="true" outlineLevel="0" collapsed="false">
      <c r="B79" s="40"/>
      <c r="C79" s="85"/>
      <c r="D79" s="115"/>
      <c r="E79" s="118"/>
      <c r="F79" s="117" t="s">
        <v>48</v>
      </c>
      <c r="G79" s="114"/>
      <c r="H79" s="95" t="s">
        <v>46</v>
      </c>
      <c r="I79" s="100"/>
      <c r="J79" s="103" t="s">
        <v>46</v>
      </c>
      <c r="K79" s="49" t="n">
        <v>15</v>
      </c>
      <c r="L79" s="50" t="n">
        <f aca="false">AVERAGEA(K79,M79)</f>
        <v>28.5</v>
      </c>
      <c r="M79" s="51" t="n">
        <v>42</v>
      </c>
      <c r="N79" s="52" t="n">
        <v>38</v>
      </c>
      <c r="O79" s="53" t="n">
        <f aca="false">AVERAGEA(N79,P79)</f>
        <v>42</v>
      </c>
      <c r="P79" s="54" t="n">
        <v>46</v>
      </c>
      <c r="Q79" s="52" t="n">
        <v>53</v>
      </c>
      <c r="R79" s="53" t="n">
        <f aca="false">AVERAGEA(Q79,S79)</f>
        <v>70.5</v>
      </c>
      <c r="S79" s="54" t="n">
        <v>88</v>
      </c>
      <c r="T79" s="49" t="n">
        <v>83.8</v>
      </c>
      <c r="U79" s="50" t="n">
        <f aca="false">AVERAGEA(V79,T79)</f>
        <v>85.05</v>
      </c>
      <c r="V79" s="51" t="n">
        <v>86.3</v>
      </c>
      <c r="W79" s="95" t="n">
        <v>30</v>
      </c>
      <c r="X79" s="100" t="n">
        <f aca="false">AVERAGEA(Y79, W79)</f>
        <v>30</v>
      </c>
      <c r="Y79" s="96" t="n">
        <v>30</v>
      </c>
      <c r="Z79" s="97" t="n">
        <v>0.66</v>
      </c>
      <c r="AA79" s="94" t="n">
        <f aca="false">AVERAGEA(AB79, Z79)</f>
        <v>0.66</v>
      </c>
      <c r="AB79" s="98" t="n">
        <v>0.66</v>
      </c>
      <c r="AC79" s="95" t="n">
        <v>0.66</v>
      </c>
      <c r="AD79" s="100" t="n">
        <f aca="false">AVERAGEA(AE79, AC79)</f>
        <v>0.66</v>
      </c>
      <c r="AE79" s="96" t="n">
        <v>0.66</v>
      </c>
      <c r="AF79" s="97" t="s">
        <v>59</v>
      </c>
      <c r="AG79" s="94"/>
      <c r="AH79" s="98" t="s">
        <v>59</v>
      </c>
      <c r="AI79" s="99" t="s">
        <v>59</v>
      </c>
      <c r="AJ79" s="104"/>
      <c r="AK79" s="98" t="s">
        <v>59</v>
      </c>
      <c r="AL79" s="95" t="n">
        <v>2350</v>
      </c>
      <c r="AM79" s="100" t="n">
        <f aca="false">AVERAGEA(AN79, AL79)</f>
        <v>2500</v>
      </c>
      <c r="AN79" s="96" t="n">
        <v>2650</v>
      </c>
      <c r="AO79" s="97" t="n">
        <v>55.1</v>
      </c>
      <c r="AP79" s="94" t="n">
        <f aca="false">AVERAGEA(AQ79, AO79)</f>
        <v>58.6</v>
      </c>
      <c r="AQ79" s="98" t="n">
        <v>62.1</v>
      </c>
      <c r="AR79" s="95" t="s">
        <v>60</v>
      </c>
      <c r="AS79" s="100"/>
      <c r="AT79" s="96" t="s">
        <v>60</v>
      </c>
      <c r="AU79" s="105" t="s">
        <v>59</v>
      </c>
      <c r="AV79" s="106"/>
      <c r="AW79" s="107" t="s">
        <v>59</v>
      </c>
      <c r="AX79" s="108" t="s">
        <v>60</v>
      </c>
      <c r="AY79" s="109"/>
      <c r="AZ79" s="87" t="s">
        <v>60</v>
      </c>
      <c r="BA79" s="105" t="s">
        <v>59</v>
      </c>
      <c r="BB79" s="106"/>
      <c r="BC79" s="107" t="s">
        <v>59</v>
      </c>
      <c r="BD79" s="110" t="s">
        <v>60</v>
      </c>
      <c r="BE79" s="53"/>
      <c r="BF79" s="87" t="s">
        <v>60</v>
      </c>
      <c r="BG79" s="105" t="s">
        <v>59</v>
      </c>
      <c r="BH79" s="106"/>
      <c r="BI79" s="107" t="s">
        <v>59</v>
      </c>
      <c r="BJ79" s="108" t="s">
        <v>59</v>
      </c>
      <c r="BK79" s="109"/>
      <c r="BL79" s="87" t="s">
        <v>59</v>
      </c>
      <c r="BM79" s="105" t="s">
        <v>59</v>
      </c>
      <c r="BN79" s="106"/>
      <c r="BO79" s="107" t="s">
        <v>59</v>
      </c>
    </row>
    <row r="80" customFormat="false" ht="15" hidden="false" customHeight="true" outlineLevel="0" collapsed="false">
      <c r="B80" s="40"/>
      <c r="C80" s="85"/>
      <c r="D80" s="115"/>
      <c r="E80" s="118"/>
      <c r="F80" s="117" t="s">
        <v>49</v>
      </c>
      <c r="G80" s="114"/>
      <c r="H80" s="95" t="s">
        <v>46</v>
      </c>
      <c r="I80" s="100"/>
      <c r="J80" s="119" t="s">
        <v>46</v>
      </c>
      <c r="K80" s="120" t="n">
        <v>48</v>
      </c>
      <c r="L80" s="121" t="n">
        <f aca="false">AVERAGEA(K80,M80)</f>
        <v>52.5</v>
      </c>
      <c r="M80" s="122" t="n">
        <v>57</v>
      </c>
      <c r="N80" s="123" t="n">
        <v>34</v>
      </c>
      <c r="O80" s="124" t="n">
        <f aca="false">AVERAGEA(N80,P80)</f>
        <v>38</v>
      </c>
      <c r="P80" s="125" t="n">
        <v>42</v>
      </c>
      <c r="Q80" s="123" t="n">
        <v>90</v>
      </c>
      <c r="R80" s="124" t="n">
        <f aca="false">AVERAGEA(Q80,S80)</f>
        <v>90.5</v>
      </c>
      <c r="S80" s="125" t="n">
        <v>91</v>
      </c>
      <c r="T80" s="120" t="n">
        <v>83.8</v>
      </c>
      <c r="U80" s="121" t="n">
        <f aca="false">AVERAGEA(V80,T80)</f>
        <v>85.05</v>
      </c>
      <c r="V80" s="122" t="n">
        <v>86.3</v>
      </c>
      <c r="W80" s="95" t="n">
        <v>30</v>
      </c>
      <c r="X80" s="100" t="n">
        <f aca="false">AVERAGEA(Y80, W80)</f>
        <v>30</v>
      </c>
      <c r="Y80" s="96" t="n">
        <v>30</v>
      </c>
      <c r="Z80" s="97" t="n">
        <v>0.66</v>
      </c>
      <c r="AA80" s="94" t="n">
        <f aca="false">AVERAGEA(AB80, Z80)</f>
        <v>0.66</v>
      </c>
      <c r="AB80" s="98" t="n">
        <v>0.66</v>
      </c>
      <c r="AC80" s="95" t="n">
        <v>0.66</v>
      </c>
      <c r="AD80" s="100" t="n">
        <f aca="false">AVERAGEA(AE80, AC80)</f>
        <v>0.66</v>
      </c>
      <c r="AE80" s="96" t="n">
        <v>0.66</v>
      </c>
      <c r="AF80" s="97" t="s">
        <v>59</v>
      </c>
      <c r="AG80" s="94"/>
      <c r="AH80" s="98" t="s">
        <v>59</v>
      </c>
      <c r="AI80" s="99" t="s">
        <v>59</v>
      </c>
      <c r="AJ80" s="104"/>
      <c r="AK80" s="98" t="s">
        <v>59</v>
      </c>
      <c r="AL80" s="95" t="n">
        <v>2350</v>
      </c>
      <c r="AM80" s="100" t="n">
        <f aca="false">AVERAGEA(AN80, AL80)</f>
        <v>2500</v>
      </c>
      <c r="AN80" s="96" t="n">
        <v>2650</v>
      </c>
      <c r="AO80" s="97" t="n">
        <v>55.1</v>
      </c>
      <c r="AP80" s="94" t="n">
        <f aca="false">AVERAGEA(AQ80, AO80)</f>
        <v>58.6</v>
      </c>
      <c r="AQ80" s="98" t="n">
        <v>62.1</v>
      </c>
      <c r="AR80" s="95" t="s">
        <v>60</v>
      </c>
      <c r="AS80" s="100"/>
      <c r="AT80" s="96" t="s">
        <v>60</v>
      </c>
      <c r="AU80" s="126" t="s">
        <v>59</v>
      </c>
      <c r="AV80" s="127"/>
      <c r="AW80" s="128" t="s">
        <v>59</v>
      </c>
      <c r="AX80" s="129" t="s">
        <v>60</v>
      </c>
      <c r="AY80" s="130"/>
      <c r="AZ80" s="131" t="s">
        <v>60</v>
      </c>
      <c r="BA80" s="126" t="s">
        <v>59</v>
      </c>
      <c r="BB80" s="127"/>
      <c r="BC80" s="128" t="s">
        <v>59</v>
      </c>
      <c r="BD80" s="132" t="s">
        <v>60</v>
      </c>
      <c r="BE80" s="124"/>
      <c r="BF80" s="131" t="s">
        <v>60</v>
      </c>
      <c r="BG80" s="126" t="s">
        <v>59</v>
      </c>
      <c r="BH80" s="127"/>
      <c r="BI80" s="128" t="s">
        <v>59</v>
      </c>
      <c r="BJ80" s="129" t="s">
        <v>59</v>
      </c>
      <c r="BK80" s="130"/>
      <c r="BL80" s="131" t="s">
        <v>59</v>
      </c>
      <c r="BM80" s="126" t="s">
        <v>59</v>
      </c>
      <c r="BN80" s="127"/>
      <c r="BO80" s="128" t="s">
        <v>59</v>
      </c>
    </row>
    <row r="81" customFormat="false" ht="15" hidden="false" customHeight="true" outlineLevel="0" collapsed="false">
      <c r="B81" s="133" t="s">
        <v>64</v>
      </c>
      <c r="C81" s="134" t="s">
        <v>65</v>
      </c>
      <c r="D81" s="134" t="s">
        <v>66</v>
      </c>
      <c r="E81" s="135"/>
      <c r="F81" s="136" t="s">
        <v>67</v>
      </c>
      <c r="G81" s="137"/>
      <c r="H81" s="46" t="n">
        <v>55.38</v>
      </c>
      <c r="I81" s="71" t="n">
        <f aca="false">AVERAGE(H81,J81)</f>
        <v>58.63</v>
      </c>
      <c r="J81" s="72" t="n">
        <v>61.88</v>
      </c>
      <c r="K81" s="55" t="s">
        <v>46</v>
      </c>
      <c r="L81" s="56"/>
      <c r="M81" s="57" t="s">
        <v>46</v>
      </c>
      <c r="N81" s="138" t="s">
        <v>46</v>
      </c>
      <c r="O81" s="74"/>
      <c r="P81" s="75" t="s">
        <v>46</v>
      </c>
      <c r="Q81" s="138" t="s">
        <v>46</v>
      </c>
      <c r="R81" s="74"/>
      <c r="S81" s="74" t="s">
        <v>46</v>
      </c>
      <c r="T81" s="55" t="n">
        <v>84</v>
      </c>
      <c r="U81" s="56" t="n">
        <f aca="false">AVERAGEA(V81,T81)</f>
        <v>87.7</v>
      </c>
      <c r="V81" s="57" t="n">
        <v>91.4</v>
      </c>
      <c r="W81" s="58" t="n">
        <v>50</v>
      </c>
      <c r="X81" s="139" t="n">
        <f aca="false">AVERAGEA(Y81, W81)</f>
        <v>32.5</v>
      </c>
      <c r="Y81" s="60" t="n">
        <v>15</v>
      </c>
      <c r="Z81" s="61" t="n">
        <v>0.83</v>
      </c>
      <c r="AA81" s="62" t="n">
        <f aca="false">AVERAGEA(AB81, Z81)</f>
        <v>6.415</v>
      </c>
      <c r="AB81" s="63" t="n">
        <v>12</v>
      </c>
      <c r="AC81" s="58" t="n">
        <v>0.83</v>
      </c>
      <c r="AD81" s="139" t="n">
        <f aca="false">AVERAGEA(AE81, AC81)</f>
        <v>6.415</v>
      </c>
      <c r="AE81" s="60" t="n">
        <v>12</v>
      </c>
      <c r="AF81" s="61" t="n">
        <v>0.25</v>
      </c>
      <c r="AG81" s="66" t="n">
        <f aca="false">AVERAGEA(AH81, AF81)</f>
        <v>3.125</v>
      </c>
      <c r="AH81" s="63" t="n">
        <v>6</v>
      </c>
      <c r="AI81" s="65" t="n">
        <v>0.5</v>
      </c>
      <c r="AJ81" s="66" t="n">
        <f aca="false">AVERAGEA(AK81, AI81)</f>
        <v>3.25</v>
      </c>
      <c r="AK81" s="63" t="n">
        <v>6</v>
      </c>
      <c r="AL81" s="58" t="n">
        <v>590</v>
      </c>
      <c r="AM81" s="59" t="n">
        <f aca="false">AVERAGEA(AN81, AL81)</f>
        <v>900</v>
      </c>
      <c r="AN81" s="60" t="n">
        <v>1210</v>
      </c>
      <c r="AO81" s="61" t="n">
        <v>17</v>
      </c>
      <c r="AP81" s="62" t="n">
        <f aca="false">AVERAGEA(AQ81, AO81)</f>
        <v>18.5</v>
      </c>
      <c r="AQ81" s="63" t="n">
        <v>20</v>
      </c>
      <c r="AR81" s="58" t="n">
        <v>1.3</v>
      </c>
      <c r="AS81" s="59" t="n">
        <f aca="false">AVERAGEA(AT81, AR81)</f>
        <v>3.15</v>
      </c>
      <c r="AT81" s="60" t="n">
        <v>5</v>
      </c>
      <c r="AU81" s="55" t="n">
        <v>1.5</v>
      </c>
      <c r="AV81" s="56" t="n">
        <f aca="false">AVERAGEA(AU81,AW81)</f>
        <v>13.85</v>
      </c>
      <c r="AW81" s="57" t="n">
        <v>26.2</v>
      </c>
      <c r="AX81" s="73" t="n">
        <v>1.5</v>
      </c>
      <c r="AY81" s="74" t="n">
        <f aca="false">AVERAGEA(AX81,AZ81)</f>
        <v>21.4</v>
      </c>
      <c r="AZ81" s="75" t="n">
        <v>41.3</v>
      </c>
      <c r="BA81" s="55" t="n">
        <v>3.5</v>
      </c>
      <c r="BB81" s="56" t="n">
        <f aca="false">AVERAGEA(BA81,BC81)</f>
        <v>39.725</v>
      </c>
      <c r="BC81" s="57" t="n">
        <v>75.95</v>
      </c>
      <c r="BD81" s="140" t="n">
        <v>0.25</v>
      </c>
      <c r="BE81" s="74" t="n">
        <f aca="false">AVERAGEA(BF81, BD81)</f>
        <v>0.375</v>
      </c>
      <c r="BF81" s="75" t="n">
        <v>0.5</v>
      </c>
      <c r="BG81" s="55" t="s">
        <v>59</v>
      </c>
      <c r="BH81" s="56"/>
      <c r="BI81" s="57" t="s">
        <v>59</v>
      </c>
      <c r="BJ81" s="73" t="s">
        <v>59</v>
      </c>
      <c r="BK81" s="74"/>
      <c r="BL81" s="75" t="s">
        <v>59</v>
      </c>
      <c r="BM81" s="55" t="s">
        <v>59</v>
      </c>
      <c r="BN81" s="56"/>
      <c r="BO81" s="57" t="s">
        <v>59</v>
      </c>
    </row>
    <row r="82" customFormat="false" ht="15" hidden="false" customHeight="true" outlineLevel="0" collapsed="false">
      <c r="B82" s="133"/>
      <c r="C82" s="134"/>
      <c r="D82" s="134"/>
      <c r="E82" s="135"/>
      <c r="F82" s="141" t="s">
        <v>68</v>
      </c>
      <c r="G82" s="137"/>
      <c r="H82" s="70" t="n">
        <v>52.88</v>
      </c>
      <c r="I82" s="71" t="n">
        <f aca="false">AVERAGE(H82,J82)</f>
        <v>54.125</v>
      </c>
      <c r="J82" s="72" t="n">
        <v>55.37</v>
      </c>
      <c r="K82" s="49" t="s">
        <v>46</v>
      </c>
      <c r="L82" s="50"/>
      <c r="M82" s="51" t="s">
        <v>46</v>
      </c>
      <c r="N82" s="52" t="s">
        <v>46</v>
      </c>
      <c r="O82" s="53"/>
      <c r="P82" s="54" t="s">
        <v>46</v>
      </c>
      <c r="Q82" s="52" t="s">
        <v>46</v>
      </c>
      <c r="R82" s="53"/>
      <c r="S82" s="53" t="s">
        <v>46</v>
      </c>
      <c r="T82" s="49" t="n">
        <v>84</v>
      </c>
      <c r="U82" s="50" t="n">
        <f aca="false">AVERAGEA(V82,T82)</f>
        <v>87.7</v>
      </c>
      <c r="V82" s="51" t="n">
        <v>91.4</v>
      </c>
      <c r="W82" s="95" t="n">
        <v>50</v>
      </c>
      <c r="X82" s="100" t="n">
        <f aca="false">AVERAGEA(Y82, W82)</f>
        <v>32.5</v>
      </c>
      <c r="Y82" s="54" t="n">
        <v>15</v>
      </c>
      <c r="Z82" s="142" t="n">
        <v>0.83</v>
      </c>
      <c r="AA82" s="56" t="n">
        <f aca="false">AVERAGEA(AB82, Z82)</f>
        <v>6.415</v>
      </c>
      <c r="AB82" s="57" t="n">
        <v>12</v>
      </c>
      <c r="AC82" s="73" t="n">
        <v>0.83</v>
      </c>
      <c r="AD82" s="100" t="n">
        <f aca="false">AVERAGEA(AE82, AC82)</f>
        <v>6.415</v>
      </c>
      <c r="AE82" s="75" t="n">
        <v>12</v>
      </c>
      <c r="AF82" s="55" t="n">
        <v>0.25</v>
      </c>
      <c r="AG82" s="77" t="n">
        <f aca="false">AVERAGEA(AH82, AF82)</f>
        <v>3.125</v>
      </c>
      <c r="AH82" s="57" t="n">
        <v>6</v>
      </c>
      <c r="AI82" s="76" t="n">
        <v>0.5</v>
      </c>
      <c r="AJ82" s="77" t="n">
        <f aca="false">AVERAGEA(AK82, AI82)</f>
        <v>3.25</v>
      </c>
      <c r="AK82" s="57" t="n">
        <v>6</v>
      </c>
      <c r="AL82" s="73" t="n">
        <v>590</v>
      </c>
      <c r="AM82" s="74" t="n">
        <f aca="false">AVERAGEA(AN82, AL82)</f>
        <v>900</v>
      </c>
      <c r="AN82" s="75" t="n">
        <v>1210</v>
      </c>
      <c r="AO82" s="55" t="n">
        <v>17</v>
      </c>
      <c r="AP82" s="56" t="n">
        <f aca="false">AVERAGEA(AQ82, AO82)</f>
        <v>18.5</v>
      </c>
      <c r="AQ82" s="57" t="n">
        <v>20</v>
      </c>
      <c r="AR82" s="73" t="n">
        <v>1.3</v>
      </c>
      <c r="AS82" s="74" t="n">
        <f aca="false">AVERAGEA(AT82, AR82)</f>
        <v>3.15</v>
      </c>
      <c r="AT82" s="75" t="n">
        <v>5</v>
      </c>
      <c r="AU82" s="49" t="n">
        <v>1.5</v>
      </c>
      <c r="AV82" s="50" t="n">
        <f aca="false">AVERAGEA(AU82,AW82)</f>
        <v>13.85</v>
      </c>
      <c r="AW82" s="51" t="n">
        <v>26.2</v>
      </c>
      <c r="AX82" s="78" t="n">
        <v>1.5</v>
      </c>
      <c r="AY82" s="53" t="n">
        <f aca="false">AVERAGEA(AX82,AZ82)</f>
        <v>21.4</v>
      </c>
      <c r="AZ82" s="54" t="n">
        <v>41.3</v>
      </c>
      <c r="BA82" s="49" t="n">
        <v>3.5</v>
      </c>
      <c r="BB82" s="50" t="n">
        <f aca="false">AVERAGEA(BA82,BC82)</f>
        <v>39.725</v>
      </c>
      <c r="BC82" s="51" t="n">
        <v>75.95</v>
      </c>
      <c r="BD82" s="78" t="n">
        <v>0.25</v>
      </c>
      <c r="BE82" s="53" t="n">
        <f aca="false">AVERAGEA(BF82, BD82)</f>
        <v>0.375</v>
      </c>
      <c r="BF82" s="54" t="n">
        <v>0.5</v>
      </c>
      <c r="BG82" s="49" t="s">
        <v>59</v>
      </c>
      <c r="BH82" s="50"/>
      <c r="BI82" s="51" t="s">
        <v>59</v>
      </c>
      <c r="BJ82" s="78" t="s">
        <v>59</v>
      </c>
      <c r="BK82" s="53"/>
      <c r="BL82" s="54" t="s">
        <v>59</v>
      </c>
      <c r="BM82" s="49" t="s">
        <v>59</v>
      </c>
      <c r="BN82" s="50"/>
      <c r="BO82" s="51" t="s">
        <v>59</v>
      </c>
    </row>
    <row r="83" customFormat="false" ht="15" hidden="false" customHeight="true" outlineLevel="0" collapsed="false">
      <c r="B83" s="133"/>
      <c r="C83" s="134"/>
      <c r="D83" s="134"/>
      <c r="E83" s="135"/>
      <c r="F83" s="141" t="s">
        <v>69</v>
      </c>
      <c r="G83" s="137"/>
      <c r="H83" s="70" t="n">
        <v>51.97</v>
      </c>
      <c r="I83" s="71" t="n">
        <f aca="false">AVERAGE(H83,J83)</f>
        <v>52.42</v>
      </c>
      <c r="J83" s="72" t="n">
        <v>52.87</v>
      </c>
      <c r="K83" s="49" t="s">
        <v>46</v>
      </c>
      <c r="L83" s="50"/>
      <c r="M83" s="51" t="s">
        <v>46</v>
      </c>
      <c r="N83" s="52" t="s">
        <v>46</v>
      </c>
      <c r="O83" s="53"/>
      <c r="P83" s="54" t="s">
        <v>46</v>
      </c>
      <c r="Q83" s="52" t="s">
        <v>46</v>
      </c>
      <c r="R83" s="53"/>
      <c r="S83" s="53" t="s">
        <v>46</v>
      </c>
      <c r="T83" s="49" t="n">
        <v>84</v>
      </c>
      <c r="U83" s="50" t="n">
        <f aca="false">AVERAGEA(V83,T83)</f>
        <v>87.7</v>
      </c>
      <c r="V83" s="51" t="n">
        <v>91.4</v>
      </c>
      <c r="W83" s="95" t="n">
        <v>50</v>
      </c>
      <c r="X83" s="100" t="n">
        <f aca="false">AVERAGEA(Y83, W83)</f>
        <v>32.5</v>
      </c>
      <c r="Y83" s="54" t="n">
        <v>15</v>
      </c>
      <c r="Z83" s="142" t="n">
        <v>0.83</v>
      </c>
      <c r="AA83" s="56" t="n">
        <f aca="false">AVERAGEA(AB83, Z83)</f>
        <v>6.415</v>
      </c>
      <c r="AB83" s="57" t="n">
        <v>12</v>
      </c>
      <c r="AC83" s="73" t="n">
        <v>0.83</v>
      </c>
      <c r="AD83" s="100" t="n">
        <f aca="false">AVERAGEA(AE83, AC83)</f>
        <v>6.415</v>
      </c>
      <c r="AE83" s="75" t="n">
        <v>12</v>
      </c>
      <c r="AF83" s="55" t="n">
        <v>0.25</v>
      </c>
      <c r="AG83" s="77" t="n">
        <f aca="false">AVERAGEA(AH83, AF83)</f>
        <v>3.125</v>
      </c>
      <c r="AH83" s="57" t="n">
        <v>6</v>
      </c>
      <c r="AI83" s="76" t="n">
        <v>0.5</v>
      </c>
      <c r="AJ83" s="77" t="n">
        <f aca="false">AVERAGEA(AK83, AI83)</f>
        <v>3.25</v>
      </c>
      <c r="AK83" s="57" t="n">
        <v>6</v>
      </c>
      <c r="AL83" s="73" t="n">
        <v>590</v>
      </c>
      <c r="AM83" s="74" t="n">
        <f aca="false">AVERAGEA(AN83, AL83)</f>
        <v>900</v>
      </c>
      <c r="AN83" s="75" t="n">
        <v>1210</v>
      </c>
      <c r="AO83" s="55" t="n">
        <v>17</v>
      </c>
      <c r="AP83" s="56" t="n">
        <f aca="false">AVERAGEA(AQ83, AO83)</f>
        <v>18.5</v>
      </c>
      <c r="AQ83" s="57" t="n">
        <v>20</v>
      </c>
      <c r="AR83" s="73" t="n">
        <v>1.3</v>
      </c>
      <c r="AS83" s="74" t="n">
        <f aca="false">AVERAGEA(AT83, AR83)</f>
        <v>3.15</v>
      </c>
      <c r="AT83" s="75" t="n">
        <v>5</v>
      </c>
      <c r="AU83" s="49" t="n">
        <v>1.5</v>
      </c>
      <c r="AV83" s="50" t="n">
        <f aca="false">AVERAGEA(AU83,AW83)</f>
        <v>13.85</v>
      </c>
      <c r="AW83" s="51" t="n">
        <v>26.2</v>
      </c>
      <c r="AX83" s="78" t="n">
        <v>1.5</v>
      </c>
      <c r="AY83" s="53" t="n">
        <f aca="false">AVERAGEA(AX83,AZ83)</f>
        <v>21.4</v>
      </c>
      <c r="AZ83" s="54" t="n">
        <v>41.3</v>
      </c>
      <c r="BA83" s="49" t="n">
        <v>3.5</v>
      </c>
      <c r="BB83" s="50" t="n">
        <f aca="false">AVERAGEA(BA83,BC83)</f>
        <v>39.725</v>
      </c>
      <c r="BC83" s="51" t="n">
        <v>75.95</v>
      </c>
      <c r="BD83" s="78" t="n">
        <v>0.25</v>
      </c>
      <c r="BE83" s="53" t="n">
        <f aca="false">AVERAGEA(BF83, BD83)</f>
        <v>0.375</v>
      </c>
      <c r="BF83" s="54" t="n">
        <v>0.5</v>
      </c>
      <c r="BG83" s="49" t="s">
        <v>59</v>
      </c>
      <c r="BH83" s="50"/>
      <c r="BI83" s="51" t="s">
        <v>59</v>
      </c>
      <c r="BJ83" s="78" t="s">
        <v>59</v>
      </c>
      <c r="BK83" s="53"/>
      <c r="BL83" s="54" t="s">
        <v>59</v>
      </c>
      <c r="BM83" s="49" t="s">
        <v>59</v>
      </c>
      <c r="BN83" s="50"/>
      <c r="BO83" s="51" t="s">
        <v>59</v>
      </c>
    </row>
    <row r="84" customFormat="false" ht="15" hidden="false" customHeight="true" outlineLevel="0" collapsed="false">
      <c r="B84" s="133"/>
      <c r="C84" s="134"/>
      <c r="D84" s="134"/>
      <c r="E84" s="135"/>
      <c r="F84" s="141" t="s">
        <v>70</v>
      </c>
      <c r="G84" s="137"/>
      <c r="H84" s="70" t="n">
        <v>51.89</v>
      </c>
      <c r="I84" s="71" t="n">
        <f aca="false">AVERAGE(H84,J84)</f>
        <v>51.925</v>
      </c>
      <c r="J84" s="72" t="n">
        <v>51.96</v>
      </c>
      <c r="K84" s="49" t="s">
        <v>46</v>
      </c>
      <c r="L84" s="50"/>
      <c r="M84" s="51" t="s">
        <v>46</v>
      </c>
      <c r="N84" s="52" t="s">
        <v>46</v>
      </c>
      <c r="O84" s="53"/>
      <c r="P84" s="54" t="s">
        <v>46</v>
      </c>
      <c r="Q84" s="52" t="s">
        <v>46</v>
      </c>
      <c r="R84" s="53"/>
      <c r="S84" s="53" t="s">
        <v>46</v>
      </c>
      <c r="T84" s="49" t="n">
        <v>84</v>
      </c>
      <c r="U84" s="50" t="n">
        <f aca="false">AVERAGEA(V84,T84)</f>
        <v>87.7</v>
      </c>
      <c r="V84" s="51" t="n">
        <v>91.4</v>
      </c>
      <c r="W84" s="95" t="n">
        <v>50</v>
      </c>
      <c r="X84" s="100" t="n">
        <f aca="false">AVERAGEA(Y84, W84)</f>
        <v>32.5</v>
      </c>
      <c r="Y84" s="54" t="n">
        <v>15</v>
      </c>
      <c r="Z84" s="142" t="n">
        <v>0.83</v>
      </c>
      <c r="AA84" s="56" t="n">
        <f aca="false">AVERAGEA(AB84, Z84)</f>
        <v>6.415</v>
      </c>
      <c r="AB84" s="57" t="n">
        <v>12</v>
      </c>
      <c r="AC84" s="73" t="n">
        <v>0.83</v>
      </c>
      <c r="AD84" s="100" t="n">
        <f aca="false">AVERAGEA(AE84, AC84)</f>
        <v>6.415</v>
      </c>
      <c r="AE84" s="75" t="n">
        <v>12</v>
      </c>
      <c r="AF84" s="55" t="n">
        <v>0.25</v>
      </c>
      <c r="AG84" s="77" t="n">
        <f aca="false">AVERAGEA(AH84, AF84)</f>
        <v>3.125</v>
      </c>
      <c r="AH84" s="57" t="n">
        <v>6</v>
      </c>
      <c r="AI84" s="76" t="n">
        <v>0.5</v>
      </c>
      <c r="AJ84" s="77" t="n">
        <f aca="false">AVERAGEA(AK84, AI84)</f>
        <v>3.25</v>
      </c>
      <c r="AK84" s="57" t="n">
        <v>6</v>
      </c>
      <c r="AL84" s="73" t="n">
        <v>590</v>
      </c>
      <c r="AM84" s="74" t="n">
        <f aca="false">AVERAGEA(AN84, AL84)</f>
        <v>900</v>
      </c>
      <c r="AN84" s="75" t="n">
        <v>1210</v>
      </c>
      <c r="AO84" s="55" t="n">
        <v>17</v>
      </c>
      <c r="AP84" s="56" t="n">
        <f aca="false">AVERAGEA(AQ84, AO84)</f>
        <v>18.5</v>
      </c>
      <c r="AQ84" s="57" t="n">
        <v>20</v>
      </c>
      <c r="AR84" s="73" t="n">
        <v>1.3</v>
      </c>
      <c r="AS84" s="74" t="n">
        <f aca="false">AVERAGEA(AT84, AR84)</f>
        <v>3.15</v>
      </c>
      <c r="AT84" s="75" t="n">
        <v>5</v>
      </c>
      <c r="AU84" s="49" t="n">
        <v>1.5</v>
      </c>
      <c r="AV84" s="50" t="n">
        <f aca="false">AVERAGEA(AU84,AW84)</f>
        <v>13.85</v>
      </c>
      <c r="AW84" s="51" t="n">
        <v>26.2</v>
      </c>
      <c r="AX84" s="78" t="n">
        <v>1.5</v>
      </c>
      <c r="AY84" s="53" t="n">
        <f aca="false">AVERAGEA(AX84,AZ84)</f>
        <v>21.4</v>
      </c>
      <c r="AZ84" s="54" t="n">
        <v>41.3</v>
      </c>
      <c r="BA84" s="49" t="n">
        <v>3.5</v>
      </c>
      <c r="BB84" s="50" t="n">
        <f aca="false">AVERAGEA(BA84,BC84)</f>
        <v>39.725</v>
      </c>
      <c r="BC84" s="51" t="n">
        <v>75.95</v>
      </c>
      <c r="BD84" s="78" t="n">
        <v>0.25</v>
      </c>
      <c r="BE84" s="53" t="n">
        <f aca="false">AVERAGEA(BF84, BD84)</f>
        <v>0.375</v>
      </c>
      <c r="BF84" s="54" t="n">
        <v>0.5</v>
      </c>
      <c r="BG84" s="49" t="s">
        <v>59</v>
      </c>
      <c r="BH84" s="50"/>
      <c r="BI84" s="51" t="s">
        <v>59</v>
      </c>
      <c r="BJ84" s="78" t="s">
        <v>59</v>
      </c>
      <c r="BK84" s="53"/>
      <c r="BL84" s="54" t="s">
        <v>59</v>
      </c>
      <c r="BM84" s="49" t="s">
        <v>59</v>
      </c>
      <c r="BN84" s="50"/>
      <c r="BO84" s="51" t="s">
        <v>59</v>
      </c>
    </row>
    <row r="85" customFormat="false" ht="15" hidden="false" customHeight="true" outlineLevel="0" collapsed="false">
      <c r="B85" s="133"/>
      <c r="C85" s="134" t="s">
        <v>65</v>
      </c>
      <c r="D85" s="143" t="s">
        <v>71</v>
      </c>
      <c r="E85" s="144" t="s">
        <v>72</v>
      </c>
      <c r="F85" s="145" t="s">
        <v>67</v>
      </c>
      <c r="G85" s="146" t="s">
        <v>73</v>
      </c>
      <c r="H85" s="82" t="n">
        <v>53.39</v>
      </c>
      <c r="I85" s="71" t="n">
        <f aca="false">AVERAGE(H85,J85)</f>
        <v>55.34</v>
      </c>
      <c r="J85" s="83" t="n">
        <v>57.29</v>
      </c>
      <c r="K85" s="49" t="s">
        <v>46</v>
      </c>
      <c r="L85" s="50"/>
      <c r="M85" s="51" t="s">
        <v>46</v>
      </c>
      <c r="N85" s="52" t="s">
        <v>46</v>
      </c>
      <c r="O85" s="53"/>
      <c r="P85" s="54" t="s">
        <v>46</v>
      </c>
      <c r="Q85" s="52" t="s">
        <v>46</v>
      </c>
      <c r="R85" s="53"/>
      <c r="S85" s="53" t="s">
        <v>46</v>
      </c>
      <c r="T85" s="49" t="n">
        <v>84</v>
      </c>
      <c r="U85" s="50" t="n">
        <f aca="false">AVERAGEA(V85,T85)</f>
        <v>87.7</v>
      </c>
      <c r="V85" s="51" t="n">
        <v>91.4</v>
      </c>
      <c r="W85" s="95" t="n">
        <v>60</v>
      </c>
      <c r="X85" s="100" t="n">
        <f aca="false">AVERAGEA(Y85, W85)</f>
        <v>37.5</v>
      </c>
      <c r="Y85" s="54" t="n">
        <v>15</v>
      </c>
      <c r="Z85" s="147" t="n">
        <v>0.83</v>
      </c>
      <c r="AA85" s="50" t="n">
        <f aca="false">AVERAGEA(AB85, Z85)</f>
        <v>6.415</v>
      </c>
      <c r="AB85" s="57" t="n">
        <v>12</v>
      </c>
      <c r="AC85" s="78" t="n">
        <v>0.83</v>
      </c>
      <c r="AD85" s="100" t="n">
        <f aca="false">AVERAGEA(AE85, AC85)</f>
        <v>6.415</v>
      </c>
      <c r="AE85" s="54" t="n">
        <v>12</v>
      </c>
      <c r="AF85" s="49" t="n">
        <v>0.25</v>
      </c>
      <c r="AG85" s="77" t="n">
        <f aca="false">AVERAGEA(AH85, AF85)</f>
        <v>2.125</v>
      </c>
      <c r="AH85" s="51" t="n">
        <v>4</v>
      </c>
      <c r="AI85" s="84" t="n">
        <v>0.5</v>
      </c>
      <c r="AJ85" s="77" t="n">
        <f aca="false">AVERAGEA(AK85, AI85)</f>
        <v>3.25</v>
      </c>
      <c r="AK85" s="51" t="n">
        <v>6</v>
      </c>
      <c r="AL85" s="78" t="n">
        <v>590</v>
      </c>
      <c r="AM85" s="53" t="n">
        <f aca="false">AVERAGEA(AN85, AL85)</f>
        <v>781</v>
      </c>
      <c r="AN85" s="54" t="n">
        <v>972</v>
      </c>
      <c r="AO85" s="49" t="n">
        <v>15.6</v>
      </c>
      <c r="AP85" s="50" t="n">
        <f aca="false">AVERAGEA(AQ85, AO85)</f>
        <v>15.6</v>
      </c>
      <c r="AQ85" s="51" t="n">
        <v>15.6</v>
      </c>
      <c r="AR85" s="78" t="n">
        <v>2.1</v>
      </c>
      <c r="AS85" s="53" t="n">
        <f aca="false">AVERAGEA(AT85, AR85)</f>
        <v>3.55</v>
      </c>
      <c r="AT85" s="54" t="n">
        <v>5</v>
      </c>
      <c r="AU85" s="49" t="n">
        <v>1.5</v>
      </c>
      <c r="AV85" s="50" t="n">
        <f aca="false">AVERAGEA(AU85,AW85)</f>
        <v>13.85</v>
      </c>
      <c r="AW85" s="51" t="n">
        <v>26.2</v>
      </c>
      <c r="AX85" s="78" t="n">
        <v>1.5</v>
      </c>
      <c r="AY85" s="53" t="n">
        <f aca="false">AVERAGEA(AX85,AZ85)</f>
        <v>21.4</v>
      </c>
      <c r="AZ85" s="54" t="n">
        <v>41.3</v>
      </c>
      <c r="BA85" s="49" t="n">
        <v>3.5</v>
      </c>
      <c r="BB85" s="50" t="n">
        <f aca="false">AVERAGEA(BA85,BC85)</f>
        <v>39.725</v>
      </c>
      <c r="BC85" s="51" t="n">
        <v>75.95</v>
      </c>
      <c r="BD85" s="78" t="n">
        <v>0.25</v>
      </c>
      <c r="BE85" s="53" t="n">
        <f aca="false">AVERAGEA(BF85, BD85)</f>
        <v>0.375</v>
      </c>
      <c r="BF85" s="54" t="n">
        <v>0.5</v>
      </c>
      <c r="BG85" s="49" t="n">
        <v>30</v>
      </c>
      <c r="BH85" s="50" t="n">
        <f aca="false">AVERAGEA(BG85,BI85)</f>
        <v>60</v>
      </c>
      <c r="BI85" s="51" t="n">
        <v>90</v>
      </c>
      <c r="BJ85" s="78" t="n">
        <v>1</v>
      </c>
      <c r="BK85" s="53" t="n">
        <f aca="false">AVERAGEA(BJ85,BL85)</f>
        <v>2.5</v>
      </c>
      <c r="BL85" s="54" t="n">
        <v>4</v>
      </c>
      <c r="BM85" s="49" t="n">
        <v>2</v>
      </c>
      <c r="BN85" s="50" t="n">
        <f aca="false">AVERAGEA(BM85,BO85)</f>
        <v>3.5</v>
      </c>
      <c r="BO85" s="51" t="n">
        <v>5</v>
      </c>
    </row>
    <row r="86" customFormat="false" ht="15" hidden="false" customHeight="true" outlineLevel="0" collapsed="false">
      <c r="B86" s="133"/>
      <c r="C86" s="134"/>
      <c r="D86" s="143"/>
      <c r="E86" s="144"/>
      <c r="F86" s="145" t="s">
        <v>68</v>
      </c>
      <c r="G86" s="146"/>
      <c r="H86" s="82" t="n">
        <v>51.89</v>
      </c>
      <c r="I86" s="71" t="n">
        <f aca="false">AVERAGE(H86,J86)</f>
        <v>52.637</v>
      </c>
      <c r="J86" s="83" t="n">
        <v>53.384</v>
      </c>
      <c r="K86" s="49" t="s">
        <v>46</v>
      </c>
      <c r="L86" s="50"/>
      <c r="M86" s="51" t="s">
        <v>46</v>
      </c>
      <c r="N86" s="52" t="s">
        <v>46</v>
      </c>
      <c r="O86" s="53"/>
      <c r="P86" s="54" t="s">
        <v>46</v>
      </c>
      <c r="Q86" s="52" t="s">
        <v>46</v>
      </c>
      <c r="R86" s="53"/>
      <c r="S86" s="53" t="s">
        <v>46</v>
      </c>
      <c r="T86" s="49" t="n">
        <v>84</v>
      </c>
      <c r="U86" s="50" t="n">
        <f aca="false">AVERAGEA(V86,T86)</f>
        <v>87.7</v>
      </c>
      <c r="V86" s="51" t="n">
        <v>91.4</v>
      </c>
      <c r="W86" s="95" t="n">
        <v>60</v>
      </c>
      <c r="X86" s="100" t="n">
        <f aca="false">AVERAGEA(Y86, W86)</f>
        <v>37.5</v>
      </c>
      <c r="Y86" s="54" t="n">
        <v>15</v>
      </c>
      <c r="Z86" s="147" t="n">
        <v>0.83</v>
      </c>
      <c r="AA86" s="50" t="n">
        <f aca="false">AVERAGEA(AB86, Z86)</f>
        <v>6.415</v>
      </c>
      <c r="AB86" s="57" t="n">
        <v>12</v>
      </c>
      <c r="AC86" s="78" t="n">
        <v>0.83</v>
      </c>
      <c r="AD86" s="100" t="n">
        <f aca="false">AVERAGEA(AE86, AC86)</f>
        <v>6.415</v>
      </c>
      <c r="AE86" s="54" t="n">
        <v>12</v>
      </c>
      <c r="AF86" s="49" t="n">
        <v>0.25</v>
      </c>
      <c r="AG86" s="77" t="n">
        <f aca="false">AVERAGEA(AH86, AF86)</f>
        <v>2.125</v>
      </c>
      <c r="AH86" s="51" t="n">
        <v>4</v>
      </c>
      <c r="AI86" s="84" t="n">
        <v>0.5</v>
      </c>
      <c r="AJ86" s="77" t="n">
        <f aca="false">AVERAGEA(AK86, AI86)</f>
        <v>3.25</v>
      </c>
      <c r="AK86" s="51" t="n">
        <v>6</v>
      </c>
      <c r="AL86" s="78" t="n">
        <v>590</v>
      </c>
      <c r="AM86" s="53" t="n">
        <f aca="false">AVERAGEA(AN86, AL86)</f>
        <v>781</v>
      </c>
      <c r="AN86" s="54" t="n">
        <v>972</v>
      </c>
      <c r="AO86" s="49" t="n">
        <v>15.6</v>
      </c>
      <c r="AP86" s="50" t="n">
        <f aca="false">AVERAGEA(AQ86, AO86)</f>
        <v>15.6</v>
      </c>
      <c r="AQ86" s="51" t="n">
        <v>15.6</v>
      </c>
      <c r="AR86" s="78" t="n">
        <v>2.1</v>
      </c>
      <c r="AS86" s="53" t="n">
        <f aca="false">AVERAGEA(AT86, AR86)</f>
        <v>3.55</v>
      </c>
      <c r="AT86" s="54" t="n">
        <v>5</v>
      </c>
      <c r="AU86" s="49" t="n">
        <v>1.5</v>
      </c>
      <c r="AV86" s="50" t="n">
        <f aca="false">AVERAGEA(AU86,AW86)</f>
        <v>13.85</v>
      </c>
      <c r="AW86" s="51" t="n">
        <v>26.2</v>
      </c>
      <c r="AX86" s="78" t="n">
        <v>1.5</v>
      </c>
      <c r="AY86" s="53" t="n">
        <f aca="false">AVERAGEA(AX86,AZ86)</f>
        <v>21.4</v>
      </c>
      <c r="AZ86" s="54" t="n">
        <v>41.3</v>
      </c>
      <c r="BA86" s="49" t="n">
        <v>3.5</v>
      </c>
      <c r="BB86" s="50" t="n">
        <f aca="false">AVERAGEA(BA86,BC86)</f>
        <v>39.725</v>
      </c>
      <c r="BC86" s="51" t="n">
        <v>75.95</v>
      </c>
      <c r="BD86" s="78" t="n">
        <v>0.25</v>
      </c>
      <c r="BE86" s="53" t="n">
        <f aca="false">AVERAGEA(BF86, BD86)</f>
        <v>0.375</v>
      </c>
      <c r="BF86" s="54" t="n">
        <v>0.5</v>
      </c>
      <c r="BG86" s="49" t="n">
        <v>30</v>
      </c>
      <c r="BH86" s="50" t="n">
        <f aca="false">AVERAGEA(BG86,BI86)</f>
        <v>60</v>
      </c>
      <c r="BI86" s="51" t="n">
        <v>90</v>
      </c>
      <c r="BJ86" s="78" t="n">
        <v>1</v>
      </c>
      <c r="BK86" s="53" t="n">
        <f aca="false">AVERAGEA(BJ86,BL86)</f>
        <v>2.5</v>
      </c>
      <c r="BL86" s="54" t="n">
        <v>4</v>
      </c>
      <c r="BM86" s="49" t="n">
        <v>2</v>
      </c>
      <c r="BN86" s="50" t="n">
        <f aca="false">AVERAGEA(BM86,BO86)</f>
        <v>3.5</v>
      </c>
      <c r="BO86" s="51" t="n">
        <v>5</v>
      </c>
    </row>
    <row r="87" customFormat="false" ht="15" hidden="false" customHeight="true" outlineLevel="0" collapsed="false">
      <c r="B87" s="133"/>
      <c r="C87" s="134"/>
      <c r="D87" s="143"/>
      <c r="E87" s="144"/>
      <c r="F87" s="145" t="s">
        <v>69</v>
      </c>
      <c r="G87" s="146"/>
      <c r="H87" s="82" t="n">
        <v>51.344</v>
      </c>
      <c r="I87" s="71" t="n">
        <f aca="false">AVERAGE(H87,J87)</f>
        <v>51.614</v>
      </c>
      <c r="J87" s="83" t="n">
        <v>51.884</v>
      </c>
      <c r="K87" s="49" t="s">
        <v>46</v>
      </c>
      <c r="L87" s="50"/>
      <c r="M87" s="51" t="s">
        <v>46</v>
      </c>
      <c r="N87" s="52" t="s">
        <v>46</v>
      </c>
      <c r="O87" s="53"/>
      <c r="P87" s="54" t="s">
        <v>46</v>
      </c>
      <c r="Q87" s="52" t="s">
        <v>46</v>
      </c>
      <c r="R87" s="53"/>
      <c r="S87" s="53" t="s">
        <v>46</v>
      </c>
      <c r="T87" s="49" t="n">
        <v>84</v>
      </c>
      <c r="U87" s="50" t="n">
        <f aca="false">AVERAGEA(V87,T87)</f>
        <v>87.7</v>
      </c>
      <c r="V87" s="51" t="n">
        <v>91.4</v>
      </c>
      <c r="W87" s="95" t="n">
        <v>60</v>
      </c>
      <c r="X87" s="100" t="n">
        <f aca="false">AVERAGEA(Y87, W87)</f>
        <v>37.5</v>
      </c>
      <c r="Y87" s="54" t="n">
        <v>15</v>
      </c>
      <c r="Z87" s="147" t="n">
        <v>0.83</v>
      </c>
      <c r="AA87" s="50" t="n">
        <f aca="false">AVERAGEA(AB87, Z87)</f>
        <v>6.415</v>
      </c>
      <c r="AB87" s="57" t="n">
        <v>12</v>
      </c>
      <c r="AC87" s="78" t="n">
        <v>0.83</v>
      </c>
      <c r="AD87" s="100" t="n">
        <f aca="false">AVERAGEA(AE87, AC87)</f>
        <v>6.415</v>
      </c>
      <c r="AE87" s="54" t="n">
        <v>12</v>
      </c>
      <c r="AF87" s="49" t="n">
        <v>0.25</v>
      </c>
      <c r="AG87" s="77" t="n">
        <f aca="false">AVERAGEA(AH87, AF87)</f>
        <v>2.125</v>
      </c>
      <c r="AH87" s="51" t="n">
        <v>4</v>
      </c>
      <c r="AI87" s="84" t="n">
        <v>0.5</v>
      </c>
      <c r="AJ87" s="77" t="n">
        <f aca="false">AVERAGEA(AK87, AI87)</f>
        <v>3.25</v>
      </c>
      <c r="AK87" s="51" t="n">
        <v>6</v>
      </c>
      <c r="AL87" s="78" t="n">
        <v>590</v>
      </c>
      <c r="AM87" s="53" t="n">
        <f aca="false">AVERAGEA(AN87, AL87)</f>
        <v>781</v>
      </c>
      <c r="AN87" s="54" t="n">
        <v>972</v>
      </c>
      <c r="AO87" s="49" t="n">
        <v>15.6</v>
      </c>
      <c r="AP87" s="50" t="n">
        <f aca="false">AVERAGEA(AQ87, AO87)</f>
        <v>15.6</v>
      </c>
      <c r="AQ87" s="51" t="n">
        <v>15.6</v>
      </c>
      <c r="AR87" s="78" t="n">
        <v>2.1</v>
      </c>
      <c r="AS87" s="53" t="n">
        <f aca="false">AVERAGEA(AT87, AR87)</f>
        <v>3.55</v>
      </c>
      <c r="AT87" s="54" t="n">
        <v>5</v>
      </c>
      <c r="AU87" s="49" t="n">
        <v>1.5</v>
      </c>
      <c r="AV87" s="50" t="n">
        <f aca="false">AVERAGEA(AU87,AW87)</f>
        <v>13.85</v>
      </c>
      <c r="AW87" s="51" t="n">
        <v>26.2</v>
      </c>
      <c r="AX87" s="78" t="n">
        <v>1.5</v>
      </c>
      <c r="AY87" s="53" t="n">
        <f aca="false">AVERAGEA(AX87,AZ87)</f>
        <v>21.4</v>
      </c>
      <c r="AZ87" s="54" t="n">
        <v>41.3</v>
      </c>
      <c r="BA87" s="49" t="n">
        <v>3.5</v>
      </c>
      <c r="BB87" s="50" t="n">
        <f aca="false">AVERAGEA(BA87,BC87)</f>
        <v>39.725</v>
      </c>
      <c r="BC87" s="51" t="n">
        <v>75.95</v>
      </c>
      <c r="BD87" s="78" t="n">
        <v>0.25</v>
      </c>
      <c r="BE87" s="53" t="n">
        <f aca="false">AVERAGEA(BF87, BD87)</f>
        <v>0.375</v>
      </c>
      <c r="BF87" s="54" t="n">
        <v>0.5</v>
      </c>
      <c r="BG87" s="49" t="n">
        <v>30</v>
      </c>
      <c r="BH87" s="50" t="n">
        <f aca="false">AVERAGEA(BG87,BI87)</f>
        <v>60</v>
      </c>
      <c r="BI87" s="51" t="n">
        <v>90</v>
      </c>
      <c r="BJ87" s="78" t="n">
        <v>1</v>
      </c>
      <c r="BK87" s="53" t="n">
        <f aca="false">AVERAGEA(BJ87,BL87)</f>
        <v>2.5</v>
      </c>
      <c r="BL87" s="54" t="n">
        <v>4</v>
      </c>
      <c r="BM87" s="49" t="n">
        <v>2</v>
      </c>
      <c r="BN87" s="50" t="n">
        <f aca="false">AVERAGEA(BM87,BO87)</f>
        <v>3.5</v>
      </c>
      <c r="BO87" s="51" t="n">
        <v>5</v>
      </c>
    </row>
    <row r="88" customFormat="false" ht="15" hidden="false" customHeight="true" outlineLevel="0" collapsed="false">
      <c r="B88" s="133"/>
      <c r="C88" s="134"/>
      <c r="D88" s="143"/>
      <c r="E88" s="144"/>
      <c r="F88" s="145" t="s">
        <v>70</v>
      </c>
      <c r="G88" s="146"/>
      <c r="H88" s="82" t="n">
        <v>51.296</v>
      </c>
      <c r="I88" s="71" t="n">
        <f aca="false">AVERAGE(H88,J88)</f>
        <v>51.317</v>
      </c>
      <c r="J88" s="83" t="n">
        <v>51.338</v>
      </c>
      <c r="K88" s="49" t="s">
        <v>46</v>
      </c>
      <c r="L88" s="50"/>
      <c r="M88" s="51" t="s">
        <v>46</v>
      </c>
      <c r="N88" s="52" t="s">
        <v>46</v>
      </c>
      <c r="O88" s="53"/>
      <c r="P88" s="54" t="s">
        <v>46</v>
      </c>
      <c r="Q88" s="52" t="s">
        <v>46</v>
      </c>
      <c r="R88" s="53"/>
      <c r="S88" s="53" t="s">
        <v>46</v>
      </c>
      <c r="T88" s="49" t="n">
        <v>84</v>
      </c>
      <c r="U88" s="50" t="n">
        <f aca="false">AVERAGEA(V88,T88)</f>
        <v>87.7</v>
      </c>
      <c r="V88" s="51" t="n">
        <v>91.4</v>
      </c>
      <c r="W88" s="95" t="n">
        <v>60</v>
      </c>
      <c r="X88" s="100" t="n">
        <f aca="false">AVERAGEA(Y88, W88)</f>
        <v>37.5</v>
      </c>
      <c r="Y88" s="54" t="n">
        <v>15</v>
      </c>
      <c r="Z88" s="147" t="n">
        <v>0.83</v>
      </c>
      <c r="AA88" s="50" t="n">
        <f aca="false">AVERAGEA(AB88, Z88)</f>
        <v>6.415</v>
      </c>
      <c r="AB88" s="57" t="n">
        <v>12</v>
      </c>
      <c r="AC88" s="78" t="n">
        <v>0.83</v>
      </c>
      <c r="AD88" s="100" t="n">
        <f aca="false">AVERAGEA(AE88, AC88)</f>
        <v>6.415</v>
      </c>
      <c r="AE88" s="54" t="n">
        <v>12</v>
      </c>
      <c r="AF88" s="49" t="n">
        <v>0.25</v>
      </c>
      <c r="AG88" s="77" t="n">
        <f aca="false">AVERAGEA(AH88, AF88)</f>
        <v>2.125</v>
      </c>
      <c r="AH88" s="51" t="n">
        <v>4</v>
      </c>
      <c r="AI88" s="84" t="n">
        <v>0.5</v>
      </c>
      <c r="AJ88" s="77" t="n">
        <f aca="false">AVERAGEA(AK88, AI88)</f>
        <v>3.25</v>
      </c>
      <c r="AK88" s="51" t="n">
        <v>6</v>
      </c>
      <c r="AL88" s="78" t="n">
        <v>590</v>
      </c>
      <c r="AM88" s="53" t="n">
        <f aca="false">AVERAGEA(AN88, AL88)</f>
        <v>781</v>
      </c>
      <c r="AN88" s="54" t="n">
        <v>972</v>
      </c>
      <c r="AO88" s="49" t="n">
        <v>15.6</v>
      </c>
      <c r="AP88" s="50" t="n">
        <f aca="false">AVERAGEA(AQ88, AO88)</f>
        <v>15.6</v>
      </c>
      <c r="AQ88" s="51" t="n">
        <v>15.6</v>
      </c>
      <c r="AR88" s="78" t="n">
        <v>2.1</v>
      </c>
      <c r="AS88" s="53" t="n">
        <f aca="false">AVERAGEA(AT88, AR88)</f>
        <v>3.55</v>
      </c>
      <c r="AT88" s="54" t="n">
        <v>5</v>
      </c>
      <c r="AU88" s="49" t="n">
        <v>1.5</v>
      </c>
      <c r="AV88" s="50" t="n">
        <f aca="false">AVERAGEA(AU88,AW88)</f>
        <v>13.85</v>
      </c>
      <c r="AW88" s="51" t="n">
        <v>26.2</v>
      </c>
      <c r="AX88" s="78" t="n">
        <v>1.5</v>
      </c>
      <c r="AY88" s="53" t="n">
        <f aca="false">AVERAGEA(AX88,AZ88)</f>
        <v>21.4</v>
      </c>
      <c r="AZ88" s="54" t="n">
        <v>41.3</v>
      </c>
      <c r="BA88" s="49" t="n">
        <v>3.5</v>
      </c>
      <c r="BB88" s="50" t="n">
        <f aca="false">AVERAGEA(BA88,BC88)</f>
        <v>39.725</v>
      </c>
      <c r="BC88" s="51" t="n">
        <v>75.95</v>
      </c>
      <c r="BD88" s="78" t="n">
        <v>0.25</v>
      </c>
      <c r="BE88" s="53" t="n">
        <f aca="false">AVERAGEA(BF88, BD88)</f>
        <v>0.375</v>
      </c>
      <c r="BF88" s="54" t="n">
        <v>0.5</v>
      </c>
      <c r="BG88" s="49" t="n">
        <v>30</v>
      </c>
      <c r="BH88" s="50" t="n">
        <f aca="false">AVERAGEA(BG88,BI88)</f>
        <v>60</v>
      </c>
      <c r="BI88" s="51" t="n">
        <v>90</v>
      </c>
      <c r="BJ88" s="78" t="n">
        <v>1</v>
      </c>
      <c r="BK88" s="53" t="n">
        <f aca="false">AVERAGEA(BJ88,BL88)</f>
        <v>2.5</v>
      </c>
      <c r="BL88" s="54" t="n">
        <v>4</v>
      </c>
      <c r="BM88" s="49" t="n">
        <v>2</v>
      </c>
      <c r="BN88" s="50" t="n">
        <f aca="false">AVERAGEA(BM88,BO88)</f>
        <v>3.5</v>
      </c>
      <c r="BO88" s="51" t="n">
        <v>5</v>
      </c>
    </row>
    <row r="89" customFormat="false" ht="15" hidden="false" customHeight="true" outlineLevel="0" collapsed="false">
      <c r="B89" s="133"/>
      <c r="C89" s="134"/>
      <c r="D89" s="143"/>
      <c r="E89" s="144" t="s">
        <v>74</v>
      </c>
      <c r="F89" s="145" t="s">
        <v>67</v>
      </c>
      <c r="G89" s="146" t="s">
        <v>75</v>
      </c>
      <c r="H89" s="82" t="n">
        <v>58.0513857997815</v>
      </c>
      <c r="I89" s="71" t="n">
        <f aca="false">AVERAGE(H89,J89)</f>
        <v>59.3502843515189</v>
      </c>
      <c r="J89" s="83" t="n">
        <v>60.6491829032563</v>
      </c>
      <c r="K89" s="49" t="s">
        <v>46</v>
      </c>
      <c r="L89" s="50"/>
      <c r="M89" s="51" t="s">
        <v>46</v>
      </c>
      <c r="N89" s="52" t="s">
        <v>46</v>
      </c>
      <c r="O89" s="53"/>
      <c r="P89" s="54" t="s">
        <v>46</v>
      </c>
      <c r="Q89" s="52" t="s">
        <v>46</v>
      </c>
      <c r="R89" s="53"/>
      <c r="S89" s="53" t="s">
        <v>46</v>
      </c>
      <c r="T89" s="49" t="n">
        <v>84</v>
      </c>
      <c r="U89" s="50" t="n">
        <f aca="false">AVERAGEA(V89,T89)</f>
        <v>87.7</v>
      </c>
      <c r="V89" s="51" t="n">
        <v>91.4</v>
      </c>
      <c r="W89" s="95" t="n">
        <v>60</v>
      </c>
      <c r="X89" s="100" t="n">
        <f aca="false">AVERAGEA(Y89, W89)</f>
        <v>37.5</v>
      </c>
      <c r="Y89" s="54" t="n">
        <v>15</v>
      </c>
      <c r="Z89" s="147" t="n">
        <v>0.83</v>
      </c>
      <c r="AA89" s="50" t="n">
        <f aca="false">AVERAGEA(AB89, Z89)</f>
        <v>6.415</v>
      </c>
      <c r="AB89" s="57" t="n">
        <v>12</v>
      </c>
      <c r="AC89" s="78" t="n">
        <v>0.83</v>
      </c>
      <c r="AD89" s="100" t="n">
        <f aca="false">AVERAGEA(AE89, AC89)</f>
        <v>6.415</v>
      </c>
      <c r="AE89" s="54" t="n">
        <v>12</v>
      </c>
      <c r="AF89" s="49" t="n">
        <v>0.25</v>
      </c>
      <c r="AG89" s="77" t="n">
        <f aca="false">AVERAGEA(AH89, AF89)</f>
        <v>1.625</v>
      </c>
      <c r="AH89" s="51" t="n">
        <v>3</v>
      </c>
      <c r="AI89" s="84" t="n">
        <v>0.5</v>
      </c>
      <c r="AJ89" s="77" t="n">
        <f aca="false">AVERAGEA(AK89, AI89)</f>
        <v>1.75</v>
      </c>
      <c r="AK89" s="51" t="n">
        <v>3</v>
      </c>
      <c r="AL89" s="78" t="n">
        <v>590</v>
      </c>
      <c r="AM89" s="53" t="n">
        <f aca="false">AVERAGEA(AN89, AL89)</f>
        <v>781</v>
      </c>
      <c r="AN89" s="54" t="n">
        <v>972</v>
      </c>
      <c r="AO89" s="49" t="n">
        <v>15.6</v>
      </c>
      <c r="AP89" s="50" t="n">
        <f aca="false">AVERAGEA(AQ89, AO89)</f>
        <v>15.6</v>
      </c>
      <c r="AQ89" s="51" t="n">
        <v>15.6</v>
      </c>
      <c r="AR89" s="78" t="n">
        <v>2.1</v>
      </c>
      <c r="AS89" s="53" t="n">
        <f aca="false">AVERAGEA(AT89, AR89)</f>
        <v>3.55</v>
      </c>
      <c r="AT89" s="54" t="n">
        <v>5</v>
      </c>
      <c r="AU89" s="49" t="n">
        <v>1.5</v>
      </c>
      <c r="AV89" s="50" t="n">
        <f aca="false">AVERAGEA(AU89,AW89)</f>
        <v>13.85</v>
      </c>
      <c r="AW89" s="51" t="n">
        <v>26.2</v>
      </c>
      <c r="AX89" s="78" t="n">
        <v>1.5</v>
      </c>
      <c r="AY89" s="53" t="n">
        <f aca="false">AVERAGEA(AX89,AZ89)</f>
        <v>21.4</v>
      </c>
      <c r="AZ89" s="54" t="n">
        <v>41.3</v>
      </c>
      <c r="BA89" s="49" t="n">
        <v>3.5</v>
      </c>
      <c r="BB89" s="50" t="n">
        <f aca="false">AVERAGEA(BA89,BC89)</f>
        <v>39.725</v>
      </c>
      <c r="BC89" s="51" t="n">
        <v>75.95</v>
      </c>
      <c r="BD89" s="78" t="n">
        <v>0.25</v>
      </c>
      <c r="BE89" s="53" t="n">
        <f aca="false">AVERAGEA(BF89, BD89)</f>
        <v>0.375</v>
      </c>
      <c r="BF89" s="54" t="n">
        <v>0.5</v>
      </c>
      <c r="BG89" s="49" t="n">
        <v>30</v>
      </c>
      <c r="BH89" s="50"/>
      <c r="BI89" s="51" t="n">
        <v>60</v>
      </c>
      <c r="BJ89" s="78" t="n">
        <v>1</v>
      </c>
      <c r="BK89" s="53"/>
      <c r="BL89" s="54" t="n">
        <v>1.5</v>
      </c>
      <c r="BM89" s="49" t="n">
        <v>2</v>
      </c>
      <c r="BN89" s="50" t="n">
        <f aca="false">AVERAGEA(BM89,BO89)</f>
        <v>2.5</v>
      </c>
      <c r="BO89" s="51" t="n">
        <v>3</v>
      </c>
    </row>
    <row r="90" customFormat="false" ht="15" hidden="false" customHeight="true" outlineLevel="0" collapsed="false">
      <c r="B90" s="133"/>
      <c r="C90" s="134"/>
      <c r="D90" s="143"/>
      <c r="E90" s="144"/>
      <c r="F90" s="145" t="s">
        <v>68</v>
      </c>
      <c r="G90" s="146"/>
      <c r="H90" s="82" t="n">
        <v>55.0966196323963</v>
      </c>
      <c r="I90" s="71" t="n">
        <f aca="false">AVERAGE(H90,J90)</f>
        <v>56.5705397689767</v>
      </c>
      <c r="J90" s="83" t="n">
        <v>58.044459905557</v>
      </c>
      <c r="K90" s="49" t="s">
        <v>46</v>
      </c>
      <c r="L90" s="50"/>
      <c r="M90" s="51" t="s">
        <v>46</v>
      </c>
      <c r="N90" s="52" t="s">
        <v>46</v>
      </c>
      <c r="O90" s="53"/>
      <c r="P90" s="54" t="s">
        <v>46</v>
      </c>
      <c r="Q90" s="52" t="s">
        <v>46</v>
      </c>
      <c r="R90" s="53"/>
      <c r="S90" s="53" t="s">
        <v>46</v>
      </c>
      <c r="T90" s="49" t="n">
        <v>84</v>
      </c>
      <c r="U90" s="50" t="n">
        <f aca="false">AVERAGEA(V90,T90)</f>
        <v>87.7</v>
      </c>
      <c r="V90" s="51" t="n">
        <v>91.4</v>
      </c>
      <c r="W90" s="95" t="n">
        <v>60</v>
      </c>
      <c r="X90" s="100" t="n">
        <f aca="false">AVERAGEA(Y90, W90)</f>
        <v>37.5</v>
      </c>
      <c r="Y90" s="54" t="n">
        <v>15</v>
      </c>
      <c r="Z90" s="147" t="n">
        <v>0.83</v>
      </c>
      <c r="AA90" s="50" t="n">
        <f aca="false">AVERAGEA(AB90, Z90)</f>
        <v>6.415</v>
      </c>
      <c r="AB90" s="57" t="n">
        <v>12</v>
      </c>
      <c r="AC90" s="78" t="n">
        <v>0.83</v>
      </c>
      <c r="AD90" s="100" t="n">
        <f aca="false">AVERAGEA(AE90, AC90)</f>
        <v>6.415</v>
      </c>
      <c r="AE90" s="54" t="n">
        <v>12</v>
      </c>
      <c r="AF90" s="49" t="n">
        <v>0.25</v>
      </c>
      <c r="AG90" s="77" t="n">
        <f aca="false">AVERAGEA(AH90, AF90)</f>
        <v>1.625</v>
      </c>
      <c r="AH90" s="51" t="n">
        <v>3</v>
      </c>
      <c r="AI90" s="84" t="n">
        <v>0.5</v>
      </c>
      <c r="AJ90" s="77" t="n">
        <f aca="false">AVERAGEA(AK90, AI90)</f>
        <v>1.75</v>
      </c>
      <c r="AK90" s="51" t="n">
        <v>3</v>
      </c>
      <c r="AL90" s="78" t="n">
        <v>590</v>
      </c>
      <c r="AM90" s="53" t="n">
        <f aca="false">AVERAGEA(AN90, AL90)</f>
        <v>781</v>
      </c>
      <c r="AN90" s="54" t="n">
        <v>972</v>
      </c>
      <c r="AO90" s="49" t="n">
        <v>15.6</v>
      </c>
      <c r="AP90" s="50" t="n">
        <f aca="false">AVERAGEA(AQ90, AO90)</f>
        <v>15.6</v>
      </c>
      <c r="AQ90" s="51" t="n">
        <v>15.6</v>
      </c>
      <c r="AR90" s="78" t="n">
        <v>2.1</v>
      </c>
      <c r="AS90" s="53" t="n">
        <f aca="false">AVERAGEA(AT90, AR90)</f>
        <v>3.55</v>
      </c>
      <c r="AT90" s="54" t="n">
        <v>5</v>
      </c>
      <c r="AU90" s="49" t="n">
        <v>1.5</v>
      </c>
      <c r="AV90" s="50" t="n">
        <f aca="false">AVERAGEA(AU90,AW90)</f>
        <v>13.85</v>
      </c>
      <c r="AW90" s="51" t="n">
        <v>26.2</v>
      </c>
      <c r="AX90" s="78" t="n">
        <v>1.5</v>
      </c>
      <c r="AY90" s="53" t="n">
        <f aca="false">AVERAGEA(AX90,AZ90)</f>
        <v>21.4</v>
      </c>
      <c r="AZ90" s="54" t="n">
        <v>41.3</v>
      </c>
      <c r="BA90" s="49" t="n">
        <v>3.5</v>
      </c>
      <c r="BB90" s="50" t="n">
        <f aca="false">AVERAGEA(BA90,BC90)</f>
        <v>39.725</v>
      </c>
      <c r="BC90" s="51" t="n">
        <v>75.95</v>
      </c>
      <c r="BD90" s="78" t="n">
        <v>0.25</v>
      </c>
      <c r="BE90" s="53" t="n">
        <f aca="false">AVERAGEA(BF90, BD90)</f>
        <v>0.375</v>
      </c>
      <c r="BF90" s="54" t="n">
        <v>0.5</v>
      </c>
      <c r="BG90" s="49" t="n">
        <v>30</v>
      </c>
      <c r="BH90" s="50"/>
      <c r="BI90" s="51" t="n">
        <v>60</v>
      </c>
      <c r="BJ90" s="78" t="n">
        <v>1</v>
      </c>
      <c r="BK90" s="53"/>
      <c r="BL90" s="54" t="n">
        <v>1.5</v>
      </c>
      <c r="BM90" s="49" t="n">
        <v>2</v>
      </c>
      <c r="BN90" s="50" t="n">
        <f aca="false">AVERAGEA(BM90,BO90)</f>
        <v>2.5</v>
      </c>
      <c r="BO90" s="51" t="n">
        <v>3</v>
      </c>
    </row>
    <row r="91" customFormat="false" ht="15" hidden="false" customHeight="true" outlineLevel="0" collapsed="false">
      <c r="B91" s="133"/>
      <c r="C91" s="134"/>
      <c r="D91" s="143"/>
      <c r="E91" s="144"/>
      <c r="F91" s="145" t="s">
        <v>69</v>
      </c>
      <c r="G91" s="146"/>
      <c r="H91" s="82" t="n">
        <v>49.8329809406148</v>
      </c>
      <c r="I91" s="71" t="n">
        <f aca="false">AVERAGE(H91,J91)</f>
        <v>52.4532572362791</v>
      </c>
      <c r="J91" s="83" t="n">
        <v>55.0735335319433</v>
      </c>
      <c r="K91" s="49" t="s">
        <v>46</v>
      </c>
      <c r="L91" s="50"/>
      <c r="M91" s="51" t="s">
        <v>46</v>
      </c>
      <c r="N91" s="52" t="s">
        <v>46</v>
      </c>
      <c r="O91" s="53"/>
      <c r="P91" s="54" t="s">
        <v>46</v>
      </c>
      <c r="Q91" s="52" t="s">
        <v>46</v>
      </c>
      <c r="R91" s="53"/>
      <c r="S91" s="53" t="s">
        <v>46</v>
      </c>
      <c r="T91" s="49" t="n">
        <v>84</v>
      </c>
      <c r="U91" s="50" t="n">
        <f aca="false">AVERAGEA(V91,T91)</f>
        <v>87.7</v>
      </c>
      <c r="V91" s="51" t="n">
        <v>91.4</v>
      </c>
      <c r="W91" s="95" t="n">
        <v>60</v>
      </c>
      <c r="X91" s="100" t="n">
        <f aca="false">AVERAGEA(Y91, W91)</f>
        <v>37.5</v>
      </c>
      <c r="Y91" s="54" t="n">
        <v>15</v>
      </c>
      <c r="Z91" s="147" t="n">
        <v>0.83</v>
      </c>
      <c r="AA91" s="50" t="n">
        <f aca="false">AVERAGEA(AB91, Z91)</f>
        <v>6.415</v>
      </c>
      <c r="AB91" s="57" t="n">
        <v>12</v>
      </c>
      <c r="AC91" s="78" t="n">
        <v>0.83</v>
      </c>
      <c r="AD91" s="100" t="n">
        <f aca="false">AVERAGEA(AE91, AC91)</f>
        <v>6.415</v>
      </c>
      <c r="AE91" s="54" t="n">
        <v>12</v>
      </c>
      <c r="AF91" s="49" t="n">
        <v>0.25</v>
      </c>
      <c r="AG91" s="77" t="n">
        <f aca="false">AVERAGEA(AH91, AF91)</f>
        <v>1.625</v>
      </c>
      <c r="AH91" s="51" t="n">
        <v>3</v>
      </c>
      <c r="AI91" s="84" t="n">
        <v>0.5</v>
      </c>
      <c r="AJ91" s="77" t="n">
        <f aca="false">AVERAGEA(AK91, AI91)</f>
        <v>1.75</v>
      </c>
      <c r="AK91" s="51" t="n">
        <v>3</v>
      </c>
      <c r="AL91" s="78" t="n">
        <v>590</v>
      </c>
      <c r="AM91" s="53" t="n">
        <f aca="false">AVERAGEA(AN91, AL91)</f>
        <v>781</v>
      </c>
      <c r="AN91" s="54" t="n">
        <v>972</v>
      </c>
      <c r="AO91" s="49" t="n">
        <v>15.6</v>
      </c>
      <c r="AP91" s="50" t="n">
        <f aca="false">AVERAGEA(AQ91, AO91)</f>
        <v>15.6</v>
      </c>
      <c r="AQ91" s="51" t="n">
        <v>15.6</v>
      </c>
      <c r="AR91" s="78" t="n">
        <v>2.1</v>
      </c>
      <c r="AS91" s="53" t="n">
        <f aca="false">AVERAGEA(AT91, AR91)</f>
        <v>3.55</v>
      </c>
      <c r="AT91" s="54" t="n">
        <v>5</v>
      </c>
      <c r="AU91" s="49" t="n">
        <v>1.5</v>
      </c>
      <c r="AV91" s="50" t="n">
        <f aca="false">AVERAGEA(AU91,AW91)</f>
        <v>13.85</v>
      </c>
      <c r="AW91" s="51" t="n">
        <v>26.2</v>
      </c>
      <c r="AX91" s="78" t="n">
        <v>1.5</v>
      </c>
      <c r="AY91" s="53" t="n">
        <f aca="false">AVERAGEA(AX91,AZ91)</f>
        <v>21.4</v>
      </c>
      <c r="AZ91" s="54" t="n">
        <v>41.3</v>
      </c>
      <c r="BA91" s="49" t="n">
        <v>3.5</v>
      </c>
      <c r="BB91" s="50" t="n">
        <f aca="false">AVERAGEA(BA91,BC91)</f>
        <v>39.725</v>
      </c>
      <c r="BC91" s="51" t="n">
        <v>75.95</v>
      </c>
      <c r="BD91" s="78" t="n">
        <v>0.25</v>
      </c>
      <c r="BE91" s="53" t="n">
        <f aca="false">AVERAGEA(BF91, BD91)</f>
        <v>0.375</v>
      </c>
      <c r="BF91" s="54" t="n">
        <v>0.5</v>
      </c>
      <c r="BG91" s="49" t="n">
        <v>30</v>
      </c>
      <c r="BH91" s="50"/>
      <c r="BI91" s="51" t="n">
        <v>60</v>
      </c>
      <c r="BJ91" s="78" t="n">
        <v>1</v>
      </c>
      <c r="BK91" s="53"/>
      <c r="BL91" s="54" t="n">
        <v>1.5</v>
      </c>
      <c r="BM91" s="49" t="n">
        <v>2</v>
      </c>
      <c r="BN91" s="50" t="n">
        <f aca="false">AVERAGEA(BM91,BO91)</f>
        <v>2.5</v>
      </c>
      <c r="BO91" s="51" t="n">
        <v>3</v>
      </c>
    </row>
    <row r="92" customFormat="false" ht="15" hidden="false" customHeight="true" outlineLevel="0" collapsed="false">
      <c r="B92" s="133"/>
      <c r="C92" s="134"/>
      <c r="D92" s="143"/>
      <c r="E92" s="144"/>
      <c r="F92" s="145" t="s">
        <v>70</v>
      </c>
      <c r="G92" s="146"/>
      <c r="H92" s="82" t="n">
        <v>45.47</v>
      </c>
      <c r="I92" s="71" t="n">
        <f aca="false">AVERAGE(H92,J92)</f>
        <v>47.5294118602507</v>
      </c>
      <c r="J92" s="83" t="n">
        <v>49.5888237205014</v>
      </c>
      <c r="K92" s="49" t="s">
        <v>46</v>
      </c>
      <c r="L92" s="50"/>
      <c r="M92" s="51" t="s">
        <v>46</v>
      </c>
      <c r="N92" s="52" t="s">
        <v>46</v>
      </c>
      <c r="O92" s="53"/>
      <c r="P92" s="54" t="s">
        <v>46</v>
      </c>
      <c r="Q92" s="52" t="s">
        <v>46</v>
      </c>
      <c r="R92" s="53"/>
      <c r="S92" s="53" t="s">
        <v>46</v>
      </c>
      <c r="T92" s="49" t="n">
        <v>84</v>
      </c>
      <c r="U92" s="50" t="n">
        <f aca="false">AVERAGEA(V92,T92)</f>
        <v>87.7</v>
      </c>
      <c r="V92" s="51" t="n">
        <v>91.4</v>
      </c>
      <c r="W92" s="95" t="n">
        <v>60</v>
      </c>
      <c r="X92" s="100" t="n">
        <f aca="false">AVERAGEA(Y92, W92)</f>
        <v>37.5</v>
      </c>
      <c r="Y92" s="54" t="n">
        <v>15</v>
      </c>
      <c r="Z92" s="147" t="n">
        <v>0.83</v>
      </c>
      <c r="AA92" s="50" t="n">
        <f aca="false">AVERAGEA(AB92, Z92)</f>
        <v>6.415</v>
      </c>
      <c r="AB92" s="57" t="n">
        <v>12</v>
      </c>
      <c r="AC92" s="78" t="n">
        <v>0.83</v>
      </c>
      <c r="AD92" s="100" t="n">
        <f aca="false">AVERAGEA(AE92, AC92)</f>
        <v>6.415</v>
      </c>
      <c r="AE92" s="54" t="n">
        <v>12</v>
      </c>
      <c r="AF92" s="49" t="n">
        <v>0.25</v>
      </c>
      <c r="AG92" s="77" t="n">
        <f aca="false">AVERAGEA(AH92, AF92)</f>
        <v>1.625</v>
      </c>
      <c r="AH92" s="51" t="n">
        <v>3</v>
      </c>
      <c r="AI92" s="84" t="n">
        <v>0.5</v>
      </c>
      <c r="AJ92" s="77" t="n">
        <f aca="false">AVERAGEA(AK92, AI92)</f>
        <v>1.75</v>
      </c>
      <c r="AK92" s="51" t="n">
        <v>3</v>
      </c>
      <c r="AL92" s="78" t="n">
        <v>590</v>
      </c>
      <c r="AM92" s="53" t="n">
        <f aca="false">AVERAGEA(AN92, AL92)</f>
        <v>781</v>
      </c>
      <c r="AN92" s="54" t="n">
        <v>972</v>
      </c>
      <c r="AO92" s="49" t="n">
        <v>15.6</v>
      </c>
      <c r="AP92" s="50" t="n">
        <f aca="false">AVERAGEA(AQ92, AO92)</f>
        <v>15.6</v>
      </c>
      <c r="AQ92" s="51" t="n">
        <v>15.6</v>
      </c>
      <c r="AR92" s="78" t="n">
        <v>2.1</v>
      </c>
      <c r="AS92" s="53" t="n">
        <f aca="false">AVERAGEA(AT92, AR92)</f>
        <v>3.55</v>
      </c>
      <c r="AT92" s="54" t="n">
        <v>5</v>
      </c>
      <c r="AU92" s="49" t="n">
        <v>1.5</v>
      </c>
      <c r="AV92" s="50" t="n">
        <f aca="false">AVERAGEA(AU92,AW92)</f>
        <v>13.85</v>
      </c>
      <c r="AW92" s="51" t="n">
        <v>26.2</v>
      </c>
      <c r="AX92" s="78" t="n">
        <v>1.5</v>
      </c>
      <c r="AY92" s="53" t="n">
        <f aca="false">AVERAGEA(AX92,AZ92)</f>
        <v>21.4</v>
      </c>
      <c r="AZ92" s="54" t="n">
        <v>41.3</v>
      </c>
      <c r="BA92" s="49" t="n">
        <v>3.5</v>
      </c>
      <c r="BB92" s="50" t="n">
        <f aca="false">AVERAGEA(BA92,BC92)</f>
        <v>39.725</v>
      </c>
      <c r="BC92" s="51" t="n">
        <v>75.95</v>
      </c>
      <c r="BD92" s="78" t="n">
        <v>0.25</v>
      </c>
      <c r="BE92" s="53" t="n">
        <f aca="false">AVERAGEA(BF92, BD92)</f>
        <v>0.375</v>
      </c>
      <c r="BF92" s="54" t="n">
        <v>0.5</v>
      </c>
      <c r="BG92" s="49" t="n">
        <v>30</v>
      </c>
      <c r="BH92" s="50"/>
      <c r="BI92" s="51" t="n">
        <v>60</v>
      </c>
      <c r="BJ92" s="78" t="n">
        <v>1</v>
      </c>
      <c r="BK92" s="53"/>
      <c r="BL92" s="54" t="n">
        <v>1.5</v>
      </c>
      <c r="BM92" s="49" t="n">
        <v>2</v>
      </c>
      <c r="BN92" s="50" t="n">
        <f aca="false">AVERAGEA(BM92,BO92)</f>
        <v>2.5</v>
      </c>
      <c r="BO92" s="51" t="n">
        <v>3</v>
      </c>
    </row>
    <row r="93" customFormat="false" ht="15" hidden="false" customHeight="true" outlineLevel="0" collapsed="false">
      <c r="B93" s="133"/>
      <c r="C93" s="134"/>
      <c r="D93" s="143"/>
      <c r="E93" s="144" t="s">
        <v>76</v>
      </c>
      <c r="F93" s="145" t="s">
        <v>67</v>
      </c>
      <c r="G93" s="146" t="s">
        <v>77</v>
      </c>
      <c r="H93" s="82" t="n">
        <v>60.505</v>
      </c>
      <c r="I93" s="71" t="n">
        <f aca="false">AVERAGE(H93,J93)</f>
        <v>60.7975</v>
      </c>
      <c r="J93" s="83" t="n">
        <v>61.09</v>
      </c>
      <c r="K93" s="49" t="s">
        <v>46</v>
      </c>
      <c r="L93" s="50"/>
      <c r="M93" s="51" t="s">
        <v>46</v>
      </c>
      <c r="N93" s="52" t="s">
        <v>46</v>
      </c>
      <c r="O93" s="53"/>
      <c r="P93" s="54" t="s">
        <v>46</v>
      </c>
      <c r="Q93" s="52" t="s">
        <v>46</v>
      </c>
      <c r="R93" s="53"/>
      <c r="S93" s="53" t="s">
        <v>46</v>
      </c>
      <c r="T93" s="49" t="n">
        <v>84</v>
      </c>
      <c r="U93" s="50" t="n">
        <f aca="false">AVERAGEA(V93,T93)</f>
        <v>87.7</v>
      </c>
      <c r="V93" s="51" t="n">
        <v>91.4</v>
      </c>
      <c r="W93" s="78" t="n">
        <v>50</v>
      </c>
      <c r="X93" s="100" t="n">
        <f aca="false">AVERAGEA(Y93, W93)</f>
        <v>32.5</v>
      </c>
      <c r="Y93" s="54" t="n">
        <v>15</v>
      </c>
      <c r="Z93" s="147" t="n">
        <v>0.83</v>
      </c>
      <c r="AA93" s="50" t="n">
        <f aca="false">AVERAGEA(AB93, Z93)</f>
        <v>6.415</v>
      </c>
      <c r="AB93" s="57" t="n">
        <v>12</v>
      </c>
      <c r="AC93" s="78" t="n">
        <v>0.83</v>
      </c>
      <c r="AD93" s="100" t="n">
        <f aca="false">AVERAGEA(AE93, AC93)</f>
        <v>6.415</v>
      </c>
      <c r="AE93" s="54" t="n">
        <v>12</v>
      </c>
      <c r="AF93" s="49" t="n">
        <v>0.25</v>
      </c>
      <c r="AG93" s="77" t="n">
        <f aca="false">AVERAGEA(AH93, AF93)</f>
        <v>1.125</v>
      </c>
      <c r="AH93" s="51" t="n">
        <v>2</v>
      </c>
      <c r="AI93" s="84" t="n">
        <v>0.5</v>
      </c>
      <c r="AJ93" s="77" t="n">
        <f aca="false">AVERAGEA(AK93, AI93)</f>
        <v>1.25</v>
      </c>
      <c r="AK93" s="51" t="n">
        <v>2</v>
      </c>
      <c r="AL93" s="78" t="n">
        <v>590</v>
      </c>
      <c r="AM93" s="53" t="n">
        <f aca="false">AVERAGEA(AN93, AL93)</f>
        <v>900</v>
      </c>
      <c r="AN93" s="54" t="n">
        <v>1210</v>
      </c>
      <c r="AO93" s="49" t="n">
        <v>17</v>
      </c>
      <c r="AP93" s="50" t="n">
        <f aca="false">AVERAGEA(AQ93, AO93)</f>
        <v>18.5</v>
      </c>
      <c r="AQ93" s="51" t="n">
        <v>20</v>
      </c>
      <c r="AR93" s="73" t="n">
        <v>1.3</v>
      </c>
      <c r="AS93" s="74" t="n">
        <f aca="false">AVERAGEA(AT93, AR93)</f>
        <v>3.15</v>
      </c>
      <c r="AT93" s="75" t="n">
        <v>5</v>
      </c>
      <c r="AU93" s="49" t="n">
        <v>1.5</v>
      </c>
      <c r="AV93" s="50" t="n">
        <f aca="false">AVERAGEA(AU93,AW93)</f>
        <v>13.85</v>
      </c>
      <c r="AW93" s="51" t="n">
        <v>26.2</v>
      </c>
      <c r="AX93" s="78" t="n">
        <v>1.5</v>
      </c>
      <c r="AY93" s="53" t="n">
        <f aca="false">AVERAGEA(AX93,AZ93)</f>
        <v>21.4</v>
      </c>
      <c r="AZ93" s="54" t="n">
        <v>41.3</v>
      </c>
      <c r="BA93" s="49" t="n">
        <v>3.5</v>
      </c>
      <c r="BB93" s="50" t="n">
        <f aca="false">AVERAGEA(BA93,BC93)</f>
        <v>39.725</v>
      </c>
      <c r="BC93" s="51" t="n">
        <v>75.95</v>
      </c>
      <c r="BD93" s="78" t="n">
        <v>0.25</v>
      </c>
      <c r="BE93" s="53" t="n">
        <f aca="false">AVERAGEA(BF93, BD93)</f>
        <v>0.375</v>
      </c>
      <c r="BF93" s="54" t="n">
        <v>0.5</v>
      </c>
      <c r="BG93" s="49" t="n">
        <v>30</v>
      </c>
      <c r="BH93" s="50"/>
      <c r="BI93" s="51" t="n">
        <v>60</v>
      </c>
      <c r="BJ93" s="78" t="n">
        <v>1</v>
      </c>
      <c r="BK93" s="53"/>
      <c r="BL93" s="54" t="n">
        <v>1.5</v>
      </c>
      <c r="BM93" s="49" t="n">
        <v>2</v>
      </c>
      <c r="BN93" s="50" t="n">
        <f aca="false">AVERAGEA(BM93,BO93)</f>
        <v>2.5</v>
      </c>
      <c r="BO93" s="51" t="n">
        <v>3</v>
      </c>
    </row>
    <row r="94" customFormat="false" ht="15" hidden="false" customHeight="true" outlineLevel="0" collapsed="false">
      <c r="B94" s="133"/>
      <c r="C94" s="134"/>
      <c r="D94" s="143"/>
      <c r="E94" s="144"/>
      <c r="F94" s="145" t="s">
        <v>68</v>
      </c>
      <c r="G94" s="146"/>
      <c r="H94" s="82" t="n">
        <v>60.28</v>
      </c>
      <c r="I94" s="71" t="n">
        <f aca="false">AVERAGE(H94,J94)</f>
        <v>60.39205</v>
      </c>
      <c r="J94" s="83" t="n">
        <v>60.5041</v>
      </c>
      <c r="K94" s="49" t="s">
        <v>46</v>
      </c>
      <c r="L94" s="50"/>
      <c r="M94" s="51" t="s">
        <v>46</v>
      </c>
      <c r="N94" s="52" t="s">
        <v>46</v>
      </c>
      <c r="O94" s="53"/>
      <c r="P94" s="54" t="s">
        <v>46</v>
      </c>
      <c r="Q94" s="52" t="s">
        <v>46</v>
      </c>
      <c r="R94" s="53"/>
      <c r="S94" s="53" t="s">
        <v>46</v>
      </c>
      <c r="T94" s="49" t="n">
        <v>84</v>
      </c>
      <c r="U94" s="50" t="n">
        <f aca="false">AVERAGEA(V94,T94)</f>
        <v>87.7</v>
      </c>
      <c r="V94" s="51" t="n">
        <v>91.4</v>
      </c>
      <c r="W94" s="78" t="n">
        <v>50</v>
      </c>
      <c r="X94" s="100" t="n">
        <f aca="false">AVERAGEA(Y94, W94)</f>
        <v>32.5</v>
      </c>
      <c r="Y94" s="54" t="n">
        <v>15</v>
      </c>
      <c r="Z94" s="147" t="n">
        <v>0.83</v>
      </c>
      <c r="AA94" s="50" t="n">
        <f aca="false">AVERAGEA(AB94, Z94)</f>
        <v>6.415</v>
      </c>
      <c r="AB94" s="57" t="n">
        <v>12</v>
      </c>
      <c r="AC94" s="78" t="n">
        <v>0.83</v>
      </c>
      <c r="AD94" s="100" t="n">
        <f aca="false">AVERAGEA(AE94, AC94)</f>
        <v>6.415</v>
      </c>
      <c r="AE94" s="54" t="n">
        <v>12</v>
      </c>
      <c r="AF94" s="49" t="n">
        <v>0.25</v>
      </c>
      <c r="AG94" s="77" t="n">
        <f aca="false">AVERAGEA(AH94, AF94)</f>
        <v>1.125</v>
      </c>
      <c r="AH94" s="51" t="n">
        <v>2</v>
      </c>
      <c r="AI94" s="84" t="n">
        <v>0.5</v>
      </c>
      <c r="AJ94" s="77" t="n">
        <f aca="false">AVERAGEA(AK94, AI94)</f>
        <v>1.25</v>
      </c>
      <c r="AK94" s="51" t="n">
        <v>2</v>
      </c>
      <c r="AL94" s="78" t="n">
        <v>590</v>
      </c>
      <c r="AM94" s="53" t="n">
        <f aca="false">AVERAGEA(AN94, AL94)</f>
        <v>900</v>
      </c>
      <c r="AN94" s="54" t="n">
        <v>1210</v>
      </c>
      <c r="AO94" s="49" t="n">
        <v>17</v>
      </c>
      <c r="AP94" s="50" t="n">
        <f aca="false">AVERAGEA(AQ94, AO94)</f>
        <v>18.5</v>
      </c>
      <c r="AQ94" s="51" t="n">
        <v>20</v>
      </c>
      <c r="AR94" s="73" t="n">
        <v>1.3</v>
      </c>
      <c r="AS94" s="74" t="n">
        <f aca="false">AVERAGEA(AT94, AR94)</f>
        <v>3.15</v>
      </c>
      <c r="AT94" s="75" t="n">
        <v>5</v>
      </c>
      <c r="AU94" s="49" t="n">
        <v>1.5</v>
      </c>
      <c r="AV94" s="50" t="n">
        <f aca="false">AVERAGEA(AU94,AW94)</f>
        <v>13.85</v>
      </c>
      <c r="AW94" s="51" t="n">
        <v>26.2</v>
      </c>
      <c r="AX94" s="52" t="n">
        <v>1.5</v>
      </c>
      <c r="AY94" s="53" t="n">
        <f aca="false">AVERAGEA(AX94,AZ94)</f>
        <v>21.4</v>
      </c>
      <c r="AZ94" s="54" t="n">
        <v>41.3</v>
      </c>
      <c r="BA94" s="49" t="n">
        <v>3.5</v>
      </c>
      <c r="BB94" s="50" t="n">
        <f aca="false">AVERAGEA(BA94,BC94)</f>
        <v>39.725</v>
      </c>
      <c r="BC94" s="51" t="n">
        <v>75.95</v>
      </c>
      <c r="BD94" s="78" t="n">
        <v>0.25</v>
      </c>
      <c r="BE94" s="53" t="n">
        <f aca="false">AVERAGEA(BF94, BD94)</f>
        <v>0.375</v>
      </c>
      <c r="BF94" s="54" t="n">
        <v>0.5</v>
      </c>
      <c r="BG94" s="49" t="n">
        <v>30</v>
      </c>
      <c r="BH94" s="50"/>
      <c r="BI94" s="51" t="n">
        <v>60</v>
      </c>
      <c r="BJ94" s="78" t="n">
        <v>1</v>
      </c>
      <c r="BK94" s="53"/>
      <c r="BL94" s="54" t="n">
        <v>1.5</v>
      </c>
      <c r="BM94" s="49" t="n">
        <v>2</v>
      </c>
      <c r="BN94" s="50" t="n">
        <f aca="false">AVERAGEA(BM94,BO94)</f>
        <v>2.5</v>
      </c>
      <c r="BO94" s="51" t="n">
        <v>3</v>
      </c>
    </row>
    <row r="95" customFormat="false" ht="15" hidden="false" customHeight="true" outlineLevel="0" collapsed="false">
      <c r="B95" s="133"/>
      <c r="C95" s="134"/>
      <c r="D95" s="143"/>
      <c r="E95" s="144"/>
      <c r="F95" s="145" t="s">
        <v>69</v>
      </c>
      <c r="G95" s="146"/>
      <c r="H95" s="82" t="n">
        <v>60.1981</v>
      </c>
      <c r="I95" s="71" t="n">
        <f aca="false">AVERAGE(H95,J95)</f>
        <v>60.2386</v>
      </c>
      <c r="J95" s="83" t="n">
        <v>60.2791</v>
      </c>
      <c r="K95" s="49" t="s">
        <v>46</v>
      </c>
      <c r="L95" s="50"/>
      <c r="M95" s="51" t="s">
        <v>46</v>
      </c>
      <c r="N95" s="52" t="s">
        <v>46</v>
      </c>
      <c r="O95" s="53"/>
      <c r="P95" s="54" t="s">
        <v>46</v>
      </c>
      <c r="Q95" s="52" t="s">
        <v>46</v>
      </c>
      <c r="R95" s="53"/>
      <c r="S95" s="53" t="s">
        <v>46</v>
      </c>
      <c r="T95" s="49" t="n">
        <v>84</v>
      </c>
      <c r="U95" s="50" t="n">
        <f aca="false">AVERAGEA(V95,T95)</f>
        <v>87.7</v>
      </c>
      <c r="V95" s="51" t="n">
        <v>91.4</v>
      </c>
      <c r="W95" s="78" t="n">
        <v>50</v>
      </c>
      <c r="X95" s="100" t="n">
        <f aca="false">AVERAGEA(Y95, W95)</f>
        <v>32.5</v>
      </c>
      <c r="Y95" s="54" t="n">
        <v>15</v>
      </c>
      <c r="Z95" s="147" t="n">
        <v>0.83</v>
      </c>
      <c r="AA95" s="50" t="n">
        <f aca="false">AVERAGEA(AB95, Z95)</f>
        <v>6.415</v>
      </c>
      <c r="AB95" s="57" t="n">
        <v>12</v>
      </c>
      <c r="AC95" s="78" t="n">
        <v>0.83</v>
      </c>
      <c r="AD95" s="100" t="n">
        <f aca="false">AVERAGEA(AE95, AC95)</f>
        <v>6.415</v>
      </c>
      <c r="AE95" s="54" t="n">
        <v>12</v>
      </c>
      <c r="AF95" s="49" t="n">
        <v>0.25</v>
      </c>
      <c r="AG95" s="77" t="n">
        <f aca="false">AVERAGEA(AH95, AF95)</f>
        <v>1.125</v>
      </c>
      <c r="AH95" s="51" t="n">
        <v>2</v>
      </c>
      <c r="AI95" s="84" t="n">
        <v>0.5</v>
      </c>
      <c r="AJ95" s="77" t="n">
        <f aca="false">AVERAGEA(AK95, AI95)</f>
        <v>1.25</v>
      </c>
      <c r="AK95" s="51" t="n">
        <v>2</v>
      </c>
      <c r="AL95" s="78" t="n">
        <v>590</v>
      </c>
      <c r="AM95" s="53" t="n">
        <f aca="false">AVERAGEA(AN95, AL95)</f>
        <v>900</v>
      </c>
      <c r="AN95" s="54" t="n">
        <v>1210</v>
      </c>
      <c r="AO95" s="49" t="n">
        <v>17</v>
      </c>
      <c r="AP95" s="50" t="n">
        <f aca="false">AVERAGEA(AQ95, AO95)</f>
        <v>18.5</v>
      </c>
      <c r="AQ95" s="51" t="n">
        <v>20</v>
      </c>
      <c r="AR95" s="73" t="n">
        <v>1.3</v>
      </c>
      <c r="AS95" s="74" t="n">
        <f aca="false">AVERAGEA(AT95, AR95)</f>
        <v>3.15</v>
      </c>
      <c r="AT95" s="75" t="n">
        <v>5</v>
      </c>
      <c r="AU95" s="49" t="n">
        <v>1.5</v>
      </c>
      <c r="AV95" s="50" t="n">
        <f aca="false">AVERAGEA(AU95,AW95)</f>
        <v>13.85</v>
      </c>
      <c r="AW95" s="51" t="n">
        <v>26.2</v>
      </c>
      <c r="AX95" s="52" t="n">
        <v>1.5</v>
      </c>
      <c r="AY95" s="53" t="n">
        <f aca="false">AVERAGEA(AX95,AZ95)</f>
        <v>21.4</v>
      </c>
      <c r="AZ95" s="54" t="n">
        <v>41.3</v>
      </c>
      <c r="BA95" s="49" t="n">
        <v>3.5</v>
      </c>
      <c r="BB95" s="50" t="n">
        <f aca="false">AVERAGEA(BA95,BC95)</f>
        <v>39.725</v>
      </c>
      <c r="BC95" s="51" t="n">
        <v>75.95</v>
      </c>
      <c r="BD95" s="78" t="n">
        <v>0.25</v>
      </c>
      <c r="BE95" s="53" t="n">
        <f aca="false">AVERAGEA(BF95, BD95)</f>
        <v>0.375</v>
      </c>
      <c r="BF95" s="54" t="n">
        <v>0.5</v>
      </c>
      <c r="BG95" s="49" t="n">
        <v>30</v>
      </c>
      <c r="BH95" s="50"/>
      <c r="BI95" s="51" t="n">
        <v>60</v>
      </c>
      <c r="BJ95" s="78" t="n">
        <v>1</v>
      </c>
      <c r="BK95" s="53"/>
      <c r="BL95" s="54" t="n">
        <v>1.5</v>
      </c>
      <c r="BM95" s="49" t="n">
        <v>2</v>
      </c>
      <c r="BN95" s="50" t="n">
        <f aca="false">AVERAGEA(BM95,BO95)</f>
        <v>2.5</v>
      </c>
      <c r="BO95" s="51" t="n">
        <v>3</v>
      </c>
    </row>
    <row r="96" customFormat="false" ht="15" hidden="false" customHeight="true" outlineLevel="0" collapsed="false">
      <c r="B96" s="133"/>
      <c r="C96" s="134"/>
      <c r="D96" s="143"/>
      <c r="E96" s="144"/>
      <c r="F96" s="145" t="s">
        <v>70</v>
      </c>
      <c r="G96" s="146"/>
      <c r="H96" s="82" t="n">
        <v>60.1909</v>
      </c>
      <c r="I96" s="71" t="n">
        <f aca="false">AVERAGE(H96,J96)</f>
        <v>60.19405</v>
      </c>
      <c r="J96" s="83" t="n">
        <v>60.1972</v>
      </c>
      <c r="K96" s="49" t="s">
        <v>46</v>
      </c>
      <c r="L96" s="50"/>
      <c r="M96" s="51" t="s">
        <v>46</v>
      </c>
      <c r="N96" s="52" t="s">
        <v>46</v>
      </c>
      <c r="O96" s="53"/>
      <c r="P96" s="54" t="s">
        <v>46</v>
      </c>
      <c r="Q96" s="52" t="s">
        <v>46</v>
      </c>
      <c r="R96" s="53"/>
      <c r="S96" s="53" t="s">
        <v>46</v>
      </c>
      <c r="T96" s="49" t="n">
        <v>84</v>
      </c>
      <c r="U96" s="50" t="n">
        <f aca="false">AVERAGEA(V96,T96)</f>
        <v>87.7</v>
      </c>
      <c r="V96" s="51" t="n">
        <v>91.4</v>
      </c>
      <c r="W96" s="78" t="n">
        <v>50</v>
      </c>
      <c r="X96" s="100" t="n">
        <f aca="false">AVERAGEA(Y96, W96)</f>
        <v>32.5</v>
      </c>
      <c r="Y96" s="54" t="n">
        <v>15</v>
      </c>
      <c r="Z96" s="147" t="n">
        <v>0.83</v>
      </c>
      <c r="AA96" s="50" t="n">
        <f aca="false">AVERAGEA(AB96, Z96)</f>
        <v>6.415</v>
      </c>
      <c r="AB96" s="57" t="n">
        <v>12</v>
      </c>
      <c r="AC96" s="78" t="n">
        <v>0.83</v>
      </c>
      <c r="AD96" s="100" t="n">
        <f aca="false">AVERAGEA(AE96, AC96)</f>
        <v>6.415</v>
      </c>
      <c r="AE96" s="54" t="n">
        <v>12</v>
      </c>
      <c r="AF96" s="49" t="n">
        <v>0.25</v>
      </c>
      <c r="AG96" s="77" t="n">
        <f aca="false">AVERAGEA(AH96, AF96)</f>
        <v>1.125</v>
      </c>
      <c r="AH96" s="51" t="n">
        <v>2</v>
      </c>
      <c r="AI96" s="84" t="n">
        <v>0.5</v>
      </c>
      <c r="AJ96" s="77" t="n">
        <f aca="false">AVERAGEA(AK96, AI96)</f>
        <v>1.25</v>
      </c>
      <c r="AK96" s="51" t="n">
        <v>2</v>
      </c>
      <c r="AL96" s="78" t="n">
        <v>590</v>
      </c>
      <c r="AM96" s="53" t="n">
        <f aca="false">AVERAGEA(AN96, AL96)</f>
        <v>900</v>
      </c>
      <c r="AN96" s="54" t="n">
        <v>1210</v>
      </c>
      <c r="AO96" s="49" t="n">
        <v>17</v>
      </c>
      <c r="AP96" s="50" t="n">
        <f aca="false">AVERAGEA(AQ96, AO96)</f>
        <v>18.5</v>
      </c>
      <c r="AQ96" s="51" t="n">
        <v>20</v>
      </c>
      <c r="AR96" s="73" t="n">
        <v>1.3</v>
      </c>
      <c r="AS96" s="74" t="n">
        <f aca="false">AVERAGEA(AT96, AR96)</f>
        <v>3.15</v>
      </c>
      <c r="AT96" s="75" t="n">
        <v>5</v>
      </c>
      <c r="AU96" s="49" t="n">
        <v>1.5</v>
      </c>
      <c r="AV96" s="50" t="n">
        <f aca="false">AVERAGEA(AU96,AW96)</f>
        <v>13.85</v>
      </c>
      <c r="AW96" s="51" t="n">
        <v>26.2</v>
      </c>
      <c r="AX96" s="52" t="n">
        <v>1.5</v>
      </c>
      <c r="AY96" s="53" t="n">
        <f aca="false">AVERAGEA(AX96,AZ96)</f>
        <v>21.4</v>
      </c>
      <c r="AZ96" s="54" t="n">
        <v>41.3</v>
      </c>
      <c r="BA96" s="49" t="n">
        <v>3.5</v>
      </c>
      <c r="BB96" s="50" t="n">
        <f aca="false">AVERAGEA(BA96,BC96)</f>
        <v>39.725</v>
      </c>
      <c r="BC96" s="51" t="n">
        <v>75.95</v>
      </c>
      <c r="BD96" s="78" t="n">
        <v>0.25</v>
      </c>
      <c r="BE96" s="53" t="n">
        <f aca="false">AVERAGEA(BF96, BD96)</f>
        <v>0.375</v>
      </c>
      <c r="BF96" s="54" t="n">
        <v>0.5</v>
      </c>
      <c r="BG96" s="49" t="n">
        <v>30</v>
      </c>
      <c r="BH96" s="50"/>
      <c r="BI96" s="51" t="n">
        <v>60</v>
      </c>
      <c r="BJ96" s="78" t="n">
        <v>1</v>
      </c>
      <c r="BK96" s="53"/>
      <c r="BL96" s="54" t="n">
        <v>1.5</v>
      </c>
      <c r="BM96" s="49" t="n">
        <v>2</v>
      </c>
      <c r="BN96" s="50" t="n">
        <f aca="false">AVERAGEA(BM96,BO96)</f>
        <v>2.5</v>
      </c>
      <c r="BO96" s="51" t="n">
        <v>3</v>
      </c>
    </row>
    <row r="97" customFormat="false" ht="15" hidden="false" customHeight="true" outlineLevel="0" collapsed="false">
      <c r="B97" s="133"/>
      <c r="C97" s="134"/>
      <c r="D97" s="143"/>
      <c r="E97" s="144" t="s">
        <v>78</v>
      </c>
      <c r="F97" s="145" t="s">
        <v>67</v>
      </c>
      <c r="G97" s="146" t="s">
        <v>79</v>
      </c>
      <c r="H97" s="82" t="n">
        <v>61.26</v>
      </c>
      <c r="I97" s="71" t="n">
        <f aca="false">AVERAGE(H97,J97)</f>
        <v>61.91</v>
      </c>
      <c r="J97" s="83" t="n">
        <v>62.56</v>
      </c>
      <c r="K97" s="49" t="s">
        <v>46</v>
      </c>
      <c r="L97" s="50"/>
      <c r="M97" s="51" t="s">
        <v>46</v>
      </c>
      <c r="N97" s="52" t="s">
        <v>46</v>
      </c>
      <c r="O97" s="53"/>
      <c r="P97" s="54" t="s">
        <v>46</v>
      </c>
      <c r="Q97" s="52" t="s">
        <v>46</v>
      </c>
      <c r="R97" s="53"/>
      <c r="S97" s="53" t="s">
        <v>46</v>
      </c>
      <c r="T97" s="49" t="n">
        <v>84</v>
      </c>
      <c r="U97" s="50" t="n">
        <f aca="false">AVERAGEA(V97,T97)</f>
        <v>87.7</v>
      </c>
      <c r="V97" s="51" t="n">
        <v>91.4</v>
      </c>
      <c r="W97" s="78" t="n">
        <v>50</v>
      </c>
      <c r="X97" s="100" t="n">
        <f aca="false">AVERAGEA(Y97, W97)</f>
        <v>32.5</v>
      </c>
      <c r="Y97" s="54" t="n">
        <v>15</v>
      </c>
      <c r="Z97" s="147" t="n">
        <v>0.83</v>
      </c>
      <c r="AA97" s="50" t="n">
        <f aca="false">AVERAGEA(AB97, Z97)</f>
        <v>6.415</v>
      </c>
      <c r="AB97" s="57" t="n">
        <v>12</v>
      </c>
      <c r="AC97" s="78" t="n">
        <v>0.83</v>
      </c>
      <c r="AD97" s="100" t="n">
        <f aca="false">AVERAGEA(AE97, AC97)</f>
        <v>6.415</v>
      </c>
      <c r="AE97" s="54" t="n">
        <v>12</v>
      </c>
      <c r="AF97" s="49" t="n">
        <v>0.25</v>
      </c>
      <c r="AG97" s="77" t="n">
        <f aca="false">AVERAGEA(AH97, AF97)</f>
        <v>1.125</v>
      </c>
      <c r="AH97" s="51" t="n">
        <v>2</v>
      </c>
      <c r="AI97" s="84" t="n">
        <v>0.5</v>
      </c>
      <c r="AJ97" s="77" t="n">
        <f aca="false">AVERAGEA(AK97, AI97)</f>
        <v>1.25</v>
      </c>
      <c r="AK97" s="51" t="n">
        <v>2</v>
      </c>
      <c r="AL97" s="78" t="n">
        <v>590</v>
      </c>
      <c r="AM97" s="53" t="n">
        <f aca="false">AVERAGEA(AN97, AL97)</f>
        <v>900</v>
      </c>
      <c r="AN97" s="54" t="n">
        <v>1210</v>
      </c>
      <c r="AO97" s="49" t="n">
        <v>17</v>
      </c>
      <c r="AP97" s="50" t="n">
        <f aca="false">AVERAGEA(AQ97, AO97)</f>
        <v>18.5</v>
      </c>
      <c r="AQ97" s="51" t="n">
        <v>20</v>
      </c>
      <c r="AR97" s="73" t="n">
        <v>1.3</v>
      </c>
      <c r="AS97" s="74" t="n">
        <f aca="false">AVERAGEA(AT97, AR97)</f>
        <v>3.15</v>
      </c>
      <c r="AT97" s="75" t="n">
        <v>5</v>
      </c>
      <c r="AU97" s="49" t="n">
        <v>1.5</v>
      </c>
      <c r="AV97" s="50" t="n">
        <f aca="false">AVERAGEA(AU97,AW97)</f>
        <v>13.85</v>
      </c>
      <c r="AW97" s="51" t="n">
        <v>26.2</v>
      </c>
      <c r="AX97" s="52" t="n">
        <v>1.5</v>
      </c>
      <c r="AY97" s="53" t="n">
        <f aca="false">AVERAGEA(AX97,AZ97)</f>
        <v>21.4</v>
      </c>
      <c r="AZ97" s="54" t="n">
        <v>41.3</v>
      </c>
      <c r="BA97" s="49" t="n">
        <v>3.5</v>
      </c>
      <c r="BB97" s="50" t="n">
        <f aca="false">AVERAGEA(BA97,BC97)</f>
        <v>39.725</v>
      </c>
      <c r="BC97" s="51" t="n">
        <v>75.95</v>
      </c>
      <c r="BD97" s="78" t="n">
        <v>0.25</v>
      </c>
      <c r="BE97" s="53" t="n">
        <f aca="false">AVERAGEA(BF97, BD97)</f>
        <v>0.375</v>
      </c>
      <c r="BF97" s="54" t="n">
        <v>0.5</v>
      </c>
      <c r="BG97" s="49" t="n">
        <v>30</v>
      </c>
      <c r="BH97" s="50"/>
      <c r="BI97" s="51" t="n">
        <v>60</v>
      </c>
      <c r="BJ97" s="78" t="n">
        <v>1</v>
      </c>
      <c r="BK97" s="53"/>
      <c r="BL97" s="54" t="n">
        <v>1.5</v>
      </c>
      <c r="BM97" s="49" t="n">
        <v>2</v>
      </c>
      <c r="BN97" s="50" t="n">
        <f aca="false">AVERAGEA(BM97,BO97)</f>
        <v>2.5</v>
      </c>
      <c r="BO97" s="51" t="n">
        <v>3</v>
      </c>
    </row>
    <row r="98" customFormat="false" ht="15" hidden="false" customHeight="true" outlineLevel="0" collapsed="false">
      <c r="B98" s="133"/>
      <c r="C98" s="134"/>
      <c r="D98" s="143"/>
      <c r="E98" s="144"/>
      <c r="F98" s="145" t="s">
        <v>68</v>
      </c>
      <c r="G98" s="146"/>
      <c r="H98" s="82" t="n">
        <v>60.76</v>
      </c>
      <c r="I98" s="71" t="n">
        <f aca="false">AVERAGE(H98,J98)</f>
        <v>61.009</v>
      </c>
      <c r="J98" s="83" t="n">
        <v>61.258</v>
      </c>
      <c r="K98" s="49" t="s">
        <v>46</v>
      </c>
      <c r="L98" s="50"/>
      <c r="M98" s="51" t="s">
        <v>46</v>
      </c>
      <c r="N98" s="52" t="s">
        <v>46</v>
      </c>
      <c r="O98" s="53"/>
      <c r="P98" s="54" t="s">
        <v>46</v>
      </c>
      <c r="Q98" s="52" t="s">
        <v>46</v>
      </c>
      <c r="R98" s="53"/>
      <c r="S98" s="53" t="s">
        <v>46</v>
      </c>
      <c r="T98" s="49" t="n">
        <v>84</v>
      </c>
      <c r="U98" s="50" t="n">
        <f aca="false">AVERAGEA(V98,T98)</f>
        <v>87.7</v>
      </c>
      <c r="V98" s="51" t="n">
        <v>91.4</v>
      </c>
      <c r="W98" s="78" t="n">
        <v>50</v>
      </c>
      <c r="X98" s="100" t="n">
        <f aca="false">AVERAGEA(Y98, W98)</f>
        <v>32.5</v>
      </c>
      <c r="Y98" s="54" t="n">
        <v>15</v>
      </c>
      <c r="Z98" s="147" t="n">
        <v>0.83</v>
      </c>
      <c r="AA98" s="50" t="n">
        <f aca="false">AVERAGEA(AB98, Z98)</f>
        <v>6.415</v>
      </c>
      <c r="AB98" s="57" t="n">
        <v>12</v>
      </c>
      <c r="AC98" s="78" t="n">
        <v>0.83</v>
      </c>
      <c r="AD98" s="100" t="n">
        <f aca="false">AVERAGEA(AE98, AC98)</f>
        <v>6.415</v>
      </c>
      <c r="AE98" s="54" t="n">
        <v>12</v>
      </c>
      <c r="AF98" s="49" t="n">
        <v>0.25</v>
      </c>
      <c r="AG98" s="77" t="n">
        <f aca="false">AVERAGEA(AH98, AF98)</f>
        <v>1.125</v>
      </c>
      <c r="AH98" s="51" t="n">
        <v>2</v>
      </c>
      <c r="AI98" s="84" t="n">
        <v>0.5</v>
      </c>
      <c r="AJ98" s="77" t="n">
        <f aca="false">AVERAGEA(AK98, AI98)</f>
        <v>1.25</v>
      </c>
      <c r="AK98" s="51" t="n">
        <v>2</v>
      </c>
      <c r="AL98" s="78" t="n">
        <v>590</v>
      </c>
      <c r="AM98" s="53" t="n">
        <f aca="false">AVERAGEA(AN98, AL98)</f>
        <v>900</v>
      </c>
      <c r="AN98" s="54" t="n">
        <v>1210</v>
      </c>
      <c r="AO98" s="49" t="n">
        <v>17</v>
      </c>
      <c r="AP98" s="50" t="n">
        <f aca="false">AVERAGEA(AQ98, AO98)</f>
        <v>18.5</v>
      </c>
      <c r="AQ98" s="51" t="n">
        <v>20</v>
      </c>
      <c r="AR98" s="73" t="n">
        <v>1.3</v>
      </c>
      <c r="AS98" s="74" t="n">
        <f aca="false">AVERAGEA(AT98, AR98)</f>
        <v>3.15</v>
      </c>
      <c r="AT98" s="75" t="n">
        <v>5</v>
      </c>
      <c r="AU98" s="49" t="n">
        <v>1.5</v>
      </c>
      <c r="AV98" s="50" t="n">
        <f aca="false">AVERAGEA(AU98,AW98)</f>
        <v>13.85</v>
      </c>
      <c r="AW98" s="51" t="n">
        <v>26.2</v>
      </c>
      <c r="AX98" s="52" t="n">
        <v>1.5</v>
      </c>
      <c r="AY98" s="53" t="n">
        <f aca="false">AVERAGEA(AX98,AZ98)</f>
        <v>21.4</v>
      </c>
      <c r="AZ98" s="54" t="n">
        <v>41.3</v>
      </c>
      <c r="BA98" s="49" t="n">
        <v>3.5</v>
      </c>
      <c r="BB98" s="50" t="n">
        <f aca="false">AVERAGEA(BA98,BC98)</f>
        <v>39.725</v>
      </c>
      <c r="BC98" s="51" t="n">
        <v>75.95</v>
      </c>
      <c r="BD98" s="78" t="n">
        <v>0.25</v>
      </c>
      <c r="BE98" s="53" t="n">
        <f aca="false">AVERAGEA(BF98, BD98)</f>
        <v>0.375</v>
      </c>
      <c r="BF98" s="54" t="n">
        <v>0.5</v>
      </c>
      <c r="BG98" s="49" t="n">
        <v>30</v>
      </c>
      <c r="BH98" s="50"/>
      <c r="BI98" s="51" t="n">
        <v>60</v>
      </c>
      <c r="BJ98" s="78" t="n">
        <v>1</v>
      </c>
      <c r="BK98" s="53"/>
      <c r="BL98" s="54" t="n">
        <v>1.5</v>
      </c>
      <c r="BM98" s="49" t="n">
        <v>2</v>
      </c>
      <c r="BN98" s="50" t="n">
        <f aca="false">AVERAGEA(BM98,BO98)</f>
        <v>2.5</v>
      </c>
      <c r="BO98" s="51" t="n">
        <v>3</v>
      </c>
    </row>
    <row r="99" customFormat="false" ht="15" hidden="false" customHeight="true" outlineLevel="0" collapsed="false">
      <c r="B99" s="133"/>
      <c r="C99" s="134"/>
      <c r="D99" s="143"/>
      <c r="E99" s="144"/>
      <c r="F99" s="145" t="s">
        <v>69</v>
      </c>
      <c r="G99" s="146"/>
      <c r="H99" s="82" t="n">
        <v>60.578</v>
      </c>
      <c r="I99" s="71" t="n">
        <f aca="false">AVERAGE(H99,J99)</f>
        <v>60.668</v>
      </c>
      <c r="J99" s="83" t="n">
        <v>60.758</v>
      </c>
      <c r="K99" s="49" t="s">
        <v>46</v>
      </c>
      <c r="L99" s="50"/>
      <c r="M99" s="51" t="s">
        <v>46</v>
      </c>
      <c r="N99" s="52" t="s">
        <v>46</v>
      </c>
      <c r="O99" s="53"/>
      <c r="P99" s="54" t="s">
        <v>46</v>
      </c>
      <c r="Q99" s="52" t="s">
        <v>46</v>
      </c>
      <c r="R99" s="53"/>
      <c r="S99" s="53" t="s">
        <v>46</v>
      </c>
      <c r="T99" s="49" t="n">
        <v>84</v>
      </c>
      <c r="U99" s="50" t="n">
        <f aca="false">AVERAGEA(V99,T99)</f>
        <v>87.7</v>
      </c>
      <c r="V99" s="51" t="n">
        <v>91.4</v>
      </c>
      <c r="W99" s="78" t="n">
        <v>50</v>
      </c>
      <c r="X99" s="100" t="n">
        <f aca="false">AVERAGEA(Y99, W99)</f>
        <v>32.5</v>
      </c>
      <c r="Y99" s="54" t="n">
        <v>15</v>
      </c>
      <c r="Z99" s="147" t="n">
        <v>0.83</v>
      </c>
      <c r="AA99" s="50" t="n">
        <f aca="false">AVERAGEA(AB99, Z99)</f>
        <v>6.415</v>
      </c>
      <c r="AB99" s="57" t="n">
        <v>12</v>
      </c>
      <c r="AC99" s="78" t="n">
        <v>0.83</v>
      </c>
      <c r="AD99" s="100" t="n">
        <f aca="false">AVERAGEA(AE99, AC99)</f>
        <v>6.415</v>
      </c>
      <c r="AE99" s="54" t="n">
        <v>12</v>
      </c>
      <c r="AF99" s="49" t="n">
        <v>0.25</v>
      </c>
      <c r="AG99" s="77" t="n">
        <f aca="false">AVERAGEA(AH99, AF99)</f>
        <v>1.125</v>
      </c>
      <c r="AH99" s="51" t="n">
        <v>2</v>
      </c>
      <c r="AI99" s="84" t="n">
        <v>0.5</v>
      </c>
      <c r="AJ99" s="77" t="n">
        <f aca="false">AVERAGEA(AK99, AI99)</f>
        <v>1.25</v>
      </c>
      <c r="AK99" s="51" t="n">
        <v>2</v>
      </c>
      <c r="AL99" s="78" t="n">
        <v>590</v>
      </c>
      <c r="AM99" s="53" t="n">
        <f aca="false">AVERAGEA(AN99, AL99)</f>
        <v>900</v>
      </c>
      <c r="AN99" s="54" t="n">
        <v>1210</v>
      </c>
      <c r="AO99" s="49" t="n">
        <v>17</v>
      </c>
      <c r="AP99" s="50" t="n">
        <f aca="false">AVERAGEA(AQ99, AO99)</f>
        <v>18.5</v>
      </c>
      <c r="AQ99" s="51" t="n">
        <v>20</v>
      </c>
      <c r="AR99" s="73" t="n">
        <v>1.3</v>
      </c>
      <c r="AS99" s="74" t="n">
        <f aca="false">AVERAGEA(AT99, AR99)</f>
        <v>3.15</v>
      </c>
      <c r="AT99" s="75" t="n">
        <v>5</v>
      </c>
      <c r="AU99" s="49" t="n">
        <v>1.5</v>
      </c>
      <c r="AV99" s="50" t="n">
        <f aca="false">AVERAGEA(AU99,AW99)</f>
        <v>13.85</v>
      </c>
      <c r="AW99" s="51" t="n">
        <v>26.2</v>
      </c>
      <c r="AX99" s="52" t="n">
        <v>1.5</v>
      </c>
      <c r="AY99" s="53" t="n">
        <f aca="false">AVERAGEA(AX99,AZ99)</f>
        <v>21.4</v>
      </c>
      <c r="AZ99" s="54" t="n">
        <v>41.3</v>
      </c>
      <c r="BA99" s="49" t="n">
        <v>3.5</v>
      </c>
      <c r="BB99" s="50" t="n">
        <f aca="false">AVERAGEA(BA99,BC99)</f>
        <v>39.725</v>
      </c>
      <c r="BC99" s="51" t="n">
        <v>75.95</v>
      </c>
      <c r="BD99" s="78" t="n">
        <v>0.25</v>
      </c>
      <c r="BE99" s="53" t="n">
        <f aca="false">AVERAGEA(BF99, BD99)</f>
        <v>0.375</v>
      </c>
      <c r="BF99" s="54" t="n">
        <v>0.5</v>
      </c>
      <c r="BG99" s="49" t="n">
        <v>30</v>
      </c>
      <c r="BH99" s="50"/>
      <c r="BI99" s="51" t="n">
        <v>60</v>
      </c>
      <c r="BJ99" s="78" t="n">
        <v>1</v>
      </c>
      <c r="BK99" s="53"/>
      <c r="BL99" s="54" t="n">
        <v>1.5</v>
      </c>
      <c r="BM99" s="49" t="n">
        <v>2</v>
      </c>
      <c r="BN99" s="50" t="n">
        <f aca="false">AVERAGEA(BM99,BO99)</f>
        <v>2.5</v>
      </c>
      <c r="BO99" s="51" t="n">
        <v>3</v>
      </c>
    </row>
    <row r="100" customFormat="false" ht="15" hidden="false" customHeight="true" outlineLevel="0" collapsed="false">
      <c r="B100" s="133"/>
      <c r="C100" s="134"/>
      <c r="D100" s="143"/>
      <c r="E100" s="144"/>
      <c r="F100" s="145" t="s">
        <v>70</v>
      </c>
      <c r="G100" s="146"/>
      <c r="H100" s="82" t="n">
        <v>60.562</v>
      </c>
      <c r="I100" s="71" t="n">
        <f aca="false">AVERAGE(H100,J100)</f>
        <v>60.569</v>
      </c>
      <c r="J100" s="83" t="n">
        <v>60.576</v>
      </c>
      <c r="K100" s="49" t="s">
        <v>46</v>
      </c>
      <c r="L100" s="50"/>
      <c r="M100" s="51" t="s">
        <v>46</v>
      </c>
      <c r="N100" s="52" t="s">
        <v>46</v>
      </c>
      <c r="O100" s="53"/>
      <c r="P100" s="54" t="s">
        <v>46</v>
      </c>
      <c r="Q100" s="52" t="s">
        <v>46</v>
      </c>
      <c r="R100" s="53"/>
      <c r="S100" s="53" t="s">
        <v>46</v>
      </c>
      <c r="T100" s="49" t="n">
        <v>84</v>
      </c>
      <c r="U100" s="50" t="n">
        <f aca="false">AVERAGEA(V100,T100)</f>
        <v>87.7</v>
      </c>
      <c r="V100" s="51" t="n">
        <v>91.4</v>
      </c>
      <c r="W100" s="78" t="n">
        <v>50</v>
      </c>
      <c r="X100" s="100" t="n">
        <f aca="false">AVERAGEA(Y100, W100)</f>
        <v>32.5</v>
      </c>
      <c r="Y100" s="54" t="n">
        <v>15</v>
      </c>
      <c r="Z100" s="147" t="n">
        <v>0.83</v>
      </c>
      <c r="AA100" s="50" t="n">
        <f aca="false">AVERAGEA(AB100, Z100)</f>
        <v>6.415</v>
      </c>
      <c r="AB100" s="57" t="n">
        <v>12</v>
      </c>
      <c r="AC100" s="78" t="n">
        <v>0.83</v>
      </c>
      <c r="AD100" s="100" t="n">
        <f aca="false">AVERAGEA(AE100, AC100)</f>
        <v>6.415</v>
      </c>
      <c r="AE100" s="54" t="n">
        <v>12</v>
      </c>
      <c r="AF100" s="49" t="n">
        <v>0.25</v>
      </c>
      <c r="AG100" s="77" t="n">
        <f aca="false">AVERAGEA(AH100, AF100)</f>
        <v>1.125</v>
      </c>
      <c r="AH100" s="51" t="n">
        <v>2</v>
      </c>
      <c r="AI100" s="84" t="n">
        <v>0.5</v>
      </c>
      <c r="AJ100" s="77" t="n">
        <f aca="false">AVERAGEA(AK100, AI100)</f>
        <v>1.25</v>
      </c>
      <c r="AK100" s="51" t="n">
        <v>2</v>
      </c>
      <c r="AL100" s="78" t="n">
        <v>590</v>
      </c>
      <c r="AM100" s="53" t="n">
        <f aca="false">AVERAGEA(AN100, AL100)</f>
        <v>900</v>
      </c>
      <c r="AN100" s="54" t="n">
        <v>1210</v>
      </c>
      <c r="AO100" s="49" t="n">
        <v>17</v>
      </c>
      <c r="AP100" s="50" t="n">
        <f aca="false">AVERAGEA(AQ100, AO100)</f>
        <v>18.5</v>
      </c>
      <c r="AQ100" s="51" t="n">
        <v>20</v>
      </c>
      <c r="AR100" s="73" t="n">
        <v>1.3</v>
      </c>
      <c r="AS100" s="74" t="n">
        <f aca="false">AVERAGEA(AT100, AR100)</f>
        <v>3.15</v>
      </c>
      <c r="AT100" s="75" t="n">
        <v>5</v>
      </c>
      <c r="AU100" s="49" t="n">
        <v>1.5</v>
      </c>
      <c r="AV100" s="50" t="n">
        <f aca="false">AVERAGEA(AU100,AW100)</f>
        <v>13.85</v>
      </c>
      <c r="AW100" s="51" t="n">
        <v>26.2</v>
      </c>
      <c r="AX100" s="138" t="n">
        <v>1.5</v>
      </c>
      <c r="AY100" s="74" t="n">
        <f aca="false">AVERAGEA(AX100,AZ100)</f>
        <v>21.4</v>
      </c>
      <c r="AZ100" s="75" t="n">
        <v>41.3</v>
      </c>
      <c r="BA100" s="49" t="n">
        <v>3.5</v>
      </c>
      <c r="BB100" s="50" t="n">
        <f aca="false">AVERAGEA(BA100,BC100)</f>
        <v>39.725</v>
      </c>
      <c r="BC100" s="51" t="n">
        <v>75.95</v>
      </c>
      <c r="BD100" s="78" t="n">
        <v>0.25</v>
      </c>
      <c r="BE100" s="53" t="n">
        <f aca="false">AVERAGEA(BF100, BD100)</f>
        <v>0.375</v>
      </c>
      <c r="BF100" s="54" t="n">
        <v>0.5</v>
      </c>
      <c r="BG100" s="49" t="n">
        <v>30</v>
      </c>
      <c r="BH100" s="50"/>
      <c r="BI100" s="51" t="n">
        <v>60</v>
      </c>
      <c r="BJ100" s="78" t="n">
        <v>1</v>
      </c>
      <c r="BK100" s="74"/>
      <c r="BL100" s="54" t="n">
        <v>1.5</v>
      </c>
      <c r="BM100" s="49" t="n">
        <v>2</v>
      </c>
      <c r="BN100" s="50" t="n">
        <f aca="false">AVERAGEA(BM100,BO100)</f>
        <v>2.5</v>
      </c>
      <c r="BO100" s="51" t="n">
        <v>3</v>
      </c>
    </row>
    <row r="101" customFormat="false" ht="15" hidden="false" customHeight="true" outlineLevel="0" collapsed="false">
      <c r="B101" s="133"/>
      <c r="C101" s="143" t="s">
        <v>80</v>
      </c>
      <c r="D101" s="143" t="s">
        <v>66</v>
      </c>
      <c r="E101" s="148"/>
      <c r="F101" s="149" t="s">
        <v>67</v>
      </c>
      <c r="G101" s="150"/>
      <c r="H101" s="82" t="n">
        <v>48.3701120188662</v>
      </c>
      <c r="I101" s="71" t="n">
        <f aca="false">AVERAGE(H101,J101)</f>
        <v>49.7424882354571</v>
      </c>
      <c r="J101" s="83" t="n">
        <v>51.1148644520479</v>
      </c>
      <c r="K101" s="49" t="s">
        <v>46</v>
      </c>
      <c r="L101" s="50"/>
      <c r="M101" s="51" t="s">
        <v>46</v>
      </c>
      <c r="N101" s="52" t="s">
        <v>46</v>
      </c>
      <c r="O101" s="53"/>
      <c r="P101" s="54" t="s">
        <v>46</v>
      </c>
      <c r="Q101" s="52" t="s">
        <v>46</v>
      </c>
      <c r="R101" s="53"/>
      <c r="S101" s="53" t="s">
        <v>46</v>
      </c>
      <c r="T101" s="49" t="n">
        <v>60</v>
      </c>
      <c r="U101" s="50" t="n">
        <f aca="false">AVERAGEA(V101,T101)</f>
        <v>75.05</v>
      </c>
      <c r="V101" s="51" t="n">
        <v>90.1</v>
      </c>
      <c r="W101" s="78" t="n">
        <v>50</v>
      </c>
      <c r="X101" s="100" t="n">
        <f aca="false">AVERAGEA(Y101, W101)</f>
        <v>35</v>
      </c>
      <c r="Y101" s="54" t="n">
        <v>20</v>
      </c>
      <c r="Z101" s="147" t="n">
        <v>0.83</v>
      </c>
      <c r="AA101" s="50" t="n">
        <f aca="false">AVERAGEA(AB101, Z101)</f>
        <v>15.415</v>
      </c>
      <c r="AB101" s="51" t="n">
        <v>30</v>
      </c>
      <c r="AC101" s="78" t="n">
        <v>0.83</v>
      </c>
      <c r="AD101" s="100" t="n">
        <f aca="false">AVERAGEA(AE101, AC101)</f>
        <v>15.415</v>
      </c>
      <c r="AE101" s="54" t="n">
        <v>30</v>
      </c>
      <c r="AF101" s="49" t="n">
        <v>0.1</v>
      </c>
      <c r="AG101" s="77" t="n">
        <f aca="false">AVERAGEA(AH101, AF101)</f>
        <v>0.55</v>
      </c>
      <c r="AH101" s="51" t="n">
        <v>1</v>
      </c>
      <c r="AI101" s="84" t="n">
        <v>0.25</v>
      </c>
      <c r="AJ101" s="77" t="n">
        <f aca="false">AVERAGEA(AK101, AI101)</f>
        <v>0.625</v>
      </c>
      <c r="AK101" s="51" t="n">
        <v>1</v>
      </c>
      <c r="AL101" s="78" t="n">
        <v>370</v>
      </c>
      <c r="AM101" s="53" t="n">
        <f aca="false">AVERAGEA(AN101, AL101)</f>
        <v>550</v>
      </c>
      <c r="AN101" s="54" t="n">
        <v>730</v>
      </c>
      <c r="AO101" s="49" t="n">
        <v>9</v>
      </c>
      <c r="AP101" s="50" t="n">
        <f aca="false">AVERAGEA(AQ101, AO101)</f>
        <v>16.5</v>
      </c>
      <c r="AQ101" s="51" t="n">
        <v>24</v>
      </c>
      <c r="AR101" s="78" t="n">
        <v>0.8</v>
      </c>
      <c r="AS101" s="53" t="n">
        <f aca="false">AVERAGEA(AT101, AR101)</f>
        <v>2.4</v>
      </c>
      <c r="AT101" s="54" t="n">
        <v>4</v>
      </c>
      <c r="AU101" s="49" t="n">
        <v>0.02</v>
      </c>
      <c r="AV101" s="50" t="n">
        <f aca="false">AVERAGEA(AU101,AW101)</f>
        <v>12.01</v>
      </c>
      <c r="AW101" s="51" t="n">
        <v>24</v>
      </c>
      <c r="AX101" s="52" t="n">
        <v>0.02</v>
      </c>
      <c r="AY101" s="53" t="n">
        <f aca="false">AVERAGEA(AX101,AZ101)</f>
        <v>47.26</v>
      </c>
      <c r="AZ101" s="54" t="n">
        <v>94.5</v>
      </c>
      <c r="BA101" s="49" t="n">
        <v>0.06</v>
      </c>
      <c r="BB101" s="50" t="n">
        <f aca="false">AVERAGEA(BA101,BC101)</f>
        <v>38.53</v>
      </c>
      <c r="BC101" s="51" t="n">
        <v>77</v>
      </c>
      <c r="BD101" s="78" t="n">
        <v>0.66</v>
      </c>
      <c r="BE101" s="53" t="n">
        <f aca="false">AVERAGEA(BF101, BD101)</f>
        <v>0.73</v>
      </c>
      <c r="BF101" s="54" t="n">
        <v>0.8</v>
      </c>
      <c r="BG101" s="49" t="n">
        <v>4</v>
      </c>
      <c r="BH101" s="50" t="n">
        <f aca="false">AVERAGEA(BG101,BI101)</f>
        <v>6</v>
      </c>
      <c r="BI101" s="51" t="n">
        <v>8</v>
      </c>
      <c r="BJ101" s="78" t="s">
        <v>81</v>
      </c>
      <c r="BK101" s="53" t="s">
        <v>82</v>
      </c>
      <c r="BL101" s="54" t="s">
        <v>83</v>
      </c>
      <c r="BM101" s="49" t="s">
        <v>81</v>
      </c>
      <c r="BN101" s="50" t="s">
        <v>82</v>
      </c>
      <c r="BO101" s="51" t="s">
        <v>83</v>
      </c>
    </row>
    <row r="102" customFormat="false" ht="15" hidden="false" customHeight="true" outlineLevel="0" collapsed="false">
      <c r="B102" s="133"/>
      <c r="C102" s="143"/>
      <c r="D102" s="143"/>
      <c r="E102" s="148"/>
      <c r="F102" s="149" t="s">
        <v>68</v>
      </c>
      <c r="G102" s="150"/>
      <c r="H102" s="82" t="n">
        <v>42.5465671923017</v>
      </c>
      <c r="I102" s="71" t="n">
        <f aca="false">AVERAGE(H102,J102)</f>
        <v>45.4512546594961</v>
      </c>
      <c r="J102" s="83" t="n">
        <v>48.3559421266904</v>
      </c>
      <c r="K102" s="49" t="s">
        <v>46</v>
      </c>
      <c r="L102" s="50"/>
      <c r="M102" s="51" t="s">
        <v>46</v>
      </c>
      <c r="N102" s="52" t="s">
        <v>46</v>
      </c>
      <c r="O102" s="53"/>
      <c r="P102" s="54" t="s">
        <v>46</v>
      </c>
      <c r="Q102" s="52" t="s">
        <v>46</v>
      </c>
      <c r="R102" s="53"/>
      <c r="S102" s="53" t="s">
        <v>46</v>
      </c>
      <c r="T102" s="49" t="n">
        <v>60</v>
      </c>
      <c r="U102" s="50" t="n">
        <f aca="false">AVERAGEA(V102,T102)</f>
        <v>75.05</v>
      </c>
      <c r="V102" s="51" t="n">
        <v>90.1</v>
      </c>
      <c r="W102" s="78" t="n">
        <v>50</v>
      </c>
      <c r="X102" s="100" t="n">
        <f aca="false">AVERAGEA(Y102, W102)</f>
        <v>35</v>
      </c>
      <c r="Y102" s="54" t="n">
        <v>20</v>
      </c>
      <c r="Z102" s="50" t="n">
        <v>0.83</v>
      </c>
      <c r="AA102" s="50" t="n">
        <f aca="false">AVERAGEA(AB102, Z102)</f>
        <v>15.415</v>
      </c>
      <c r="AB102" s="51" t="n">
        <v>30</v>
      </c>
      <c r="AC102" s="78" t="n">
        <v>0.83</v>
      </c>
      <c r="AD102" s="100" t="n">
        <f aca="false">AVERAGEA(AE102, AC102)</f>
        <v>15.415</v>
      </c>
      <c r="AE102" s="54" t="n">
        <v>30</v>
      </c>
      <c r="AF102" s="49" t="n">
        <v>0.1</v>
      </c>
      <c r="AG102" s="77" t="n">
        <f aca="false">AVERAGEA(AH102, AF102)</f>
        <v>0.55</v>
      </c>
      <c r="AH102" s="51" t="n">
        <v>1</v>
      </c>
      <c r="AI102" s="84" t="n">
        <v>0.25</v>
      </c>
      <c r="AJ102" s="77" t="n">
        <f aca="false">AVERAGEA(AK102, AI102)</f>
        <v>0.625</v>
      </c>
      <c r="AK102" s="51" t="n">
        <v>1</v>
      </c>
      <c r="AL102" s="78" t="n">
        <v>370</v>
      </c>
      <c r="AM102" s="53" t="n">
        <f aca="false">AVERAGEA(AN102, AL102)</f>
        <v>550</v>
      </c>
      <c r="AN102" s="54" t="n">
        <v>730</v>
      </c>
      <c r="AO102" s="49" t="n">
        <v>9</v>
      </c>
      <c r="AP102" s="50" t="n">
        <f aca="false">AVERAGEA(AQ102, AO102)</f>
        <v>16.5</v>
      </c>
      <c r="AQ102" s="51" t="n">
        <v>24</v>
      </c>
      <c r="AR102" s="78" t="n">
        <v>0.8</v>
      </c>
      <c r="AS102" s="53" t="n">
        <f aca="false">AVERAGEA(AT102, AR102)</f>
        <v>2.4</v>
      </c>
      <c r="AT102" s="54" t="n">
        <v>4</v>
      </c>
      <c r="AU102" s="49" t="n">
        <v>0.02</v>
      </c>
      <c r="AV102" s="50" t="n">
        <f aca="false">AVERAGEA(AU102,AW102)</f>
        <v>12.01</v>
      </c>
      <c r="AW102" s="51" t="n">
        <v>24</v>
      </c>
      <c r="AX102" s="78" t="n">
        <v>0.02</v>
      </c>
      <c r="AY102" s="53" t="n">
        <f aca="false">AVERAGEA(AX102,AZ102)</f>
        <v>47.26</v>
      </c>
      <c r="AZ102" s="54" t="n">
        <v>94.5</v>
      </c>
      <c r="BA102" s="49" t="n">
        <v>0.06</v>
      </c>
      <c r="BB102" s="50" t="n">
        <f aca="false">AVERAGEA(BA102,BC102)</f>
        <v>38.53</v>
      </c>
      <c r="BC102" s="51" t="n">
        <v>77</v>
      </c>
      <c r="BD102" s="78" t="n">
        <v>0.66</v>
      </c>
      <c r="BE102" s="53" t="n">
        <f aca="false">AVERAGEA(BF102, BD102)</f>
        <v>0.73</v>
      </c>
      <c r="BF102" s="54" t="n">
        <v>0.8</v>
      </c>
      <c r="BG102" s="49" t="n">
        <v>4</v>
      </c>
      <c r="BH102" s="50" t="n">
        <f aca="false">AVERAGEA(BG102,BI102)</f>
        <v>6</v>
      </c>
      <c r="BI102" s="51" t="n">
        <v>8</v>
      </c>
      <c r="BJ102" s="78" t="s">
        <v>81</v>
      </c>
      <c r="BK102" s="53" t="s">
        <v>82</v>
      </c>
      <c r="BL102" s="54" t="s">
        <v>83</v>
      </c>
      <c r="BM102" s="49" t="s">
        <v>81</v>
      </c>
      <c r="BN102" s="50" t="s">
        <v>82</v>
      </c>
      <c r="BO102" s="51" t="s">
        <v>83</v>
      </c>
    </row>
    <row r="103" customFormat="false" ht="15" hidden="false" customHeight="true" outlineLevel="0" collapsed="false">
      <c r="B103" s="133"/>
      <c r="C103" s="143"/>
      <c r="D103" s="143"/>
      <c r="E103" s="148"/>
      <c r="F103" s="149" t="s">
        <v>69</v>
      </c>
      <c r="G103" s="150"/>
      <c r="H103" s="82" t="n">
        <v>33.2490283595987</v>
      </c>
      <c r="I103" s="71" t="n">
        <f aca="false">AVERAGE(H103,J103)</f>
        <v>37.8759155447463</v>
      </c>
      <c r="J103" s="83" t="n">
        <v>42.5028027298939</v>
      </c>
      <c r="K103" s="49" t="s">
        <v>46</v>
      </c>
      <c r="L103" s="50"/>
      <c r="M103" s="51" t="s">
        <v>46</v>
      </c>
      <c r="N103" s="52" t="s">
        <v>46</v>
      </c>
      <c r="O103" s="53"/>
      <c r="P103" s="54" t="s">
        <v>46</v>
      </c>
      <c r="Q103" s="52" t="s">
        <v>46</v>
      </c>
      <c r="R103" s="53"/>
      <c r="S103" s="53" t="s">
        <v>46</v>
      </c>
      <c r="T103" s="49" t="n">
        <v>60</v>
      </c>
      <c r="U103" s="50" t="n">
        <f aca="false">AVERAGEA(V103,T103)</f>
        <v>75.05</v>
      </c>
      <c r="V103" s="51" t="n">
        <v>90.1</v>
      </c>
      <c r="W103" s="78" t="n">
        <v>50</v>
      </c>
      <c r="X103" s="100" t="n">
        <f aca="false">AVERAGEA(Y103, W103)</f>
        <v>35</v>
      </c>
      <c r="Y103" s="54" t="n">
        <v>20</v>
      </c>
      <c r="Z103" s="50" t="n">
        <v>0.83</v>
      </c>
      <c r="AA103" s="50" t="n">
        <f aca="false">AVERAGEA(AB103, Z103)</f>
        <v>15.415</v>
      </c>
      <c r="AB103" s="51" t="n">
        <v>30</v>
      </c>
      <c r="AC103" s="78" t="n">
        <v>0.83</v>
      </c>
      <c r="AD103" s="100" t="n">
        <f aca="false">AVERAGEA(AE103, AC103)</f>
        <v>15.415</v>
      </c>
      <c r="AE103" s="54" t="n">
        <v>30</v>
      </c>
      <c r="AF103" s="49" t="n">
        <v>0.1</v>
      </c>
      <c r="AG103" s="77" t="n">
        <f aca="false">AVERAGEA(AH103, AF103)</f>
        <v>0.55</v>
      </c>
      <c r="AH103" s="51" t="n">
        <v>1</v>
      </c>
      <c r="AI103" s="84" t="n">
        <v>0.25</v>
      </c>
      <c r="AJ103" s="77" t="n">
        <f aca="false">AVERAGEA(AK103, AI103)</f>
        <v>0.625</v>
      </c>
      <c r="AK103" s="51" t="n">
        <v>1</v>
      </c>
      <c r="AL103" s="78" t="n">
        <v>370</v>
      </c>
      <c r="AM103" s="53" t="n">
        <f aca="false">AVERAGEA(AN103, AL103)</f>
        <v>550</v>
      </c>
      <c r="AN103" s="54" t="n">
        <v>730</v>
      </c>
      <c r="AO103" s="49" t="n">
        <v>9</v>
      </c>
      <c r="AP103" s="50" t="n">
        <f aca="false">AVERAGEA(AQ103, AO103)</f>
        <v>16.5</v>
      </c>
      <c r="AQ103" s="51" t="n">
        <v>24</v>
      </c>
      <c r="AR103" s="78" t="n">
        <v>0.8</v>
      </c>
      <c r="AS103" s="53" t="n">
        <f aca="false">AVERAGEA(AT103, AR103)</f>
        <v>2.4</v>
      </c>
      <c r="AT103" s="54" t="n">
        <v>4</v>
      </c>
      <c r="AU103" s="49" t="n">
        <v>0.02</v>
      </c>
      <c r="AV103" s="50" t="n">
        <f aca="false">AVERAGEA(AU103,AW103)</f>
        <v>12.01</v>
      </c>
      <c r="AW103" s="51" t="n">
        <v>24</v>
      </c>
      <c r="AX103" s="78" t="n">
        <v>0.02</v>
      </c>
      <c r="AY103" s="53" t="n">
        <f aca="false">AVERAGEA(AX103,AZ103)</f>
        <v>47.26</v>
      </c>
      <c r="AZ103" s="54" t="n">
        <v>94.5</v>
      </c>
      <c r="BA103" s="49" t="n">
        <v>0.06</v>
      </c>
      <c r="BB103" s="50" t="n">
        <f aca="false">AVERAGEA(BA103,BC103)</f>
        <v>38.53</v>
      </c>
      <c r="BC103" s="51" t="n">
        <v>77</v>
      </c>
      <c r="BD103" s="78" t="n">
        <v>0.66</v>
      </c>
      <c r="BE103" s="53" t="n">
        <f aca="false">AVERAGEA(BF103, BD103)</f>
        <v>0.73</v>
      </c>
      <c r="BF103" s="54" t="n">
        <v>0.8</v>
      </c>
      <c r="BG103" s="49" t="n">
        <v>4</v>
      </c>
      <c r="BH103" s="50" t="n">
        <f aca="false">AVERAGEA(BG103,BI103)</f>
        <v>6</v>
      </c>
      <c r="BI103" s="51" t="n">
        <v>8</v>
      </c>
      <c r="BJ103" s="78" t="s">
        <v>81</v>
      </c>
      <c r="BK103" s="53" t="s">
        <v>82</v>
      </c>
      <c r="BL103" s="54" t="s">
        <v>83</v>
      </c>
      <c r="BM103" s="49" t="s">
        <v>81</v>
      </c>
      <c r="BN103" s="50" t="s">
        <v>82</v>
      </c>
      <c r="BO103" s="51" t="s">
        <v>83</v>
      </c>
    </row>
    <row r="104" customFormat="false" ht="15" hidden="false" customHeight="true" outlineLevel="0" collapsed="false">
      <c r="B104" s="133"/>
      <c r="C104" s="143"/>
      <c r="D104" s="143"/>
      <c r="E104" s="148"/>
      <c r="F104" s="149" t="s">
        <v>70</v>
      </c>
      <c r="G104" s="150"/>
      <c r="H104" s="82" t="n">
        <v>26.55</v>
      </c>
      <c r="I104" s="71" t="n">
        <f aca="false">AVERAGE(H104,J104)</f>
        <v>29.7002105144203</v>
      </c>
      <c r="J104" s="83" t="n">
        <v>32.8504210288406</v>
      </c>
      <c r="K104" s="49" t="s">
        <v>46</v>
      </c>
      <c r="L104" s="50"/>
      <c r="M104" s="51" t="s">
        <v>46</v>
      </c>
      <c r="N104" s="52" t="s">
        <v>46</v>
      </c>
      <c r="O104" s="53"/>
      <c r="P104" s="54" t="s">
        <v>46</v>
      </c>
      <c r="Q104" s="52" t="s">
        <v>46</v>
      </c>
      <c r="R104" s="53"/>
      <c r="S104" s="53" t="s">
        <v>46</v>
      </c>
      <c r="T104" s="49" t="n">
        <v>60</v>
      </c>
      <c r="U104" s="50" t="n">
        <f aca="false">AVERAGEA(V104,T104)</f>
        <v>75.05</v>
      </c>
      <c r="V104" s="51" t="n">
        <v>90.1</v>
      </c>
      <c r="W104" s="78" t="n">
        <v>50</v>
      </c>
      <c r="X104" s="100" t="n">
        <f aca="false">AVERAGEA(Y104, W104)</f>
        <v>35</v>
      </c>
      <c r="Y104" s="54" t="n">
        <v>20</v>
      </c>
      <c r="Z104" s="50" t="n">
        <v>0.83</v>
      </c>
      <c r="AA104" s="50" t="n">
        <f aca="false">AVERAGEA(AB104, Z104)</f>
        <v>15.415</v>
      </c>
      <c r="AB104" s="51" t="n">
        <v>30</v>
      </c>
      <c r="AC104" s="78" t="n">
        <v>0.83</v>
      </c>
      <c r="AD104" s="100" t="n">
        <f aca="false">AVERAGEA(AE104, AC104)</f>
        <v>15.415</v>
      </c>
      <c r="AE104" s="54" t="n">
        <v>30</v>
      </c>
      <c r="AF104" s="49" t="n">
        <v>0.1</v>
      </c>
      <c r="AG104" s="77" t="n">
        <f aca="false">AVERAGEA(AH104, AF104)</f>
        <v>0.55</v>
      </c>
      <c r="AH104" s="51" t="n">
        <v>1</v>
      </c>
      <c r="AI104" s="84" t="n">
        <v>0.25</v>
      </c>
      <c r="AJ104" s="77" t="n">
        <f aca="false">AVERAGEA(AK104, AI104)</f>
        <v>0.625</v>
      </c>
      <c r="AK104" s="51" t="n">
        <v>1</v>
      </c>
      <c r="AL104" s="78" t="n">
        <v>370</v>
      </c>
      <c r="AM104" s="53" t="n">
        <f aca="false">AVERAGEA(AN104, AL104)</f>
        <v>550</v>
      </c>
      <c r="AN104" s="54" t="n">
        <v>730</v>
      </c>
      <c r="AO104" s="49" t="n">
        <v>9</v>
      </c>
      <c r="AP104" s="50" t="n">
        <f aca="false">AVERAGEA(AQ104, AO104)</f>
        <v>16.5</v>
      </c>
      <c r="AQ104" s="51" t="n">
        <v>24</v>
      </c>
      <c r="AR104" s="78" t="n">
        <v>0.8</v>
      </c>
      <c r="AS104" s="53" t="n">
        <f aca="false">AVERAGEA(AT104, AR104)</f>
        <v>2.4</v>
      </c>
      <c r="AT104" s="54" t="n">
        <v>4</v>
      </c>
      <c r="AU104" s="49" t="n">
        <v>0.02</v>
      </c>
      <c r="AV104" s="50" t="n">
        <f aca="false">AVERAGEA(AU104,AW104)</f>
        <v>12.01</v>
      </c>
      <c r="AW104" s="51" t="n">
        <v>24</v>
      </c>
      <c r="AX104" s="78" t="n">
        <v>0.02</v>
      </c>
      <c r="AY104" s="53" t="n">
        <f aca="false">AVERAGEA(AX104,AZ104)</f>
        <v>47.26</v>
      </c>
      <c r="AZ104" s="54" t="n">
        <v>94.5</v>
      </c>
      <c r="BA104" s="49" t="n">
        <v>0.06</v>
      </c>
      <c r="BB104" s="50" t="n">
        <f aca="false">AVERAGEA(BA104,BC104)</f>
        <v>38.53</v>
      </c>
      <c r="BC104" s="51" t="n">
        <v>77</v>
      </c>
      <c r="BD104" s="78" t="n">
        <v>0.66</v>
      </c>
      <c r="BE104" s="53" t="n">
        <f aca="false">AVERAGEA(BF104, BD104)</f>
        <v>0.73</v>
      </c>
      <c r="BF104" s="54" t="n">
        <v>0.8</v>
      </c>
      <c r="BG104" s="49" t="n">
        <v>4</v>
      </c>
      <c r="BH104" s="50" t="n">
        <f aca="false">AVERAGEA(BG104,BI104)</f>
        <v>6</v>
      </c>
      <c r="BI104" s="51" t="n">
        <v>8</v>
      </c>
      <c r="BJ104" s="78" t="s">
        <v>81</v>
      </c>
      <c r="BK104" s="53" t="s">
        <v>82</v>
      </c>
      <c r="BL104" s="54" t="s">
        <v>83</v>
      </c>
      <c r="BM104" s="49" t="s">
        <v>81</v>
      </c>
      <c r="BN104" s="50" t="s">
        <v>82</v>
      </c>
      <c r="BO104" s="51" t="s">
        <v>83</v>
      </c>
    </row>
    <row r="105" customFormat="false" ht="15" hidden="false" customHeight="true" outlineLevel="0" collapsed="false">
      <c r="B105" s="133"/>
      <c r="C105" s="143" t="s">
        <v>80</v>
      </c>
      <c r="D105" s="143" t="s">
        <v>71</v>
      </c>
      <c r="E105" s="144" t="s">
        <v>72</v>
      </c>
      <c r="F105" s="145" t="s">
        <v>67</v>
      </c>
      <c r="G105" s="146" t="s">
        <v>73</v>
      </c>
      <c r="H105" s="82" t="n">
        <v>37.6602962916239</v>
      </c>
      <c r="I105" s="71" t="n">
        <f aca="false">AVERAGE(H105,J105)</f>
        <v>38.1413289879093</v>
      </c>
      <c r="J105" s="83" t="n">
        <v>38.6223616841948</v>
      </c>
      <c r="K105" s="49" t="s">
        <v>46</v>
      </c>
      <c r="L105" s="50"/>
      <c r="M105" s="51" t="s">
        <v>46</v>
      </c>
      <c r="N105" s="52" t="s">
        <v>46</v>
      </c>
      <c r="O105" s="53"/>
      <c r="P105" s="54" t="s">
        <v>46</v>
      </c>
      <c r="Q105" s="52" t="s">
        <v>46</v>
      </c>
      <c r="R105" s="53"/>
      <c r="S105" s="53" t="s">
        <v>46</v>
      </c>
      <c r="T105" s="49" t="n">
        <v>60</v>
      </c>
      <c r="U105" s="50" t="n">
        <f aca="false">AVERAGEA(V105,T105)</f>
        <v>75.05</v>
      </c>
      <c r="V105" s="51" t="n">
        <v>90.1</v>
      </c>
      <c r="W105" s="78" t="n">
        <v>50</v>
      </c>
      <c r="X105" s="100" t="n">
        <f aca="false">AVERAGEA(Y105, W105)</f>
        <v>35</v>
      </c>
      <c r="Y105" s="54" t="n">
        <v>20</v>
      </c>
      <c r="Z105" s="50" t="n">
        <v>0.83</v>
      </c>
      <c r="AA105" s="50" t="n">
        <f aca="false">AVERAGEA(AB105, Z105)</f>
        <v>15.415</v>
      </c>
      <c r="AB105" s="51" t="n">
        <v>30</v>
      </c>
      <c r="AC105" s="78" t="n">
        <v>0.83</v>
      </c>
      <c r="AD105" s="100" t="n">
        <f aca="false">AVERAGEA(AE105, AC105)</f>
        <v>15.415</v>
      </c>
      <c r="AE105" s="54" t="n">
        <v>30</v>
      </c>
      <c r="AF105" s="49" t="n">
        <v>0.1</v>
      </c>
      <c r="AG105" s="77" t="n">
        <f aca="false">AVERAGEA(AH105, AF105)</f>
        <v>0.55</v>
      </c>
      <c r="AH105" s="51" t="n">
        <v>1</v>
      </c>
      <c r="AI105" s="84" t="n">
        <v>0.25</v>
      </c>
      <c r="AJ105" s="77" t="n">
        <f aca="false">AVERAGEA(AK105, AI105)</f>
        <v>0.625</v>
      </c>
      <c r="AK105" s="51" t="n">
        <v>1</v>
      </c>
      <c r="AL105" s="78" t="n">
        <v>370</v>
      </c>
      <c r="AM105" s="53" t="n">
        <f aca="false">AVERAGEA(AN105, AL105)</f>
        <v>510</v>
      </c>
      <c r="AN105" s="54" t="n">
        <v>650</v>
      </c>
      <c r="AO105" s="49" t="n">
        <v>9</v>
      </c>
      <c r="AP105" s="50" t="n">
        <f aca="false">AVERAGEA(AQ105, AO105)</f>
        <v>16.5</v>
      </c>
      <c r="AQ105" s="51" t="n">
        <v>24</v>
      </c>
      <c r="AR105" s="78" t="n">
        <v>0.8</v>
      </c>
      <c r="AS105" s="53" t="n">
        <f aca="false">AVERAGEA(AT105, AR105)</f>
        <v>1</v>
      </c>
      <c r="AT105" s="54" t="n">
        <v>1.2</v>
      </c>
      <c r="AU105" s="49" t="n">
        <v>0.02</v>
      </c>
      <c r="AV105" s="50" t="n">
        <f aca="false">AVERAGEA(AU105,AW105)</f>
        <v>12.01</v>
      </c>
      <c r="AW105" s="51" t="n">
        <v>24</v>
      </c>
      <c r="AX105" s="78" t="n">
        <v>0.02</v>
      </c>
      <c r="AY105" s="53" t="n">
        <f aca="false">AVERAGEA(AX105,AZ105)</f>
        <v>47.26</v>
      </c>
      <c r="AZ105" s="54" t="n">
        <v>94.5</v>
      </c>
      <c r="BA105" s="49" t="n">
        <v>0.06</v>
      </c>
      <c r="BB105" s="50" t="n">
        <f aca="false">AVERAGEA(BA105,BC105)</f>
        <v>38.53</v>
      </c>
      <c r="BC105" s="51" t="n">
        <v>77</v>
      </c>
      <c r="BD105" s="78" t="n">
        <v>0.66</v>
      </c>
      <c r="BE105" s="53" t="n">
        <f aca="false">AVERAGEA(BF105, BD105)</f>
        <v>0.73</v>
      </c>
      <c r="BF105" s="54" t="n">
        <v>0.8</v>
      </c>
      <c r="BG105" s="49" t="n">
        <v>0</v>
      </c>
      <c r="BH105" s="50" t="n">
        <f aca="false">AVERAGEA(BG105,BI105)</f>
        <v>15</v>
      </c>
      <c r="BI105" s="51" t="n">
        <v>30</v>
      </c>
      <c r="BJ105" s="78" t="n">
        <v>0</v>
      </c>
      <c r="BK105" s="53" t="n">
        <f aca="false">AVERAGEA(BJ105,BL105)</f>
        <v>0.25</v>
      </c>
      <c r="BL105" s="54" t="n">
        <v>0.5</v>
      </c>
      <c r="BM105" s="49" t="n">
        <v>0</v>
      </c>
      <c r="BN105" s="50" t="n">
        <f aca="false">AVERAGEA(BM105,BO105)</f>
        <v>0.5</v>
      </c>
      <c r="BO105" s="51" t="n">
        <v>1</v>
      </c>
    </row>
    <row r="106" customFormat="false" ht="15" hidden="false" customHeight="true" outlineLevel="0" collapsed="false">
      <c r="B106" s="133"/>
      <c r="C106" s="143"/>
      <c r="D106" s="143"/>
      <c r="E106" s="144"/>
      <c r="F106" s="145" t="s">
        <v>68</v>
      </c>
      <c r="G106" s="146"/>
      <c r="H106" s="82" t="n">
        <v>35.5157792561089</v>
      </c>
      <c r="I106" s="71" t="n">
        <f aca="false">AVERAGE(H106,J106)</f>
        <v>36.5855164790602</v>
      </c>
      <c r="J106" s="83" t="n">
        <v>37.6552537020114</v>
      </c>
      <c r="K106" s="49" t="s">
        <v>46</v>
      </c>
      <c r="L106" s="50"/>
      <c r="M106" s="51" t="s">
        <v>46</v>
      </c>
      <c r="N106" s="52" t="s">
        <v>46</v>
      </c>
      <c r="O106" s="53"/>
      <c r="P106" s="54" t="s">
        <v>46</v>
      </c>
      <c r="Q106" s="52" t="s">
        <v>46</v>
      </c>
      <c r="R106" s="53"/>
      <c r="S106" s="53" t="s">
        <v>46</v>
      </c>
      <c r="T106" s="49" t="n">
        <v>60</v>
      </c>
      <c r="U106" s="50" t="n">
        <f aca="false">AVERAGEA(V106,T106)</f>
        <v>75.05</v>
      </c>
      <c r="V106" s="51" t="n">
        <v>90.1</v>
      </c>
      <c r="W106" s="78" t="n">
        <v>50</v>
      </c>
      <c r="X106" s="100" t="n">
        <f aca="false">AVERAGEA(Y106, W106)</f>
        <v>35</v>
      </c>
      <c r="Y106" s="54" t="n">
        <v>20</v>
      </c>
      <c r="Z106" s="50" t="n">
        <v>0.83</v>
      </c>
      <c r="AA106" s="50" t="n">
        <f aca="false">AVERAGEA(AB106, Z106)</f>
        <v>15.415</v>
      </c>
      <c r="AB106" s="51" t="n">
        <v>30</v>
      </c>
      <c r="AC106" s="78" t="n">
        <v>0.83</v>
      </c>
      <c r="AD106" s="100" t="n">
        <f aca="false">AVERAGEA(AE106, AC106)</f>
        <v>15.415</v>
      </c>
      <c r="AE106" s="54" t="n">
        <v>30</v>
      </c>
      <c r="AF106" s="49" t="n">
        <v>0.1</v>
      </c>
      <c r="AG106" s="77" t="n">
        <f aca="false">AVERAGEA(AH106, AF106)</f>
        <v>0.55</v>
      </c>
      <c r="AH106" s="51" t="n">
        <v>1</v>
      </c>
      <c r="AI106" s="84" t="n">
        <v>0.25</v>
      </c>
      <c r="AJ106" s="77" t="n">
        <f aca="false">AVERAGEA(AK106, AI106)</f>
        <v>0.625</v>
      </c>
      <c r="AK106" s="51" t="n">
        <v>1</v>
      </c>
      <c r="AL106" s="78" t="n">
        <v>370</v>
      </c>
      <c r="AM106" s="53" t="n">
        <f aca="false">AVERAGEA(AN106, AL106)</f>
        <v>510</v>
      </c>
      <c r="AN106" s="54" t="n">
        <v>650</v>
      </c>
      <c r="AO106" s="49" t="n">
        <v>9</v>
      </c>
      <c r="AP106" s="50" t="n">
        <f aca="false">AVERAGEA(AQ106, AO106)</f>
        <v>16.5</v>
      </c>
      <c r="AQ106" s="51" t="n">
        <v>24</v>
      </c>
      <c r="AR106" s="78" t="n">
        <v>0.8</v>
      </c>
      <c r="AS106" s="53" t="n">
        <f aca="false">AVERAGEA(AT106, AR106)</f>
        <v>1</v>
      </c>
      <c r="AT106" s="54" t="n">
        <v>1.2</v>
      </c>
      <c r="AU106" s="49" t="n">
        <v>0.02</v>
      </c>
      <c r="AV106" s="50" t="n">
        <f aca="false">AVERAGEA(AU106,AW106)</f>
        <v>12.01</v>
      </c>
      <c r="AW106" s="51" t="n">
        <v>24</v>
      </c>
      <c r="AX106" s="78" t="n">
        <v>0.02</v>
      </c>
      <c r="AY106" s="53" t="n">
        <f aca="false">AVERAGEA(AX106,AZ106)</f>
        <v>47.26</v>
      </c>
      <c r="AZ106" s="54" t="n">
        <v>94.5</v>
      </c>
      <c r="BA106" s="49" t="n">
        <v>0.06</v>
      </c>
      <c r="BB106" s="50" t="n">
        <f aca="false">AVERAGEA(BA106,BC106)</f>
        <v>38.53</v>
      </c>
      <c r="BC106" s="51" t="n">
        <v>77</v>
      </c>
      <c r="BD106" s="78" t="n">
        <v>0.66</v>
      </c>
      <c r="BE106" s="53" t="n">
        <f aca="false">AVERAGEA(BF106, BD106)</f>
        <v>0.73</v>
      </c>
      <c r="BF106" s="54" t="n">
        <v>0.8</v>
      </c>
      <c r="BG106" s="49" t="n">
        <v>0</v>
      </c>
      <c r="BH106" s="50" t="n">
        <f aca="false">AVERAGEA(BG106,BI106)</f>
        <v>15</v>
      </c>
      <c r="BI106" s="51" t="n">
        <v>30</v>
      </c>
      <c r="BJ106" s="78" t="n">
        <v>0</v>
      </c>
      <c r="BK106" s="53" t="n">
        <f aca="false">AVERAGEA(BJ106,BL106)</f>
        <v>0.25</v>
      </c>
      <c r="BL106" s="54" t="n">
        <v>0.5</v>
      </c>
      <c r="BM106" s="49" t="n">
        <v>0</v>
      </c>
      <c r="BN106" s="50" t="n">
        <f aca="false">AVERAGEA(BM106,BO106)</f>
        <v>0.5</v>
      </c>
      <c r="BO106" s="51" t="n">
        <v>1</v>
      </c>
    </row>
    <row r="107" customFormat="false" ht="15" hidden="false" customHeight="true" outlineLevel="0" collapsed="false">
      <c r="B107" s="133"/>
      <c r="C107" s="143"/>
      <c r="D107" s="143"/>
      <c r="E107" s="144"/>
      <c r="F107" s="145" t="s">
        <v>69</v>
      </c>
      <c r="G107" s="146"/>
      <c r="H107" s="82" t="n">
        <v>31.7307178592082</v>
      </c>
      <c r="I107" s="71" t="n">
        <f aca="false">AVERAGE(H107,J107)</f>
        <v>33.6148979967544</v>
      </c>
      <c r="J107" s="83" t="n">
        <v>35.4990781343005</v>
      </c>
      <c r="K107" s="49" t="s">
        <v>46</v>
      </c>
      <c r="L107" s="50"/>
      <c r="M107" s="51" t="s">
        <v>46</v>
      </c>
      <c r="N107" s="52" t="s">
        <v>46</v>
      </c>
      <c r="O107" s="53"/>
      <c r="P107" s="54" t="s">
        <v>46</v>
      </c>
      <c r="Q107" s="52" t="s">
        <v>46</v>
      </c>
      <c r="R107" s="53"/>
      <c r="S107" s="53" t="s">
        <v>46</v>
      </c>
      <c r="T107" s="49" t="n">
        <v>60</v>
      </c>
      <c r="U107" s="50" t="n">
        <f aca="false">AVERAGEA(V107,T107)</f>
        <v>75.05</v>
      </c>
      <c r="V107" s="51" t="n">
        <v>90.1</v>
      </c>
      <c r="W107" s="78" t="n">
        <v>50</v>
      </c>
      <c r="X107" s="100" t="n">
        <f aca="false">AVERAGEA(Y107, W107)</f>
        <v>35</v>
      </c>
      <c r="Y107" s="54" t="n">
        <v>20</v>
      </c>
      <c r="Z107" s="50" t="n">
        <v>0.83</v>
      </c>
      <c r="AA107" s="50" t="n">
        <f aca="false">AVERAGEA(AB107, Z107)</f>
        <v>15.415</v>
      </c>
      <c r="AB107" s="51" t="n">
        <v>30</v>
      </c>
      <c r="AC107" s="78" t="n">
        <v>0.83</v>
      </c>
      <c r="AD107" s="100" t="n">
        <f aca="false">AVERAGEA(AE107, AC107)</f>
        <v>15.415</v>
      </c>
      <c r="AE107" s="54" t="n">
        <v>30</v>
      </c>
      <c r="AF107" s="49" t="n">
        <v>0.1</v>
      </c>
      <c r="AG107" s="77" t="n">
        <f aca="false">AVERAGEA(AH107, AF107)</f>
        <v>0.55</v>
      </c>
      <c r="AH107" s="51" t="n">
        <v>1</v>
      </c>
      <c r="AI107" s="84" t="n">
        <v>0.25</v>
      </c>
      <c r="AJ107" s="77" t="n">
        <f aca="false">AVERAGEA(AK107, AI107)</f>
        <v>0.625</v>
      </c>
      <c r="AK107" s="51" t="n">
        <v>1</v>
      </c>
      <c r="AL107" s="78" t="n">
        <v>370</v>
      </c>
      <c r="AM107" s="53" t="n">
        <f aca="false">AVERAGEA(AN107, AL107)</f>
        <v>510</v>
      </c>
      <c r="AN107" s="54" t="n">
        <v>650</v>
      </c>
      <c r="AO107" s="49" t="n">
        <v>9</v>
      </c>
      <c r="AP107" s="50" t="n">
        <f aca="false">AVERAGEA(AQ107, AO107)</f>
        <v>16.5</v>
      </c>
      <c r="AQ107" s="51" t="n">
        <v>24</v>
      </c>
      <c r="AR107" s="78" t="n">
        <v>0.8</v>
      </c>
      <c r="AS107" s="53" t="n">
        <f aca="false">AVERAGEA(AT107, AR107)</f>
        <v>1</v>
      </c>
      <c r="AT107" s="54" t="n">
        <v>1.2</v>
      </c>
      <c r="AU107" s="49" t="n">
        <v>0.02</v>
      </c>
      <c r="AV107" s="50" t="n">
        <f aca="false">AVERAGEA(AU107,AW107)</f>
        <v>12.01</v>
      </c>
      <c r="AW107" s="51" t="n">
        <v>24</v>
      </c>
      <c r="AX107" s="78" t="n">
        <v>0.02</v>
      </c>
      <c r="AY107" s="53" t="n">
        <f aca="false">AVERAGEA(AX107,AZ107)</f>
        <v>47.26</v>
      </c>
      <c r="AZ107" s="54" t="n">
        <v>94.5</v>
      </c>
      <c r="BA107" s="49" t="n">
        <v>0.06</v>
      </c>
      <c r="BB107" s="50" t="n">
        <f aca="false">AVERAGEA(BA107,BC107)</f>
        <v>38.53</v>
      </c>
      <c r="BC107" s="51" t="n">
        <v>77</v>
      </c>
      <c r="BD107" s="78" t="n">
        <v>0.66</v>
      </c>
      <c r="BE107" s="53" t="n">
        <f aca="false">AVERAGEA(BF107, BD107)</f>
        <v>0.73</v>
      </c>
      <c r="BF107" s="54" t="n">
        <v>0.8</v>
      </c>
      <c r="BG107" s="49" t="n">
        <v>0</v>
      </c>
      <c r="BH107" s="50" t="n">
        <f aca="false">AVERAGEA(BG107,BI107)</f>
        <v>15</v>
      </c>
      <c r="BI107" s="51" t="n">
        <v>30</v>
      </c>
      <c r="BJ107" s="78" t="n">
        <v>0</v>
      </c>
      <c r="BK107" s="53" t="n">
        <f aca="false">AVERAGEA(BJ107,BL107)</f>
        <v>0.25</v>
      </c>
      <c r="BL107" s="54" t="n">
        <v>0.5</v>
      </c>
      <c r="BM107" s="49" t="n">
        <v>0</v>
      </c>
      <c r="BN107" s="50" t="n">
        <f aca="false">AVERAGEA(BM107,BO107)</f>
        <v>0.5</v>
      </c>
      <c r="BO107" s="51" t="n">
        <v>1</v>
      </c>
    </row>
    <row r="108" customFormat="false" ht="15" hidden="false" customHeight="true" outlineLevel="0" collapsed="false">
      <c r="B108" s="133"/>
      <c r="C108" s="143"/>
      <c r="D108" s="143"/>
      <c r="E108" s="144"/>
      <c r="F108" s="145" t="s">
        <v>70</v>
      </c>
      <c r="G108" s="146"/>
      <c r="H108" s="82" t="n">
        <v>28.63</v>
      </c>
      <c r="I108" s="71" t="n">
        <f aca="false">AVERAGE(H108,J108)</f>
        <v>30.0931457582758</v>
      </c>
      <c r="J108" s="83" t="n">
        <v>31.5562915165517</v>
      </c>
      <c r="K108" s="49" t="s">
        <v>46</v>
      </c>
      <c r="L108" s="50"/>
      <c r="M108" s="51" t="s">
        <v>46</v>
      </c>
      <c r="N108" s="52" t="s">
        <v>46</v>
      </c>
      <c r="O108" s="53"/>
      <c r="P108" s="54" t="s">
        <v>46</v>
      </c>
      <c r="Q108" s="52" t="s">
        <v>46</v>
      </c>
      <c r="R108" s="53"/>
      <c r="S108" s="53" t="s">
        <v>46</v>
      </c>
      <c r="T108" s="49" t="n">
        <v>60</v>
      </c>
      <c r="U108" s="50" t="n">
        <f aca="false">AVERAGEA(V108,T108)</f>
        <v>75.05</v>
      </c>
      <c r="V108" s="51" t="n">
        <v>90.1</v>
      </c>
      <c r="W108" s="78" t="n">
        <v>50</v>
      </c>
      <c r="X108" s="100" t="n">
        <f aca="false">AVERAGEA(Y108, W108)</f>
        <v>35</v>
      </c>
      <c r="Y108" s="54" t="n">
        <v>20</v>
      </c>
      <c r="Z108" s="50" t="n">
        <v>0.83</v>
      </c>
      <c r="AA108" s="50" t="n">
        <f aca="false">AVERAGEA(AB108, Z108)</f>
        <v>15.415</v>
      </c>
      <c r="AB108" s="51" t="n">
        <v>30</v>
      </c>
      <c r="AC108" s="78" t="n">
        <v>0.83</v>
      </c>
      <c r="AD108" s="100" t="n">
        <f aca="false">AVERAGEA(AE108, AC108)</f>
        <v>15.415</v>
      </c>
      <c r="AE108" s="54" t="n">
        <v>30</v>
      </c>
      <c r="AF108" s="49" t="n">
        <v>0.1</v>
      </c>
      <c r="AG108" s="77" t="n">
        <f aca="false">AVERAGEA(AH108, AF108)</f>
        <v>0.55</v>
      </c>
      <c r="AH108" s="51" t="n">
        <v>1</v>
      </c>
      <c r="AI108" s="84" t="n">
        <v>0.25</v>
      </c>
      <c r="AJ108" s="77" t="n">
        <f aca="false">AVERAGEA(AK108, AI108)</f>
        <v>0.625</v>
      </c>
      <c r="AK108" s="51" t="n">
        <v>1</v>
      </c>
      <c r="AL108" s="78" t="n">
        <v>370</v>
      </c>
      <c r="AM108" s="53" t="n">
        <f aca="false">AVERAGEA(AN108, AL108)</f>
        <v>510</v>
      </c>
      <c r="AN108" s="54" t="n">
        <v>650</v>
      </c>
      <c r="AO108" s="49" t="n">
        <v>9</v>
      </c>
      <c r="AP108" s="50" t="n">
        <f aca="false">AVERAGEA(AQ108, AO108)</f>
        <v>16.5</v>
      </c>
      <c r="AQ108" s="51" t="n">
        <v>24</v>
      </c>
      <c r="AR108" s="78" t="n">
        <v>0.8</v>
      </c>
      <c r="AS108" s="53" t="n">
        <f aca="false">AVERAGEA(AT108, AR108)</f>
        <v>1</v>
      </c>
      <c r="AT108" s="54" t="n">
        <v>1.2</v>
      </c>
      <c r="AU108" s="49" t="n">
        <v>0.02</v>
      </c>
      <c r="AV108" s="50" t="n">
        <f aca="false">AVERAGEA(AU108,AW108)</f>
        <v>12.01</v>
      </c>
      <c r="AW108" s="51" t="n">
        <v>24</v>
      </c>
      <c r="AX108" s="78" t="n">
        <v>0.02</v>
      </c>
      <c r="AY108" s="53" t="n">
        <f aca="false">AVERAGEA(AX108,AZ108)</f>
        <v>47.26</v>
      </c>
      <c r="AZ108" s="54" t="n">
        <v>94.5</v>
      </c>
      <c r="BA108" s="49" t="n">
        <v>0.06</v>
      </c>
      <c r="BB108" s="50" t="n">
        <f aca="false">AVERAGEA(BA108,BC108)</f>
        <v>38.53</v>
      </c>
      <c r="BC108" s="51" t="n">
        <v>77</v>
      </c>
      <c r="BD108" s="78" t="n">
        <v>0.66</v>
      </c>
      <c r="BE108" s="53" t="n">
        <f aca="false">AVERAGEA(BF108, BD108)</f>
        <v>0.73</v>
      </c>
      <c r="BF108" s="54" t="n">
        <v>0.8</v>
      </c>
      <c r="BG108" s="49" t="n">
        <v>0</v>
      </c>
      <c r="BH108" s="50" t="n">
        <f aca="false">AVERAGEA(BG108,BI108)</f>
        <v>15</v>
      </c>
      <c r="BI108" s="51" t="n">
        <v>30</v>
      </c>
      <c r="BJ108" s="78" t="n">
        <v>0</v>
      </c>
      <c r="BK108" s="53" t="n">
        <f aca="false">AVERAGEA(BJ108,BL108)</f>
        <v>0.25</v>
      </c>
      <c r="BL108" s="54" t="n">
        <v>0.5</v>
      </c>
      <c r="BM108" s="49" t="n">
        <v>0</v>
      </c>
      <c r="BN108" s="50" t="n">
        <f aca="false">AVERAGEA(BM108,BO108)</f>
        <v>0.5</v>
      </c>
      <c r="BO108" s="51" t="n">
        <v>1</v>
      </c>
    </row>
    <row r="109" customFormat="false" ht="15" hidden="false" customHeight="true" outlineLevel="0" collapsed="false">
      <c r="B109" s="133"/>
      <c r="C109" s="143"/>
      <c r="D109" s="143"/>
      <c r="E109" s="144" t="s">
        <v>74</v>
      </c>
      <c r="F109" s="145" t="s">
        <v>67</v>
      </c>
      <c r="G109" s="146" t="s">
        <v>75</v>
      </c>
      <c r="H109" s="82" t="n">
        <v>39.97</v>
      </c>
      <c r="I109" s="71" t="n">
        <f aca="false">AVERAGE(H109,J109)</f>
        <v>40.845</v>
      </c>
      <c r="J109" s="83" t="n">
        <v>41.72</v>
      </c>
      <c r="K109" s="49" t="s">
        <v>46</v>
      </c>
      <c r="L109" s="50"/>
      <c r="M109" s="51" t="s">
        <v>46</v>
      </c>
      <c r="N109" s="52" t="s">
        <v>46</v>
      </c>
      <c r="O109" s="53"/>
      <c r="P109" s="54" t="s">
        <v>46</v>
      </c>
      <c r="Q109" s="52" t="s">
        <v>46</v>
      </c>
      <c r="R109" s="53"/>
      <c r="S109" s="53" t="s">
        <v>46</v>
      </c>
      <c r="T109" s="49" t="n">
        <v>60</v>
      </c>
      <c r="U109" s="50" t="n">
        <f aca="false">AVERAGEA(V109,T109)</f>
        <v>75.05</v>
      </c>
      <c r="V109" s="51" t="n">
        <v>90.1</v>
      </c>
      <c r="W109" s="78" t="n">
        <v>50</v>
      </c>
      <c r="X109" s="100" t="n">
        <f aca="false">AVERAGEA(Y109, W109)</f>
        <v>35</v>
      </c>
      <c r="Y109" s="54" t="n">
        <v>20</v>
      </c>
      <c r="Z109" s="50" t="n">
        <v>0.83</v>
      </c>
      <c r="AA109" s="50" t="n">
        <f aca="false">AVERAGEA(AB109, Z109)</f>
        <v>15.415</v>
      </c>
      <c r="AB109" s="51" t="n">
        <v>30</v>
      </c>
      <c r="AC109" s="78" t="n">
        <v>0.83</v>
      </c>
      <c r="AD109" s="100" t="n">
        <f aca="false">AVERAGEA(AE109, AC109)</f>
        <v>15.415</v>
      </c>
      <c r="AE109" s="54" t="n">
        <v>30</v>
      </c>
      <c r="AF109" s="49" t="n">
        <v>0.1</v>
      </c>
      <c r="AG109" s="77" t="n">
        <f aca="false">AVERAGEA(AH109, AF109)</f>
        <v>0.55</v>
      </c>
      <c r="AH109" s="51" t="n">
        <v>1</v>
      </c>
      <c r="AI109" s="84" t="n">
        <v>0.25</v>
      </c>
      <c r="AJ109" s="77" t="n">
        <f aca="false">AVERAGEA(AK109, AI109)</f>
        <v>0.625</v>
      </c>
      <c r="AK109" s="51" t="n">
        <v>1</v>
      </c>
      <c r="AL109" s="78" t="n">
        <v>370</v>
      </c>
      <c r="AM109" s="53" t="n">
        <f aca="false">AVERAGEA(AN109, AL109)</f>
        <v>510</v>
      </c>
      <c r="AN109" s="54" t="n">
        <v>650</v>
      </c>
      <c r="AO109" s="49" t="n">
        <v>9</v>
      </c>
      <c r="AP109" s="50" t="n">
        <f aca="false">AVERAGEA(AQ109, AO109)</f>
        <v>16.5</v>
      </c>
      <c r="AQ109" s="51" t="n">
        <v>24</v>
      </c>
      <c r="AR109" s="78" t="n">
        <v>0.8</v>
      </c>
      <c r="AS109" s="53" t="n">
        <f aca="false">AVERAGEA(AT109, AR109)</f>
        <v>1</v>
      </c>
      <c r="AT109" s="54" t="n">
        <v>1.2</v>
      </c>
      <c r="AU109" s="49" t="n">
        <v>0.02</v>
      </c>
      <c r="AV109" s="50" t="n">
        <f aca="false">AVERAGEA(AU109,AW109)</f>
        <v>12.01</v>
      </c>
      <c r="AW109" s="51" t="n">
        <v>24</v>
      </c>
      <c r="AX109" s="78" t="n">
        <v>0.02</v>
      </c>
      <c r="AY109" s="53" t="n">
        <f aca="false">AVERAGEA(AX109,AZ109)</f>
        <v>47.26</v>
      </c>
      <c r="AZ109" s="54" t="n">
        <v>94.5</v>
      </c>
      <c r="BA109" s="49" t="n">
        <v>0.06</v>
      </c>
      <c r="BB109" s="50" t="n">
        <f aca="false">AVERAGEA(BA109,BC109)</f>
        <v>38.53</v>
      </c>
      <c r="BC109" s="51" t="n">
        <v>77</v>
      </c>
      <c r="BD109" s="78" t="n">
        <v>0.66</v>
      </c>
      <c r="BE109" s="53" t="n">
        <f aca="false">AVERAGEA(BF109, BD109)</f>
        <v>0.73</v>
      </c>
      <c r="BF109" s="54" t="n">
        <v>0.8</v>
      </c>
      <c r="BG109" s="49" t="n">
        <v>0</v>
      </c>
      <c r="BH109" s="50" t="n">
        <f aca="false">AVERAGEA(BG109,BI109)</f>
        <v>15</v>
      </c>
      <c r="BI109" s="51" t="n">
        <v>30</v>
      </c>
      <c r="BJ109" s="78" t="n">
        <v>0</v>
      </c>
      <c r="BK109" s="53" t="n">
        <f aca="false">AVERAGEA(BJ109,BL109)</f>
        <v>0.25</v>
      </c>
      <c r="BL109" s="54" t="n">
        <v>0.5</v>
      </c>
      <c r="BM109" s="49" t="n">
        <v>0</v>
      </c>
      <c r="BN109" s="50" t="n">
        <f aca="false">AVERAGEA(BM109,BO109)</f>
        <v>0.5</v>
      </c>
      <c r="BO109" s="51" t="n">
        <v>1</v>
      </c>
    </row>
    <row r="110" customFormat="false" ht="15" hidden="false" customHeight="true" outlineLevel="0" collapsed="false">
      <c r="B110" s="133"/>
      <c r="C110" s="143"/>
      <c r="D110" s="143"/>
      <c r="E110" s="144"/>
      <c r="F110" s="145" t="s">
        <v>68</v>
      </c>
      <c r="G110" s="146"/>
      <c r="H110" s="82" t="n">
        <v>38.22</v>
      </c>
      <c r="I110" s="71" t="n">
        <f aca="false">AVERAGE(H110,J110)</f>
        <v>39.0915</v>
      </c>
      <c r="J110" s="83" t="n">
        <v>39.963</v>
      </c>
      <c r="K110" s="49" t="s">
        <v>46</v>
      </c>
      <c r="L110" s="50"/>
      <c r="M110" s="51" t="s">
        <v>46</v>
      </c>
      <c r="N110" s="52" t="s">
        <v>46</v>
      </c>
      <c r="O110" s="53"/>
      <c r="P110" s="54" t="s">
        <v>46</v>
      </c>
      <c r="Q110" s="52" t="s">
        <v>46</v>
      </c>
      <c r="R110" s="53"/>
      <c r="S110" s="53" t="s">
        <v>46</v>
      </c>
      <c r="T110" s="49" t="n">
        <v>60</v>
      </c>
      <c r="U110" s="50" t="n">
        <f aca="false">AVERAGEA(V110,T110)</f>
        <v>75.05</v>
      </c>
      <c r="V110" s="51" t="n">
        <v>90.1</v>
      </c>
      <c r="W110" s="78" t="n">
        <v>50</v>
      </c>
      <c r="X110" s="100" t="n">
        <f aca="false">AVERAGEA(Y110, W110)</f>
        <v>35</v>
      </c>
      <c r="Y110" s="54" t="n">
        <v>20</v>
      </c>
      <c r="Z110" s="50" t="n">
        <v>0.83</v>
      </c>
      <c r="AA110" s="50" t="n">
        <f aca="false">AVERAGEA(AB110, Z110)</f>
        <v>15.415</v>
      </c>
      <c r="AB110" s="51" t="n">
        <v>30</v>
      </c>
      <c r="AC110" s="78" t="n">
        <v>0.83</v>
      </c>
      <c r="AD110" s="100" t="n">
        <f aca="false">AVERAGEA(AE110, AC110)</f>
        <v>15.415</v>
      </c>
      <c r="AE110" s="54" t="n">
        <v>30</v>
      </c>
      <c r="AF110" s="49" t="n">
        <v>0.1</v>
      </c>
      <c r="AG110" s="77" t="n">
        <f aca="false">AVERAGEA(AH110, AF110)</f>
        <v>0.55</v>
      </c>
      <c r="AH110" s="51" t="n">
        <v>1</v>
      </c>
      <c r="AI110" s="84" t="n">
        <v>0.25</v>
      </c>
      <c r="AJ110" s="77" t="n">
        <f aca="false">AVERAGEA(AK110, AI110)</f>
        <v>0.625</v>
      </c>
      <c r="AK110" s="51" t="n">
        <v>1</v>
      </c>
      <c r="AL110" s="78" t="n">
        <v>370</v>
      </c>
      <c r="AM110" s="53" t="n">
        <f aca="false">AVERAGEA(AN110, AL110)</f>
        <v>510</v>
      </c>
      <c r="AN110" s="54" t="n">
        <v>650</v>
      </c>
      <c r="AO110" s="49" t="n">
        <v>9</v>
      </c>
      <c r="AP110" s="50" t="n">
        <f aca="false">AVERAGEA(AQ110, AO110)</f>
        <v>16.5</v>
      </c>
      <c r="AQ110" s="51" t="n">
        <v>24</v>
      </c>
      <c r="AR110" s="78" t="n">
        <v>0.8</v>
      </c>
      <c r="AS110" s="53" t="n">
        <f aca="false">AVERAGEA(AT110, AR110)</f>
        <v>1</v>
      </c>
      <c r="AT110" s="54" t="n">
        <v>1.2</v>
      </c>
      <c r="AU110" s="49" t="n">
        <v>0.02</v>
      </c>
      <c r="AV110" s="50" t="n">
        <f aca="false">AVERAGEA(AU110,AW110)</f>
        <v>12.01</v>
      </c>
      <c r="AW110" s="51" t="n">
        <v>24</v>
      </c>
      <c r="AX110" s="78" t="n">
        <v>0.02</v>
      </c>
      <c r="AY110" s="53" t="n">
        <f aca="false">AVERAGEA(AX110,AZ110)</f>
        <v>47.26</v>
      </c>
      <c r="AZ110" s="54" t="n">
        <v>94.5</v>
      </c>
      <c r="BA110" s="49" t="n">
        <v>0.06</v>
      </c>
      <c r="BB110" s="50" t="n">
        <f aca="false">AVERAGEA(BA110,BC110)</f>
        <v>38.53</v>
      </c>
      <c r="BC110" s="51" t="n">
        <v>77</v>
      </c>
      <c r="BD110" s="78" t="n">
        <v>0.66</v>
      </c>
      <c r="BE110" s="53" t="n">
        <f aca="false">AVERAGEA(BF110, BD110)</f>
        <v>0.73</v>
      </c>
      <c r="BF110" s="54" t="n">
        <v>0.8</v>
      </c>
      <c r="BG110" s="49" t="n">
        <v>0</v>
      </c>
      <c r="BH110" s="50" t="n">
        <f aca="false">AVERAGEA(BG110,BI110)</f>
        <v>15</v>
      </c>
      <c r="BI110" s="51" t="n">
        <v>30</v>
      </c>
      <c r="BJ110" s="78" t="n">
        <v>0</v>
      </c>
      <c r="BK110" s="53" t="n">
        <f aca="false">AVERAGEA(BJ110,BL110)</f>
        <v>0.25</v>
      </c>
      <c r="BL110" s="54" t="n">
        <v>0.5</v>
      </c>
      <c r="BM110" s="49" t="n">
        <v>0</v>
      </c>
      <c r="BN110" s="50" t="n">
        <f aca="false">AVERAGEA(BM110,BO110)</f>
        <v>0.5</v>
      </c>
      <c r="BO110" s="51" t="n">
        <v>1</v>
      </c>
    </row>
    <row r="111" customFormat="false" ht="15" hidden="false" customHeight="true" outlineLevel="0" collapsed="false">
      <c r="B111" s="133"/>
      <c r="C111" s="143"/>
      <c r="D111" s="143"/>
      <c r="E111" s="144"/>
      <c r="F111" s="145" t="s">
        <v>69</v>
      </c>
      <c r="G111" s="146"/>
      <c r="H111" s="82" t="n">
        <v>37.583</v>
      </c>
      <c r="I111" s="71" t="n">
        <f aca="false">AVERAGE(H111,J111)</f>
        <v>37.898</v>
      </c>
      <c r="J111" s="83" t="n">
        <v>38.213</v>
      </c>
      <c r="K111" s="49" t="s">
        <v>46</v>
      </c>
      <c r="L111" s="50"/>
      <c r="M111" s="51" t="s">
        <v>46</v>
      </c>
      <c r="N111" s="52" t="s">
        <v>46</v>
      </c>
      <c r="O111" s="53"/>
      <c r="P111" s="54" t="s">
        <v>46</v>
      </c>
      <c r="Q111" s="52" t="s">
        <v>46</v>
      </c>
      <c r="R111" s="53"/>
      <c r="S111" s="53" t="s">
        <v>46</v>
      </c>
      <c r="T111" s="49" t="n">
        <v>60</v>
      </c>
      <c r="U111" s="50" t="n">
        <f aca="false">AVERAGEA(V111,T111)</f>
        <v>75.05</v>
      </c>
      <c r="V111" s="51" t="n">
        <v>90.1</v>
      </c>
      <c r="W111" s="78" t="n">
        <v>50</v>
      </c>
      <c r="X111" s="100" t="n">
        <f aca="false">AVERAGEA(Y111, W111)</f>
        <v>35</v>
      </c>
      <c r="Y111" s="54" t="n">
        <v>20</v>
      </c>
      <c r="Z111" s="50" t="n">
        <v>0.83</v>
      </c>
      <c r="AA111" s="50" t="n">
        <f aca="false">AVERAGEA(AB111, Z111)</f>
        <v>15.415</v>
      </c>
      <c r="AB111" s="51" t="n">
        <v>30</v>
      </c>
      <c r="AC111" s="78" t="n">
        <v>0.83</v>
      </c>
      <c r="AD111" s="100" t="n">
        <f aca="false">AVERAGEA(AE111, AC111)</f>
        <v>15.415</v>
      </c>
      <c r="AE111" s="54" t="n">
        <v>30</v>
      </c>
      <c r="AF111" s="49" t="n">
        <v>0.1</v>
      </c>
      <c r="AG111" s="77" t="n">
        <f aca="false">AVERAGEA(AH111, AF111)</f>
        <v>0.55</v>
      </c>
      <c r="AH111" s="51" t="n">
        <v>1</v>
      </c>
      <c r="AI111" s="84" t="n">
        <v>0.25</v>
      </c>
      <c r="AJ111" s="77" t="n">
        <f aca="false">AVERAGEA(AK111, AI111)</f>
        <v>0.625</v>
      </c>
      <c r="AK111" s="51" t="n">
        <v>1</v>
      </c>
      <c r="AL111" s="78" t="n">
        <v>370</v>
      </c>
      <c r="AM111" s="53" t="n">
        <f aca="false">AVERAGEA(AN111, AL111)</f>
        <v>510</v>
      </c>
      <c r="AN111" s="54" t="n">
        <v>650</v>
      </c>
      <c r="AO111" s="49" t="n">
        <v>9</v>
      </c>
      <c r="AP111" s="50" t="n">
        <f aca="false">AVERAGEA(AQ111, AO111)</f>
        <v>16.5</v>
      </c>
      <c r="AQ111" s="51" t="n">
        <v>24</v>
      </c>
      <c r="AR111" s="78" t="n">
        <v>0.8</v>
      </c>
      <c r="AS111" s="53" t="n">
        <f aca="false">AVERAGEA(AT111, AR111)</f>
        <v>1</v>
      </c>
      <c r="AT111" s="54" t="n">
        <v>1.2</v>
      </c>
      <c r="AU111" s="49" t="n">
        <v>0.02</v>
      </c>
      <c r="AV111" s="50" t="n">
        <f aca="false">AVERAGEA(AU111,AW111)</f>
        <v>12.01</v>
      </c>
      <c r="AW111" s="51" t="n">
        <v>24</v>
      </c>
      <c r="AX111" s="78" t="n">
        <v>0.02</v>
      </c>
      <c r="AY111" s="53" t="n">
        <f aca="false">AVERAGEA(AX111,AZ111)</f>
        <v>47.26</v>
      </c>
      <c r="AZ111" s="54" t="n">
        <v>94.5</v>
      </c>
      <c r="BA111" s="49" t="n">
        <v>0.06</v>
      </c>
      <c r="BB111" s="50" t="n">
        <f aca="false">AVERAGEA(BA111,BC111)</f>
        <v>38.53</v>
      </c>
      <c r="BC111" s="51" t="n">
        <v>77</v>
      </c>
      <c r="BD111" s="78" t="n">
        <v>0.66</v>
      </c>
      <c r="BE111" s="53" t="n">
        <f aca="false">AVERAGEA(BF111, BD111)</f>
        <v>0.73</v>
      </c>
      <c r="BF111" s="54" t="n">
        <v>0.8</v>
      </c>
      <c r="BG111" s="49" t="n">
        <v>0</v>
      </c>
      <c r="BH111" s="50" t="n">
        <f aca="false">AVERAGEA(BG111,BI111)</f>
        <v>15</v>
      </c>
      <c r="BI111" s="51" t="n">
        <v>30</v>
      </c>
      <c r="BJ111" s="78" t="n">
        <v>0</v>
      </c>
      <c r="BK111" s="53" t="n">
        <f aca="false">AVERAGEA(BJ111,BL111)</f>
        <v>0.25</v>
      </c>
      <c r="BL111" s="54" t="n">
        <v>0.5</v>
      </c>
      <c r="BM111" s="49" t="n">
        <v>0</v>
      </c>
      <c r="BN111" s="50" t="n">
        <f aca="false">AVERAGEA(BM111,BO111)</f>
        <v>0.5</v>
      </c>
      <c r="BO111" s="51" t="n">
        <v>1</v>
      </c>
    </row>
    <row r="112" customFormat="false" ht="15" hidden="false" customHeight="true" outlineLevel="0" collapsed="false">
      <c r="B112" s="133"/>
      <c r="C112" s="143"/>
      <c r="D112" s="143"/>
      <c r="E112" s="144"/>
      <c r="F112" s="145" t="s">
        <v>70</v>
      </c>
      <c r="G112" s="146"/>
      <c r="H112" s="82" t="n">
        <v>37.527</v>
      </c>
      <c r="I112" s="71" t="n">
        <f aca="false">AVERAGE(H112,J112)</f>
        <v>37.5515</v>
      </c>
      <c r="J112" s="83" t="n">
        <v>37.576</v>
      </c>
      <c r="K112" s="49" t="s">
        <v>46</v>
      </c>
      <c r="L112" s="50"/>
      <c r="M112" s="51" t="s">
        <v>46</v>
      </c>
      <c r="N112" s="52" t="s">
        <v>46</v>
      </c>
      <c r="O112" s="53"/>
      <c r="P112" s="54" t="s">
        <v>46</v>
      </c>
      <c r="Q112" s="52" t="s">
        <v>46</v>
      </c>
      <c r="R112" s="53"/>
      <c r="S112" s="53" t="s">
        <v>46</v>
      </c>
      <c r="T112" s="49" t="n">
        <v>60</v>
      </c>
      <c r="U112" s="50" t="n">
        <f aca="false">AVERAGEA(V112,T112)</f>
        <v>75.05</v>
      </c>
      <c r="V112" s="51" t="n">
        <v>90.1</v>
      </c>
      <c r="W112" s="78" t="n">
        <v>50</v>
      </c>
      <c r="X112" s="100" t="n">
        <f aca="false">AVERAGEA(Y112, W112)</f>
        <v>35</v>
      </c>
      <c r="Y112" s="54" t="n">
        <v>20</v>
      </c>
      <c r="Z112" s="50" t="n">
        <v>0.83</v>
      </c>
      <c r="AA112" s="50" t="n">
        <f aca="false">AVERAGEA(AB112, Z112)</f>
        <v>15.415</v>
      </c>
      <c r="AB112" s="51" t="n">
        <v>30</v>
      </c>
      <c r="AC112" s="78" t="n">
        <v>0.83</v>
      </c>
      <c r="AD112" s="100" t="n">
        <f aca="false">AVERAGEA(AE112, AC112)</f>
        <v>15.415</v>
      </c>
      <c r="AE112" s="54" t="n">
        <v>30</v>
      </c>
      <c r="AF112" s="49" t="n">
        <v>0.1</v>
      </c>
      <c r="AG112" s="77" t="n">
        <f aca="false">AVERAGEA(AH112, AF112)</f>
        <v>0.55</v>
      </c>
      <c r="AH112" s="51" t="n">
        <v>1</v>
      </c>
      <c r="AI112" s="84" t="n">
        <v>0.25</v>
      </c>
      <c r="AJ112" s="77" t="n">
        <f aca="false">AVERAGEA(AK112, AI112)</f>
        <v>0.625</v>
      </c>
      <c r="AK112" s="51" t="n">
        <v>1</v>
      </c>
      <c r="AL112" s="78" t="n">
        <v>370</v>
      </c>
      <c r="AM112" s="53" t="n">
        <f aca="false">AVERAGEA(AN112, AL112)</f>
        <v>510</v>
      </c>
      <c r="AN112" s="54" t="n">
        <v>650</v>
      </c>
      <c r="AO112" s="49" t="n">
        <v>9</v>
      </c>
      <c r="AP112" s="50" t="n">
        <f aca="false">AVERAGEA(AQ112, AO112)</f>
        <v>16.5</v>
      </c>
      <c r="AQ112" s="51" t="n">
        <v>24</v>
      </c>
      <c r="AR112" s="78" t="n">
        <v>0.8</v>
      </c>
      <c r="AS112" s="53" t="n">
        <f aca="false">AVERAGEA(AT112, AR112)</f>
        <v>1</v>
      </c>
      <c r="AT112" s="54" t="n">
        <v>1.2</v>
      </c>
      <c r="AU112" s="49" t="n">
        <v>0.02</v>
      </c>
      <c r="AV112" s="50" t="n">
        <f aca="false">AVERAGEA(AU112,AW112)</f>
        <v>12.01</v>
      </c>
      <c r="AW112" s="51" t="n">
        <v>24</v>
      </c>
      <c r="AX112" s="78" t="n">
        <v>0.02</v>
      </c>
      <c r="AY112" s="53" t="n">
        <f aca="false">AVERAGEA(AX112,AZ112)</f>
        <v>47.26</v>
      </c>
      <c r="AZ112" s="54" t="n">
        <v>94.5</v>
      </c>
      <c r="BA112" s="49" t="n">
        <v>0.06</v>
      </c>
      <c r="BB112" s="50" t="n">
        <f aca="false">AVERAGEA(BA112,BC112)</f>
        <v>38.53</v>
      </c>
      <c r="BC112" s="51" t="n">
        <v>77</v>
      </c>
      <c r="BD112" s="78" t="n">
        <v>0.66</v>
      </c>
      <c r="BE112" s="53" t="n">
        <f aca="false">AVERAGEA(BF112, BD112)</f>
        <v>0.73</v>
      </c>
      <c r="BF112" s="54" t="n">
        <v>0.8</v>
      </c>
      <c r="BG112" s="49" t="n">
        <v>0</v>
      </c>
      <c r="BH112" s="50" t="n">
        <f aca="false">AVERAGEA(BG112,BI112)</f>
        <v>15</v>
      </c>
      <c r="BI112" s="51" t="n">
        <v>30</v>
      </c>
      <c r="BJ112" s="78" t="n">
        <v>0</v>
      </c>
      <c r="BK112" s="53" t="n">
        <f aca="false">AVERAGEA(BJ112,BL112)</f>
        <v>0.25</v>
      </c>
      <c r="BL112" s="54" t="n">
        <v>0.5</v>
      </c>
      <c r="BM112" s="49" t="n">
        <v>0</v>
      </c>
      <c r="BN112" s="50" t="n">
        <f aca="false">AVERAGEA(BM112,BO112)</f>
        <v>0.5</v>
      </c>
      <c r="BO112" s="51" t="n">
        <v>1</v>
      </c>
    </row>
    <row r="113" customFormat="false" ht="15" hidden="false" customHeight="true" outlineLevel="0" collapsed="false">
      <c r="B113" s="133"/>
      <c r="C113" s="143"/>
      <c r="D113" s="143"/>
      <c r="E113" s="144" t="s">
        <v>76</v>
      </c>
      <c r="F113" s="145" t="s">
        <v>67</v>
      </c>
      <c r="G113" s="146" t="s">
        <v>77</v>
      </c>
      <c r="H113" s="82" t="n">
        <v>39.97</v>
      </c>
      <c r="I113" s="71" t="n">
        <f aca="false">AVERAGE(H113,J113)</f>
        <v>40.845</v>
      </c>
      <c r="J113" s="83" t="n">
        <v>41.72</v>
      </c>
      <c r="K113" s="49" t="s">
        <v>46</v>
      </c>
      <c r="L113" s="50"/>
      <c r="M113" s="51" t="s">
        <v>46</v>
      </c>
      <c r="N113" s="52" t="s">
        <v>46</v>
      </c>
      <c r="O113" s="53"/>
      <c r="P113" s="54" t="s">
        <v>46</v>
      </c>
      <c r="Q113" s="52" t="s">
        <v>46</v>
      </c>
      <c r="R113" s="53"/>
      <c r="S113" s="53" t="s">
        <v>46</v>
      </c>
      <c r="T113" s="49" t="n">
        <v>60</v>
      </c>
      <c r="U113" s="50" t="n">
        <f aca="false">AVERAGEA(V113,T113)</f>
        <v>75.05</v>
      </c>
      <c r="V113" s="51" t="n">
        <v>90.1</v>
      </c>
      <c r="W113" s="78" t="n">
        <v>50</v>
      </c>
      <c r="X113" s="100" t="n">
        <f aca="false">AVERAGEA(Y113, W113)</f>
        <v>35</v>
      </c>
      <c r="Y113" s="54" t="n">
        <v>20</v>
      </c>
      <c r="Z113" s="50" t="n">
        <v>0.83</v>
      </c>
      <c r="AA113" s="50" t="n">
        <f aca="false">AVERAGEA(AB113, Z113)</f>
        <v>15.415</v>
      </c>
      <c r="AB113" s="51" t="n">
        <v>30</v>
      </c>
      <c r="AC113" s="78" t="n">
        <v>0.83</v>
      </c>
      <c r="AD113" s="100" t="n">
        <f aca="false">AVERAGEA(AE113, AC113)</f>
        <v>15.415</v>
      </c>
      <c r="AE113" s="54" t="n">
        <v>30</v>
      </c>
      <c r="AF113" s="49" t="n">
        <v>0.1</v>
      </c>
      <c r="AG113" s="77" t="n">
        <f aca="false">AVERAGEA(AH113, AF113)</f>
        <v>0.55</v>
      </c>
      <c r="AH113" s="51" t="n">
        <v>1</v>
      </c>
      <c r="AI113" s="84" t="n">
        <v>0.25</v>
      </c>
      <c r="AJ113" s="77" t="n">
        <f aca="false">AVERAGEA(AK113, AI113)</f>
        <v>0.625</v>
      </c>
      <c r="AK113" s="51" t="n">
        <v>1</v>
      </c>
      <c r="AL113" s="78" t="n">
        <v>370</v>
      </c>
      <c r="AM113" s="53" t="n">
        <f aca="false">AVERAGEA(AN113, AL113)</f>
        <v>550</v>
      </c>
      <c r="AN113" s="54" t="n">
        <v>730</v>
      </c>
      <c r="AO113" s="49" t="n">
        <v>9</v>
      </c>
      <c r="AP113" s="50" t="n">
        <f aca="false">AVERAGEA(AQ113, AO113)</f>
        <v>16.5</v>
      </c>
      <c r="AQ113" s="51" t="n">
        <v>24</v>
      </c>
      <c r="AR113" s="78" t="n">
        <v>0.8</v>
      </c>
      <c r="AS113" s="53" t="n">
        <f aca="false">AVERAGEA(AT113, AR113)</f>
        <v>2.4</v>
      </c>
      <c r="AT113" s="54" t="n">
        <v>4</v>
      </c>
      <c r="AU113" s="49" t="n">
        <v>0.02</v>
      </c>
      <c r="AV113" s="50" t="n">
        <f aca="false">AVERAGEA(AU113,AW113)</f>
        <v>12.01</v>
      </c>
      <c r="AW113" s="51" t="n">
        <v>24</v>
      </c>
      <c r="AX113" s="78" t="n">
        <v>0.02</v>
      </c>
      <c r="AY113" s="53" t="n">
        <f aca="false">AVERAGEA(AX113,AZ113)</f>
        <v>47.26</v>
      </c>
      <c r="AZ113" s="54" t="n">
        <v>94.5</v>
      </c>
      <c r="BA113" s="49" t="n">
        <v>0.06</v>
      </c>
      <c r="BB113" s="50" t="n">
        <f aca="false">AVERAGEA(BA113,BC113)</f>
        <v>38.53</v>
      </c>
      <c r="BC113" s="51" t="n">
        <v>77</v>
      </c>
      <c r="BD113" s="78" t="n">
        <v>0.66</v>
      </c>
      <c r="BE113" s="53" t="n">
        <f aca="false">AVERAGEA(BF113, BD113)</f>
        <v>0.73</v>
      </c>
      <c r="BF113" s="54" t="n">
        <v>0.8</v>
      </c>
      <c r="BG113" s="49" t="n">
        <v>0</v>
      </c>
      <c r="BH113" s="50" t="n">
        <f aca="false">AVERAGEA(BG113,BI113)</f>
        <v>15</v>
      </c>
      <c r="BI113" s="51" t="n">
        <v>30</v>
      </c>
      <c r="BJ113" s="78" t="n">
        <v>0</v>
      </c>
      <c r="BK113" s="53" t="n">
        <f aca="false">AVERAGEA(BJ113,BL113)</f>
        <v>0.25</v>
      </c>
      <c r="BL113" s="54" t="n">
        <v>0.5</v>
      </c>
      <c r="BM113" s="49" t="n">
        <v>0</v>
      </c>
      <c r="BN113" s="50" t="n">
        <f aca="false">AVERAGEA(BM113,BO113)</f>
        <v>0.5</v>
      </c>
      <c r="BO113" s="51" t="n">
        <v>1</v>
      </c>
    </row>
    <row r="114" customFormat="false" ht="15" hidden="false" customHeight="true" outlineLevel="0" collapsed="false">
      <c r="B114" s="133"/>
      <c r="C114" s="143"/>
      <c r="D114" s="143"/>
      <c r="E114" s="144"/>
      <c r="F114" s="145" t="s">
        <v>68</v>
      </c>
      <c r="G114" s="146"/>
      <c r="H114" s="82" t="n">
        <v>38.22</v>
      </c>
      <c r="I114" s="71" t="n">
        <f aca="false">AVERAGE(H114,J114)</f>
        <v>39.0915</v>
      </c>
      <c r="J114" s="83" t="n">
        <v>39.963</v>
      </c>
      <c r="K114" s="49" t="s">
        <v>46</v>
      </c>
      <c r="L114" s="50"/>
      <c r="M114" s="51" t="s">
        <v>46</v>
      </c>
      <c r="N114" s="52" t="s">
        <v>46</v>
      </c>
      <c r="O114" s="53"/>
      <c r="P114" s="54" t="s">
        <v>46</v>
      </c>
      <c r="Q114" s="52" t="s">
        <v>46</v>
      </c>
      <c r="R114" s="53"/>
      <c r="S114" s="53" t="s">
        <v>46</v>
      </c>
      <c r="T114" s="49" t="n">
        <v>60</v>
      </c>
      <c r="U114" s="50" t="n">
        <f aca="false">AVERAGEA(V114,T114)</f>
        <v>75.05</v>
      </c>
      <c r="V114" s="51" t="n">
        <v>90.1</v>
      </c>
      <c r="W114" s="78" t="n">
        <v>50</v>
      </c>
      <c r="X114" s="100" t="n">
        <f aca="false">AVERAGEA(Y114, W114)</f>
        <v>35</v>
      </c>
      <c r="Y114" s="54" t="n">
        <v>20</v>
      </c>
      <c r="Z114" s="50" t="n">
        <v>0.83</v>
      </c>
      <c r="AA114" s="50" t="n">
        <f aca="false">AVERAGEA(AB114, Z114)</f>
        <v>15.415</v>
      </c>
      <c r="AB114" s="51" t="n">
        <v>30</v>
      </c>
      <c r="AC114" s="78" t="n">
        <v>0.83</v>
      </c>
      <c r="AD114" s="100" t="n">
        <f aca="false">AVERAGEA(AE114, AC114)</f>
        <v>15.415</v>
      </c>
      <c r="AE114" s="54" t="n">
        <v>30</v>
      </c>
      <c r="AF114" s="49" t="n">
        <v>0.1</v>
      </c>
      <c r="AG114" s="77" t="n">
        <f aca="false">AVERAGEA(AH114, AF114)</f>
        <v>0.55</v>
      </c>
      <c r="AH114" s="51" t="n">
        <v>1</v>
      </c>
      <c r="AI114" s="84" t="n">
        <v>0.25</v>
      </c>
      <c r="AJ114" s="77" t="n">
        <f aca="false">AVERAGEA(AK114, AI114)</f>
        <v>0.625</v>
      </c>
      <c r="AK114" s="51" t="n">
        <v>1</v>
      </c>
      <c r="AL114" s="78" t="n">
        <v>370</v>
      </c>
      <c r="AM114" s="53" t="n">
        <f aca="false">AVERAGEA(AN114, AL114)</f>
        <v>550</v>
      </c>
      <c r="AN114" s="54" t="n">
        <v>730</v>
      </c>
      <c r="AO114" s="49" t="n">
        <v>9</v>
      </c>
      <c r="AP114" s="50" t="n">
        <f aca="false">AVERAGEA(AQ114, AO114)</f>
        <v>16.5</v>
      </c>
      <c r="AQ114" s="51" t="n">
        <v>24</v>
      </c>
      <c r="AR114" s="78" t="n">
        <v>0.8</v>
      </c>
      <c r="AS114" s="53" t="n">
        <f aca="false">AVERAGEA(AT114, AR114)</f>
        <v>2.4</v>
      </c>
      <c r="AT114" s="54" t="n">
        <v>4</v>
      </c>
      <c r="AU114" s="49" t="n">
        <v>0.02</v>
      </c>
      <c r="AV114" s="50" t="n">
        <f aca="false">AVERAGEA(AU114,AW114)</f>
        <v>12.01</v>
      </c>
      <c r="AW114" s="51" t="n">
        <v>24</v>
      </c>
      <c r="AX114" s="78" t="n">
        <v>0.02</v>
      </c>
      <c r="AY114" s="53" t="n">
        <f aca="false">AVERAGEA(AX114,AZ114)</f>
        <v>47.26</v>
      </c>
      <c r="AZ114" s="54" t="n">
        <v>94.5</v>
      </c>
      <c r="BA114" s="49" t="n">
        <v>0.06</v>
      </c>
      <c r="BB114" s="50" t="n">
        <f aca="false">AVERAGEA(BA114,BC114)</f>
        <v>38.53</v>
      </c>
      <c r="BC114" s="51" t="n">
        <v>77</v>
      </c>
      <c r="BD114" s="78" t="n">
        <v>0.66</v>
      </c>
      <c r="BE114" s="53" t="n">
        <f aca="false">AVERAGEA(BF114, BD114)</f>
        <v>0.73</v>
      </c>
      <c r="BF114" s="54" t="n">
        <v>0.8</v>
      </c>
      <c r="BG114" s="49" t="n">
        <v>0</v>
      </c>
      <c r="BH114" s="50" t="n">
        <f aca="false">AVERAGEA(BG114,BI114)</f>
        <v>15</v>
      </c>
      <c r="BI114" s="51" t="n">
        <v>30</v>
      </c>
      <c r="BJ114" s="78" t="n">
        <v>0</v>
      </c>
      <c r="BK114" s="53" t="n">
        <f aca="false">AVERAGEA(BJ114,BL114)</f>
        <v>0.25</v>
      </c>
      <c r="BL114" s="54" t="n">
        <v>0.5</v>
      </c>
      <c r="BM114" s="49" t="n">
        <v>0</v>
      </c>
      <c r="BN114" s="50" t="n">
        <f aca="false">AVERAGEA(BM114,BO114)</f>
        <v>0.5</v>
      </c>
      <c r="BO114" s="51" t="n">
        <v>1</v>
      </c>
    </row>
    <row r="115" customFormat="false" ht="15" hidden="false" customHeight="true" outlineLevel="0" collapsed="false">
      <c r="B115" s="133"/>
      <c r="C115" s="143"/>
      <c r="D115" s="143"/>
      <c r="E115" s="144"/>
      <c r="F115" s="145" t="s">
        <v>69</v>
      </c>
      <c r="G115" s="146"/>
      <c r="H115" s="82" t="n">
        <v>37.583</v>
      </c>
      <c r="I115" s="71" t="n">
        <f aca="false">AVERAGE(H115,J115)</f>
        <v>37.898</v>
      </c>
      <c r="J115" s="83" t="n">
        <v>38.213</v>
      </c>
      <c r="K115" s="49" t="s">
        <v>46</v>
      </c>
      <c r="L115" s="50"/>
      <c r="M115" s="51" t="s">
        <v>46</v>
      </c>
      <c r="N115" s="52" t="s">
        <v>46</v>
      </c>
      <c r="O115" s="53"/>
      <c r="P115" s="54" t="s">
        <v>46</v>
      </c>
      <c r="Q115" s="52" t="s">
        <v>46</v>
      </c>
      <c r="R115" s="53"/>
      <c r="S115" s="53" t="s">
        <v>46</v>
      </c>
      <c r="T115" s="49" t="n">
        <v>60</v>
      </c>
      <c r="U115" s="50" t="n">
        <f aca="false">AVERAGEA(V115,T115)</f>
        <v>75.05</v>
      </c>
      <c r="V115" s="51" t="n">
        <v>90.1</v>
      </c>
      <c r="W115" s="78" t="n">
        <v>50</v>
      </c>
      <c r="X115" s="100" t="n">
        <f aca="false">AVERAGEA(Y115, W115)</f>
        <v>35</v>
      </c>
      <c r="Y115" s="54" t="n">
        <v>20</v>
      </c>
      <c r="Z115" s="50" t="n">
        <v>0.83</v>
      </c>
      <c r="AA115" s="50" t="n">
        <f aca="false">AVERAGEA(AB115, Z115)</f>
        <v>15.415</v>
      </c>
      <c r="AB115" s="51" t="n">
        <v>30</v>
      </c>
      <c r="AC115" s="78" t="n">
        <v>0.83</v>
      </c>
      <c r="AD115" s="100" t="n">
        <f aca="false">AVERAGEA(AE115, AC115)</f>
        <v>15.415</v>
      </c>
      <c r="AE115" s="54" t="n">
        <v>30</v>
      </c>
      <c r="AF115" s="49" t="n">
        <v>0.1</v>
      </c>
      <c r="AG115" s="77" t="n">
        <f aca="false">AVERAGEA(AH115, AF115)</f>
        <v>0.55</v>
      </c>
      <c r="AH115" s="51" t="n">
        <v>1</v>
      </c>
      <c r="AI115" s="84" t="n">
        <v>0.25</v>
      </c>
      <c r="AJ115" s="77" t="n">
        <f aca="false">AVERAGEA(AK115, AI115)</f>
        <v>0.625</v>
      </c>
      <c r="AK115" s="51" t="n">
        <v>1</v>
      </c>
      <c r="AL115" s="78" t="n">
        <v>370</v>
      </c>
      <c r="AM115" s="53" t="n">
        <f aca="false">AVERAGEA(AN115, AL115)</f>
        <v>550</v>
      </c>
      <c r="AN115" s="54" t="n">
        <v>730</v>
      </c>
      <c r="AO115" s="49" t="n">
        <v>9</v>
      </c>
      <c r="AP115" s="50" t="n">
        <f aca="false">AVERAGEA(AQ115, AO115)</f>
        <v>16.5</v>
      </c>
      <c r="AQ115" s="51" t="n">
        <v>24</v>
      </c>
      <c r="AR115" s="78" t="n">
        <v>0.8</v>
      </c>
      <c r="AS115" s="53" t="n">
        <f aca="false">AVERAGEA(AT115, AR115)</f>
        <v>2.4</v>
      </c>
      <c r="AT115" s="54" t="n">
        <v>4</v>
      </c>
      <c r="AU115" s="49" t="n">
        <v>0.02</v>
      </c>
      <c r="AV115" s="50" t="n">
        <f aca="false">AVERAGEA(AU115,AW115)</f>
        <v>12.01</v>
      </c>
      <c r="AW115" s="51" t="n">
        <v>24</v>
      </c>
      <c r="AX115" s="78" t="n">
        <v>0.02</v>
      </c>
      <c r="AY115" s="53" t="n">
        <f aca="false">AVERAGEA(AX115,AZ115)</f>
        <v>47.26</v>
      </c>
      <c r="AZ115" s="54" t="n">
        <v>94.5</v>
      </c>
      <c r="BA115" s="49" t="n">
        <v>0.06</v>
      </c>
      <c r="BB115" s="50" t="n">
        <f aca="false">AVERAGEA(BA115,BC115)</f>
        <v>38.53</v>
      </c>
      <c r="BC115" s="51" t="n">
        <v>77</v>
      </c>
      <c r="BD115" s="78" t="n">
        <v>0.66</v>
      </c>
      <c r="BE115" s="53" t="n">
        <f aca="false">AVERAGEA(BF115, BD115)</f>
        <v>0.73</v>
      </c>
      <c r="BF115" s="54" t="n">
        <v>0.8</v>
      </c>
      <c r="BG115" s="49" t="n">
        <v>0</v>
      </c>
      <c r="BH115" s="50" t="n">
        <f aca="false">AVERAGEA(BG115,BI115)</f>
        <v>15</v>
      </c>
      <c r="BI115" s="51" t="n">
        <v>30</v>
      </c>
      <c r="BJ115" s="78" t="n">
        <v>0</v>
      </c>
      <c r="BK115" s="53" t="n">
        <f aca="false">AVERAGEA(BJ115,BL115)</f>
        <v>0.25</v>
      </c>
      <c r="BL115" s="54" t="n">
        <v>0.5</v>
      </c>
      <c r="BM115" s="49" t="n">
        <v>0</v>
      </c>
      <c r="BN115" s="50" t="n">
        <f aca="false">AVERAGEA(BM115,BO115)</f>
        <v>0.5</v>
      </c>
      <c r="BO115" s="51" t="n">
        <v>1</v>
      </c>
    </row>
    <row r="116" customFormat="false" ht="15" hidden="false" customHeight="true" outlineLevel="0" collapsed="false">
      <c r="B116" s="133"/>
      <c r="C116" s="143"/>
      <c r="D116" s="143"/>
      <c r="E116" s="144"/>
      <c r="F116" s="145" t="s">
        <v>70</v>
      </c>
      <c r="G116" s="146"/>
      <c r="H116" s="82" t="n">
        <v>37.527</v>
      </c>
      <c r="I116" s="71" t="n">
        <f aca="false">AVERAGE(H116,J116)</f>
        <v>37.5515</v>
      </c>
      <c r="J116" s="83" t="n">
        <v>37.576</v>
      </c>
      <c r="K116" s="49" t="s">
        <v>46</v>
      </c>
      <c r="L116" s="50"/>
      <c r="M116" s="51" t="s">
        <v>46</v>
      </c>
      <c r="N116" s="52" t="s">
        <v>46</v>
      </c>
      <c r="O116" s="53"/>
      <c r="P116" s="54" t="s">
        <v>46</v>
      </c>
      <c r="Q116" s="52" t="s">
        <v>46</v>
      </c>
      <c r="R116" s="53"/>
      <c r="S116" s="53" t="s">
        <v>46</v>
      </c>
      <c r="T116" s="49" t="n">
        <v>60</v>
      </c>
      <c r="U116" s="50" t="n">
        <f aca="false">AVERAGEA(V116,T116)</f>
        <v>75.05</v>
      </c>
      <c r="V116" s="51" t="n">
        <v>90.1</v>
      </c>
      <c r="W116" s="78" t="n">
        <v>50</v>
      </c>
      <c r="X116" s="100" t="n">
        <f aca="false">AVERAGEA(Y116, W116)</f>
        <v>35</v>
      </c>
      <c r="Y116" s="54" t="n">
        <v>20</v>
      </c>
      <c r="Z116" s="50" t="n">
        <v>0.83</v>
      </c>
      <c r="AA116" s="50" t="n">
        <f aca="false">AVERAGEA(AB116, Z116)</f>
        <v>15.415</v>
      </c>
      <c r="AB116" s="51" t="n">
        <v>30</v>
      </c>
      <c r="AC116" s="78" t="n">
        <v>0.83</v>
      </c>
      <c r="AD116" s="100" t="n">
        <f aca="false">AVERAGEA(AE116, AC116)</f>
        <v>15.415</v>
      </c>
      <c r="AE116" s="54" t="n">
        <v>30</v>
      </c>
      <c r="AF116" s="49" t="n">
        <v>0.1</v>
      </c>
      <c r="AG116" s="77" t="n">
        <f aca="false">AVERAGEA(AH116, AF116)</f>
        <v>0.55</v>
      </c>
      <c r="AH116" s="51" t="n">
        <v>1</v>
      </c>
      <c r="AI116" s="84" t="n">
        <v>0.25</v>
      </c>
      <c r="AJ116" s="77" t="n">
        <f aca="false">AVERAGEA(AK116, AI116)</f>
        <v>0.625</v>
      </c>
      <c r="AK116" s="51" t="n">
        <v>1</v>
      </c>
      <c r="AL116" s="78" t="n">
        <v>370</v>
      </c>
      <c r="AM116" s="53" t="n">
        <f aca="false">AVERAGEA(AN116, AL116)</f>
        <v>550</v>
      </c>
      <c r="AN116" s="54" t="n">
        <v>730</v>
      </c>
      <c r="AO116" s="49" t="n">
        <v>9</v>
      </c>
      <c r="AP116" s="50" t="n">
        <f aca="false">AVERAGEA(AQ116, AO116)</f>
        <v>16.5</v>
      </c>
      <c r="AQ116" s="51" t="n">
        <v>24</v>
      </c>
      <c r="AR116" s="78" t="n">
        <v>0.8</v>
      </c>
      <c r="AS116" s="53" t="n">
        <f aca="false">AVERAGEA(AT116, AR116)</f>
        <v>2.4</v>
      </c>
      <c r="AT116" s="54" t="n">
        <v>4</v>
      </c>
      <c r="AU116" s="49" t="n">
        <v>0.02</v>
      </c>
      <c r="AV116" s="50" t="n">
        <f aca="false">AVERAGEA(AU116,AW116)</f>
        <v>12.01</v>
      </c>
      <c r="AW116" s="51" t="n">
        <v>24</v>
      </c>
      <c r="AX116" s="78" t="n">
        <v>0.02</v>
      </c>
      <c r="AY116" s="53" t="n">
        <f aca="false">AVERAGEA(AX116,AZ116)</f>
        <v>47.26</v>
      </c>
      <c r="AZ116" s="54" t="n">
        <v>94.5</v>
      </c>
      <c r="BA116" s="49" t="n">
        <v>0.06</v>
      </c>
      <c r="BB116" s="50" t="n">
        <f aca="false">AVERAGEA(BA116,BC116)</f>
        <v>38.53</v>
      </c>
      <c r="BC116" s="51" t="n">
        <v>77</v>
      </c>
      <c r="BD116" s="78" t="n">
        <v>0.66</v>
      </c>
      <c r="BE116" s="53" t="n">
        <f aca="false">AVERAGEA(BF116, BD116)</f>
        <v>0.73</v>
      </c>
      <c r="BF116" s="54" t="n">
        <v>0.8</v>
      </c>
      <c r="BG116" s="49" t="n">
        <v>0</v>
      </c>
      <c r="BH116" s="50" t="n">
        <f aca="false">AVERAGEA(BG116,BI116)</f>
        <v>15</v>
      </c>
      <c r="BI116" s="51" t="n">
        <v>30</v>
      </c>
      <c r="BJ116" s="78" t="n">
        <v>0</v>
      </c>
      <c r="BK116" s="53" t="n">
        <f aca="false">AVERAGEA(BJ116,BL116)</f>
        <v>0.25</v>
      </c>
      <c r="BL116" s="54" t="n">
        <v>0.5</v>
      </c>
      <c r="BM116" s="49" t="n">
        <v>0</v>
      </c>
      <c r="BN116" s="50" t="n">
        <f aca="false">AVERAGEA(BM116,BO116)</f>
        <v>0.5</v>
      </c>
      <c r="BO116" s="51" t="n">
        <v>1</v>
      </c>
    </row>
    <row r="117" customFormat="false" ht="15" hidden="false" customHeight="true" outlineLevel="0" collapsed="false">
      <c r="B117" s="133"/>
      <c r="C117" s="143"/>
      <c r="D117" s="143"/>
      <c r="E117" s="144" t="s">
        <v>78</v>
      </c>
      <c r="F117" s="145" t="s">
        <v>67</v>
      </c>
      <c r="G117" s="146" t="s">
        <v>79</v>
      </c>
      <c r="H117" s="82" t="n">
        <v>41.31</v>
      </c>
      <c r="I117" s="71" t="n">
        <f aca="false">AVERAGE(H117,J117)</f>
        <v>41.81</v>
      </c>
      <c r="J117" s="83" t="n">
        <v>42.31</v>
      </c>
      <c r="K117" s="49" t="s">
        <v>46</v>
      </c>
      <c r="L117" s="50"/>
      <c r="M117" s="51" t="s">
        <v>46</v>
      </c>
      <c r="N117" s="52" t="s">
        <v>46</v>
      </c>
      <c r="O117" s="53"/>
      <c r="P117" s="54" t="s">
        <v>46</v>
      </c>
      <c r="Q117" s="52" t="s">
        <v>46</v>
      </c>
      <c r="R117" s="53"/>
      <c r="S117" s="53" t="s">
        <v>46</v>
      </c>
      <c r="T117" s="49" t="n">
        <v>60</v>
      </c>
      <c r="U117" s="50" t="n">
        <f aca="false">AVERAGEA(V117,T117)</f>
        <v>75.05</v>
      </c>
      <c r="V117" s="51" t="n">
        <v>90.1</v>
      </c>
      <c r="W117" s="78" t="n">
        <v>50</v>
      </c>
      <c r="X117" s="100" t="n">
        <f aca="false">AVERAGEA(Y117, W117)</f>
        <v>35</v>
      </c>
      <c r="Y117" s="54" t="n">
        <v>20</v>
      </c>
      <c r="Z117" s="50" t="n">
        <v>0.83</v>
      </c>
      <c r="AA117" s="50" t="n">
        <f aca="false">AVERAGEA(AB117, Z117)</f>
        <v>15.415</v>
      </c>
      <c r="AB117" s="51" t="n">
        <v>30</v>
      </c>
      <c r="AC117" s="78" t="n">
        <v>0.83</v>
      </c>
      <c r="AD117" s="100" t="n">
        <f aca="false">AVERAGEA(AE117, AC117)</f>
        <v>15.415</v>
      </c>
      <c r="AE117" s="54" t="n">
        <v>30</v>
      </c>
      <c r="AF117" s="49" t="n">
        <v>0.1</v>
      </c>
      <c r="AG117" s="77" t="n">
        <f aca="false">AVERAGEA(AH117, AF117)</f>
        <v>0.55</v>
      </c>
      <c r="AH117" s="51" t="n">
        <v>1</v>
      </c>
      <c r="AI117" s="84" t="n">
        <v>0.25</v>
      </c>
      <c r="AJ117" s="77" t="n">
        <f aca="false">AVERAGEA(AK117, AI117)</f>
        <v>0.625</v>
      </c>
      <c r="AK117" s="51" t="n">
        <v>1</v>
      </c>
      <c r="AL117" s="78" t="n">
        <v>370</v>
      </c>
      <c r="AM117" s="53" t="n">
        <f aca="false">AVERAGEA(AN117, AL117)</f>
        <v>550</v>
      </c>
      <c r="AN117" s="54" t="n">
        <v>730</v>
      </c>
      <c r="AO117" s="49" t="n">
        <v>9</v>
      </c>
      <c r="AP117" s="50" t="n">
        <f aca="false">AVERAGEA(AQ117, AO117)</f>
        <v>16.5</v>
      </c>
      <c r="AQ117" s="51" t="n">
        <v>24</v>
      </c>
      <c r="AR117" s="78" t="n">
        <v>0.8</v>
      </c>
      <c r="AS117" s="53" t="n">
        <f aca="false">AVERAGEA(AT117, AR117)</f>
        <v>2.4</v>
      </c>
      <c r="AT117" s="54" t="n">
        <v>4</v>
      </c>
      <c r="AU117" s="49" t="n">
        <v>0.02</v>
      </c>
      <c r="AV117" s="50" t="n">
        <f aca="false">AVERAGEA(AU117,AW117)</f>
        <v>12.01</v>
      </c>
      <c r="AW117" s="51" t="n">
        <v>24</v>
      </c>
      <c r="AX117" s="78" t="n">
        <v>0.02</v>
      </c>
      <c r="AY117" s="53" t="n">
        <f aca="false">AVERAGEA(AX117,AZ117)</f>
        <v>47.26</v>
      </c>
      <c r="AZ117" s="54" t="n">
        <v>94.5</v>
      </c>
      <c r="BA117" s="49" t="n">
        <v>0.06</v>
      </c>
      <c r="BB117" s="50" t="n">
        <f aca="false">AVERAGEA(BA117,BC117)</f>
        <v>38.53</v>
      </c>
      <c r="BC117" s="51" t="n">
        <v>77</v>
      </c>
      <c r="BD117" s="78" t="n">
        <v>0.66</v>
      </c>
      <c r="BE117" s="53" t="n">
        <f aca="false">AVERAGEA(BF117, BD117)</f>
        <v>0.73</v>
      </c>
      <c r="BF117" s="54" t="n">
        <v>0.8</v>
      </c>
      <c r="BG117" s="49" t="n">
        <v>0</v>
      </c>
      <c r="BH117" s="50" t="n">
        <f aca="false">AVERAGEA(BG117,BI117)</f>
        <v>15</v>
      </c>
      <c r="BI117" s="51" t="n">
        <v>30</v>
      </c>
      <c r="BJ117" s="78" t="n">
        <v>0</v>
      </c>
      <c r="BK117" s="53" t="n">
        <f aca="false">AVERAGEA(BJ117,BL117)</f>
        <v>0.25</v>
      </c>
      <c r="BL117" s="54" t="n">
        <v>0.5</v>
      </c>
      <c r="BM117" s="49" t="n">
        <v>0</v>
      </c>
      <c r="BN117" s="50" t="n">
        <f aca="false">AVERAGEA(BM117,BO117)</f>
        <v>0.5</v>
      </c>
      <c r="BO117" s="51" t="n">
        <v>1</v>
      </c>
    </row>
    <row r="118" customFormat="false" ht="15" hidden="false" customHeight="true" outlineLevel="0" collapsed="false">
      <c r="B118" s="133"/>
      <c r="C118" s="143"/>
      <c r="D118" s="143"/>
      <c r="E118" s="144"/>
      <c r="F118" s="145" t="s">
        <v>68</v>
      </c>
      <c r="G118" s="146"/>
      <c r="H118" s="82" t="n">
        <v>40.31</v>
      </c>
      <c r="I118" s="71" t="n">
        <f aca="false">AVERAGE(H118,J118)</f>
        <v>40.808</v>
      </c>
      <c r="J118" s="83" t="n">
        <v>41.306</v>
      </c>
      <c r="K118" s="49" t="s">
        <v>46</v>
      </c>
      <c r="L118" s="50"/>
      <c r="M118" s="51" t="s">
        <v>46</v>
      </c>
      <c r="N118" s="52" t="s">
        <v>46</v>
      </c>
      <c r="O118" s="53"/>
      <c r="P118" s="54" t="s">
        <v>46</v>
      </c>
      <c r="Q118" s="52" t="s">
        <v>46</v>
      </c>
      <c r="R118" s="53"/>
      <c r="S118" s="53" t="s">
        <v>46</v>
      </c>
      <c r="T118" s="49" t="n">
        <v>60</v>
      </c>
      <c r="U118" s="50" t="n">
        <f aca="false">AVERAGEA(V118,T118)</f>
        <v>75.05</v>
      </c>
      <c r="V118" s="51" t="n">
        <v>90.1</v>
      </c>
      <c r="W118" s="78" t="n">
        <v>50</v>
      </c>
      <c r="X118" s="100" t="n">
        <f aca="false">AVERAGEA(Y118, W118)</f>
        <v>35</v>
      </c>
      <c r="Y118" s="54" t="n">
        <v>20</v>
      </c>
      <c r="Z118" s="50" t="n">
        <v>0.83</v>
      </c>
      <c r="AA118" s="50" t="n">
        <f aca="false">AVERAGEA(AB118, Z118)</f>
        <v>15.415</v>
      </c>
      <c r="AB118" s="51" t="n">
        <v>30</v>
      </c>
      <c r="AC118" s="78" t="n">
        <v>0.83</v>
      </c>
      <c r="AD118" s="100" t="n">
        <f aca="false">AVERAGEA(AE118, AC118)</f>
        <v>15.415</v>
      </c>
      <c r="AE118" s="54" t="n">
        <v>30</v>
      </c>
      <c r="AF118" s="49" t="n">
        <v>0.1</v>
      </c>
      <c r="AG118" s="77" t="n">
        <f aca="false">AVERAGEA(AH118, AF118)</f>
        <v>0.55</v>
      </c>
      <c r="AH118" s="51" t="n">
        <v>1</v>
      </c>
      <c r="AI118" s="84" t="n">
        <v>0.25</v>
      </c>
      <c r="AJ118" s="77" t="n">
        <f aca="false">AVERAGEA(AK118, AI118)</f>
        <v>0.625</v>
      </c>
      <c r="AK118" s="51" t="n">
        <v>1</v>
      </c>
      <c r="AL118" s="78" t="n">
        <v>370</v>
      </c>
      <c r="AM118" s="53" t="n">
        <f aca="false">AVERAGEA(AN118, AL118)</f>
        <v>550</v>
      </c>
      <c r="AN118" s="54" t="n">
        <v>730</v>
      </c>
      <c r="AO118" s="49" t="n">
        <v>9</v>
      </c>
      <c r="AP118" s="50" t="n">
        <f aca="false">AVERAGEA(AQ118, AO118)</f>
        <v>16.5</v>
      </c>
      <c r="AQ118" s="51" t="n">
        <v>24</v>
      </c>
      <c r="AR118" s="78" t="n">
        <v>0.8</v>
      </c>
      <c r="AS118" s="53" t="n">
        <f aca="false">AVERAGEA(AT118, AR118)</f>
        <v>2.4</v>
      </c>
      <c r="AT118" s="54" t="n">
        <v>4</v>
      </c>
      <c r="AU118" s="49" t="n">
        <v>0.02</v>
      </c>
      <c r="AV118" s="50" t="n">
        <f aca="false">AVERAGEA(AU118,AW118)</f>
        <v>12.01</v>
      </c>
      <c r="AW118" s="51" t="n">
        <v>24</v>
      </c>
      <c r="AX118" s="78" t="n">
        <v>0.02</v>
      </c>
      <c r="AY118" s="53" t="n">
        <f aca="false">AVERAGEA(AX118,AZ118)</f>
        <v>47.26</v>
      </c>
      <c r="AZ118" s="54" t="n">
        <v>94.5</v>
      </c>
      <c r="BA118" s="49" t="n">
        <v>0.06</v>
      </c>
      <c r="BB118" s="50" t="n">
        <f aca="false">AVERAGEA(BA118,BC118)</f>
        <v>38.53</v>
      </c>
      <c r="BC118" s="51" t="n">
        <v>77</v>
      </c>
      <c r="BD118" s="78" t="n">
        <v>0.66</v>
      </c>
      <c r="BE118" s="53" t="n">
        <f aca="false">AVERAGEA(BF118, BD118)</f>
        <v>0.73</v>
      </c>
      <c r="BF118" s="54" t="n">
        <v>0.8</v>
      </c>
      <c r="BG118" s="49" t="n">
        <v>0</v>
      </c>
      <c r="BH118" s="50" t="n">
        <f aca="false">AVERAGEA(BG118,BI118)</f>
        <v>15</v>
      </c>
      <c r="BI118" s="51" t="n">
        <v>30</v>
      </c>
      <c r="BJ118" s="78" t="n">
        <v>0</v>
      </c>
      <c r="BK118" s="53" t="n">
        <f aca="false">AVERAGEA(BJ118,BL118)</f>
        <v>0.25</v>
      </c>
      <c r="BL118" s="54" t="n">
        <v>0.5</v>
      </c>
      <c r="BM118" s="49" t="n">
        <v>0</v>
      </c>
      <c r="BN118" s="50" t="n">
        <f aca="false">AVERAGEA(BM118,BO118)</f>
        <v>0.5</v>
      </c>
      <c r="BO118" s="51" t="n">
        <v>1</v>
      </c>
    </row>
    <row r="119" customFormat="false" ht="15" hidden="false" customHeight="true" outlineLevel="0" collapsed="false">
      <c r="B119" s="133"/>
      <c r="C119" s="143"/>
      <c r="D119" s="143"/>
      <c r="E119" s="144"/>
      <c r="F119" s="145" t="s">
        <v>69</v>
      </c>
      <c r="G119" s="146"/>
      <c r="H119" s="82" t="n">
        <v>39.946</v>
      </c>
      <c r="I119" s="71" t="n">
        <f aca="false">AVERAGE(H119,J119)</f>
        <v>40.126</v>
      </c>
      <c r="J119" s="83" t="n">
        <v>40.306</v>
      </c>
      <c r="K119" s="49" t="s">
        <v>46</v>
      </c>
      <c r="L119" s="50"/>
      <c r="M119" s="51" t="s">
        <v>46</v>
      </c>
      <c r="N119" s="52" t="s">
        <v>46</v>
      </c>
      <c r="O119" s="53"/>
      <c r="P119" s="54" t="s">
        <v>46</v>
      </c>
      <c r="Q119" s="52" t="s">
        <v>46</v>
      </c>
      <c r="R119" s="53"/>
      <c r="S119" s="53" t="s">
        <v>46</v>
      </c>
      <c r="T119" s="49" t="n">
        <v>60</v>
      </c>
      <c r="U119" s="50" t="n">
        <f aca="false">AVERAGEA(V119,T119)</f>
        <v>75.05</v>
      </c>
      <c r="V119" s="51" t="n">
        <v>90.1</v>
      </c>
      <c r="W119" s="78" t="n">
        <v>50</v>
      </c>
      <c r="X119" s="100" t="n">
        <f aca="false">AVERAGEA(Y119, W119)</f>
        <v>35</v>
      </c>
      <c r="Y119" s="54" t="n">
        <v>20</v>
      </c>
      <c r="Z119" s="50" t="n">
        <v>0.83</v>
      </c>
      <c r="AA119" s="50" t="n">
        <f aca="false">AVERAGEA(AB119, Z119)</f>
        <v>15.415</v>
      </c>
      <c r="AB119" s="51" t="n">
        <v>30</v>
      </c>
      <c r="AC119" s="78" t="n">
        <v>0.83</v>
      </c>
      <c r="AD119" s="100" t="n">
        <f aca="false">AVERAGEA(AE119, AC119)</f>
        <v>15.415</v>
      </c>
      <c r="AE119" s="54" t="n">
        <v>30</v>
      </c>
      <c r="AF119" s="49" t="n">
        <v>0.1</v>
      </c>
      <c r="AG119" s="77" t="n">
        <f aca="false">AVERAGEA(AH119, AF119)</f>
        <v>0.55</v>
      </c>
      <c r="AH119" s="51" t="n">
        <v>1</v>
      </c>
      <c r="AI119" s="84" t="n">
        <v>0.25</v>
      </c>
      <c r="AJ119" s="77" t="n">
        <f aca="false">AVERAGEA(AK119, AI119)</f>
        <v>0.625</v>
      </c>
      <c r="AK119" s="51" t="n">
        <v>1</v>
      </c>
      <c r="AL119" s="78" t="n">
        <v>370</v>
      </c>
      <c r="AM119" s="53" t="n">
        <f aca="false">AVERAGEA(AN119, AL119)</f>
        <v>550</v>
      </c>
      <c r="AN119" s="54" t="n">
        <v>730</v>
      </c>
      <c r="AO119" s="49" t="n">
        <v>9</v>
      </c>
      <c r="AP119" s="50" t="n">
        <f aca="false">AVERAGEA(AQ119, AO119)</f>
        <v>16.5</v>
      </c>
      <c r="AQ119" s="51" t="n">
        <v>24</v>
      </c>
      <c r="AR119" s="78" t="n">
        <v>0.8</v>
      </c>
      <c r="AS119" s="53" t="n">
        <f aca="false">AVERAGEA(AT119, AR119)</f>
        <v>2.4</v>
      </c>
      <c r="AT119" s="54" t="n">
        <v>4</v>
      </c>
      <c r="AU119" s="49" t="n">
        <v>0.02</v>
      </c>
      <c r="AV119" s="50" t="n">
        <f aca="false">AVERAGEA(AU119,AW119)</f>
        <v>12.01</v>
      </c>
      <c r="AW119" s="51" t="n">
        <v>24</v>
      </c>
      <c r="AX119" s="78" t="n">
        <v>0.02</v>
      </c>
      <c r="AY119" s="53" t="n">
        <f aca="false">AVERAGEA(AX119,AZ119)</f>
        <v>47.26</v>
      </c>
      <c r="AZ119" s="54" t="n">
        <v>94.5</v>
      </c>
      <c r="BA119" s="49" t="n">
        <v>0.06</v>
      </c>
      <c r="BB119" s="50" t="n">
        <f aca="false">AVERAGEA(BA119,BC119)</f>
        <v>38.53</v>
      </c>
      <c r="BC119" s="51" t="n">
        <v>77</v>
      </c>
      <c r="BD119" s="78" t="n">
        <v>0.66</v>
      </c>
      <c r="BE119" s="53" t="n">
        <f aca="false">AVERAGEA(BF119, BD119)</f>
        <v>0.73</v>
      </c>
      <c r="BF119" s="54" t="n">
        <v>0.8</v>
      </c>
      <c r="BG119" s="49" t="n">
        <v>0</v>
      </c>
      <c r="BH119" s="50" t="n">
        <f aca="false">AVERAGEA(BG119,BI119)</f>
        <v>15</v>
      </c>
      <c r="BI119" s="51" t="n">
        <v>30</v>
      </c>
      <c r="BJ119" s="78" t="n">
        <v>0</v>
      </c>
      <c r="BK119" s="53" t="n">
        <f aca="false">AVERAGEA(BJ119,BL119)</f>
        <v>0.25</v>
      </c>
      <c r="BL119" s="54" t="n">
        <v>0.5</v>
      </c>
      <c r="BM119" s="49" t="n">
        <v>0</v>
      </c>
      <c r="BN119" s="50" t="n">
        <f aca="false">AVERAGEA(BM119,BO119)</f>
        <v>0.5</v>
      </c>
      <c r="BO119" s="51" t="n">
        <v>1</v>
      </c>
    </row>
    <row r="120" customFormat="false" ht="15" hidden="false" customHeight="true" outlineLevel="0" collapsed="false">
      <c r="B120" s="133"/>
      <c r="C120" s="143"/>
      <c r="D120" s="143"/>
      <c r="E120" s="144"/>
      <c r="F120" s="145" t="s">
        <v>70</v>
      </c>
      <c r="G120" s="146"/>
      <c r="H120" s="82" t="n">
        <v>39.914</v>
      </c>
      <c r="I120" s="71" t="n">
        <f aca="false">AVERAGE(H120,J120)</f>
        <v>39.928</v>
      </c>
      <c r="J120" s="83" t="n">
        <v>39.942</v>
      </c>
      <c r="K120" s="49" t="s">
        <v>46</v>
      </c>
      <c r="L120" s="50"/>
      <c r="M120" s="51" t="s">
        <v>46</v>
      </c>
      <c r="N120" s="52" t="s">
        <v>46</v>
      </c>
      <c r="O120" s="53"/>
      <c r="P120" s="54" t="s">
        <v>46</v>
      </c>
      <c r="Q120" s="52" t="s">
        <v>46</v>
      </c>
      <c r="R120" s="53"/>
      <c r="S120" s="53" t="s">
        <v>46</v>
      </c>
      <c r="T120" s="49" t="n">
        <v>60</v>
      </c>
      <c r="U120" s="50" t="n">
        <f aca="false">AVERAGEA(V120,T120)</f>
        <v>75.05</v>
      </c>
      <c r="V120" s="51" t="n">
        <v>90.1</v>
      </c>
      <c r="W120" s="78" t="n">
        <v>50</v>
      </c>
      <c r="X120" s="100" t="n">
        <f aca="false">AVERAGEA(Y120, W120)</f>
        <v>35</v>
      </c>
      <c r="Y120" s="54" t="n">
        <v>20</v>
      </c>
      <c r="Z120" s="50" t="n">
        <v>0.83</v>
      </c>
      <c r="AA120" s="50" t="n">
        <f aca="false">AVERAGEA(AB120, Z120)</f>
        <v>15.415</v>
      </c>
      <c r="AB120" s="51" t="n">
        <v>30</v>
      </c>
      <c r="AC120" s="78" t="n">
        <v>0.83</v>
      </c>
      <c r="AD120" s="100" t="n">
        <f aca="false">AVERAGEA(AE120, AC120)</f>
        <v>15.415</v>
      </c>
      <c r="AE120" s="54" t="n">
        <v>30</v>
      </c>
      <c r="AF120" s="49" t="n">
        <v>0.1</v>
      </c>
      <c r="AG120" s="77" t="n">
        <f aca="false">AVERAGEA(AH120, AF120)</f>
        <v>0.55</v>
      </c>
      <c r="AH120" s="51" t="n">
        <v>1</v>
      </c>
      <c r="AI120" s="84" t="n">
        <v>0.25</v>
      </c>
      <c r="AJ120" s="77" t="n">
        <f aca="false">AVERAGEA(AK120, AI120)</f>
        <v>0.625</v>
      </c>
      <c r="AK120" s="51" t="n">
        <v>1</v>
      </c>
      <c r="AL120" s="78" t="n">
        <v>370</v>
      </c>
      <c r="AM120" s="53" t="n">
        <f aca="false">AVERAGEA(AN120, AL120)</f>
        <v>550</v>
      </c>
      <c r="AN120" s="54" t="n">
        <v>730</v>
      </c>
      <c r="AO120" s="49" t="n">
        <v>9</v>
      </c>
      <c r="AP120" s="50" t="n">
        <f aca="false">AVERAGEA(AQ120, AO120)</f>
        <v>16.5</v>
      </c>
      <c r="AQ120" s="51" t="n">
        <v>24</v>
      </c>
      <c r="AR120" s="78" t="n">
        <v>0.8</v>
      </c>
      <c r="AS120" s="53" t="n">
        <f aca="false">AVERAGEA(AT120, AR120)</f>
        <v>2.4</v>
      </c>
      <c r="AT120" s="54" t="n">
        <v>4</v>
      </c>
      <c r="AU120" s="49" t="n">
        <v>0.02</v>
      </c>
      <c r="AV120" s="50" t="n">
        <f aca="false">AVERAGEA(AU120,AW120)</f>
        <v>12.01</v>
      </c>
      <c r="AW120" s="51" t="n">
        <v>24</v>
      </c>
      <c r="AX120" s="78" t="n">
        <v>0.02</v>
      </c>
      <c r="AY120" s="53" t="n">
        <f aca="false">AVERAGEA(AX120,AZ120)</f>
        <v>47.26</v>
      </c>
      <c r="AZ120" s="54" t="n">
        <v>94.5</v>
      </c>
      <c r="BA120" s="49" t="n">
        <v>0.06</v>
      </c>
      <c r="BB120" s="50" t="n">
        <f aca="false">AVERAGEA(BA120,BC120)</f>
        <v>38.53</v>
      </c>
      <c r="BC120" s="51" t="n">
        <v>77</v>
      </c>
      <c r="BD120" s="78" t="n">
        <v>0.66</v>
      </c>
      <c r="BE120" s="53" t="n">
        <f aca="false">AVERAGEA(BF120, BD120)</f>
        <v>0.73</v>
      </c>
      <c r="BF120" s="54" t="n">
        <v>0.8</v>
      </c>
      <c r="BG120" s="49" t="n">
        <v>0</v>
      </c>
      <c r="BH120" s="50" t="n">
        <f aca="false">AVERAGEA(BG120,BI120)</f>
        <v>15</v>
      </c>
      <c r="BI120" s="51" t="n">
        <v>30</v>
      </c>
      <c r="BJ120" s="78" t="n">
        <v>0</v>
      </c>
      <c r="BK120" s="53" t="n">
        <f aca="false">AVERAGEA(BJ120,BL120)</f>
        <v>0.25</v>
      </c>
      <c r="BL120" s="54" t="n">
        <v>0.5</v>
      </c>
      <c r="BM120" s="49" t="n">
        <v>0</v>
      </c>
      <c r="BN120" s="50" t="n">
        <f aca="false">AVERAGEA(BM120,BO120)</f>
        <v>0.5</v>
      </c>
      <c r="BO120" s="51" t="n">
        <v>1</v>
      </c>
    </row>
    <row r="121" customFormat="false" ht="15" hidden="false" customHeight="true" outlineLevel="0" collapsed="false">
      <c r="B121" s="133"/>
      <c r="C121" s="143" t="s">
        <v>84</v>
      </c>
      <c r="D121" s="151"/>
      <c r="E121" s="148"/>
      <c r="F121" s="149" t="s">
        <v>67</v>
      </c>
      <c r="G121" s="152"/>
      <c r="H121" s="78" t="n">
        <v>33</v>
      </c>
      <c r="I121" s="71" t="n">
        <f aca="false">AVERAGE(H121,J121)</f>
        <v>40</v>
      </c>
      <c r="J121" s="153" t="n">
        <v>47</v>
      </c>
      <c r="K121" s="49" t="s">
        <v>46</v>
      </c>
      <c r="L121" s="50"/>
      <c r="M121" s="51" t="s">
        <v>46</v>
      </c>
      <c r="N121" s="52" t="s">
        <v>46</v>
      </c>
      <c r="O121" s="53"/>
      <c r="P121" s="54" t="s">
        <v>46</v>
      </c>
      <c r="Q121" s="52" t="s">
        <v>46</v>
      </c>
      <c r="R121" s="53"/>
      <c r="S121" s="53" t="s">
        <v>46</v>
      </c>
      <c r="T121" s="49" t="n">
        <v>60</v>
      </c>
      <c r="U121" s="50" t="n">
        <f aca="false">AVERAGEA(V121,T121)</f>
        <v>74.5</v>
      </c>
      <c r="V121" s="51" t="n">
        <v>89</v>
      </c>
      <c r="W121" s="78" t="n">
        <v>40</v>
      </c>
      <c r="X121" s="100" t="n">
        <f aca="false">AVERAGEA(Y121, W121)</f>
        <v>40</v>
      </c>
      <c r="Y121" s="54" t="n">
        <v>40</v>
      </c>
      <c r="Z121" s="49" t="n">
        <v>0.58</v>
      </c>
      <c r="AA121" s="50" t="n">
        <f aca="false">AVERAGEA(AB121, Z121)</f>
        <v>3.79</v>
      </c>
      <c r="AB121" s="51" t="n">
        <v>7</v>
      </c>
      <c r="AC121" s="78" t="n">
        <v>0.58</v>
      </c>
      <c r="AD121" s="100" t="n">
        <f aca="false">AVERAGEA(AE121, AC121)</f>
        <v>3.79</v>
      </c>
      <c r="AE121" s="54" t="n">
        <v>7</v>
      </c>
      <c r="AF121" s="49" t="n">
        <v>0.25</v>
      </c>
      <c r="AG121" s="77" t="n">
        <f aca="false">AVERAGEA(AH121, AF121)</f>
        <v>3.125</v>
      </c>
      <c r="AH121" s="51" t="n">
        <v>6</v>
      </c>
      <c r="AI121" s="84" t="n">
        <v>1</v>
      </c>
      <c r="AJ121" s="77" t="n">
        <f aca="false">AVERAGEA(AK121, AI121)</f>
        <v>3.5</v>
      </c>
      <c r="AK121" s="51" t="n">
        <v>6</v>
      </c>
      <c r="AL121" s="78" t="n">
        <v>920</v>
      </c>
      <c r="AM121" s="53" t="n">
        <f aca="false">AVERAGEA(AN121, AL121)</f>
        <v>920</v>
      </c>
      <c r="AN121" s="54" t="n">
        <v>920</v>
      </c>
      <c r="AO121" s="49" t="n">
        <v>16.6</v>
      </c>
      <c r="AP121" s="50" t="n">
        <f aca="false">AVERAGEA(AQ121, AO121)</f>
        <v>16.6</v>
      </c>
      <c r="AQ121" s="51" t="n">
        <v>16.6</v>
      </c>
      <c r="AR121" s="78" t="n">
        <v>1.5</v>
      </c>
      <c r="AS121" s="53" t="n">
        <f aca="false">AVERAGEA(AT121, AR121)</f>
        <v>1.8</v>
      </c>
      <c r="AT121" s="54" t="n">
        <v>2.1</v>
      </c>
      <c r="AU121" s="105" t="s">
        <v>59</v>
      </c>
      <c r="AV121" s="106"/>
      <c r="AW121" s="107" t="s">
        <v>59</v>
      </c>
      <c r="AX121" s="108" t="s">
        <v>60</v>
      </c>
      <c r="AY121" s="109"/>
      <c r="AZ121" s="87" t="s">
        <v>60</v>
      </c>
      <c r="BA121" s="105" t="n">
        <v>40</v>
      </c>
      <c r="BB121" s="106" t="n">
        <f aca="false">AVERAGEA(BA121,BC121)</f>
        <v>40</v>
      </c>
      <c r="BC121" s="107" t="n">
        <v>40</v>
      </c>
      <c r="BD121" s="78" t="n">
        <v>1.17</v>
      </c>
      <c r="BE121" s="53" t="n">
        <f aca="false">AVERAGEA(BF121, BD121)</f>
        <v>1.17</v>
      </c>
      <c r="BF121" s="54" t="n">
        <v>1.17</v>
      </c>
      <c r="BG121" s="105" t="s">
        <v>59</v>
      </c>
      <c r="BH121" s="106"/>
      <c r="BI121" s="107" t="s">
        <v>59</v>
      </c>
      <c r="BJ121" s="108" t="n">
        <v>1</v>
      </c>
      <c r="BK121" s="53" t="n">
        <f aca="false">AVERAGEA(BJ121,BL121)</f>
        <v>1</v>
      </c>
      <c r="BL121" s="87" t="n">
        <v>1</v>
      </c>
      <c r="BM121" s="105" t="n">
        <v>2</v>
      </c>
      <c r="BN121" s="50" t="n">
        <f aca="false">AVERAGEA(BM121,BO121)</f>
        <v>2</v>
      </c>
      <c r="BO121" s="107" t="n">
        <v>2</v>
      </c>
    </row>
    <row r="122" customFormat="false" ht="15" hidden="false" customHeight="true" outlineLevel="0" collapsed="false">
      <c r="B122" s="133"/>
      <c r="C122" s="143"/>
      <c r="D122" s="143"/>
      <c r="E122" s="148"/>
      <c r="F122" s="149" t="s">
        <v>68</v>
      </c>
      <c r="G122" s="152"/>
      <c r="H122" s="78" t="n">
        <v>33</v>
      </c>
      <c r="I122" s="71" t="n">
        <f aca="false">AVERAGE(H122,J122)</f>
        <v>40</v>
      </c>
      <c r="J122" s="153" t="n">
        <v>47</v>
      </c>
      <c r="K122" s="49" t="s">
        <v>46</v>
      </c>
      <c r="L122" s="50"/>
      <c r="M122" s="51" t="s">
        <v>46</v>
      </c>
      <c r="N122" s="52" t="s">
        <v>46</v>
      </c>
      <c r="O122" s="53"/>
      <c r="P122" s="54" t="s">
        <v>46</v>
      </c>
      <c r="Q122" s="52" t="s">
        <v>46</v>
      </c>
      <c r="R122" s="53"/>
      <c r="S122" s="53" t="s">
        <v>46</v>
      </c>
      <c r="T122" s="49" t="n">
        <v>60</v>
      </c>
      <c r="U122" s="50" t="n">
        <f aca="false">AVERAGEA(V122,T122)</f>
        <v>74.5</v>
      </c>
      <c r="V122" s="51" t="n">
        <v>89</v>
      </c>
      <c r="W122" s="78" t="n">
        <v>40</v>
      </c>
      <c r="X122" s="100" t="n">
        <f aca="false">AVERAGEA(Y122, W122)</f>
        <v>40</v>
      </c>
      <c r="Y122" s="54" t="n">
        <v>40</v>
      </c>
      <c r="Z122" s="49" t="n">
        <v>0.58</v>
      </c>
      <c r="AA122" s="50" t="n">
        <f aca="false">AVERAGEA(AB122, Z122)</f>
        <v>3.79</v>
      </c>
      <c r="AB122" s="51" t="n">
        <v>7</v>
      </c>
      <c r="AC122" s="78" t="n">
        <v>0.58</v>
      </c>
      <c r="AD122" s="100" t="n">
        <f aca="false">AVERAGEA(AE122, AC122)</f>
        <v>3.79</v>
      </c>
      <c r="AE122" s="54" t="n">
        <v>7</v>
      </c>
      <c r="AF122" s="49" t="n">
        <v>0.25</v>
      </c>
      <c r="AG122" s="77" t="n">
        <f aca="false">AVERAGEA(AH122, AF122)</f>
        <v>3.125</v>
      </c>
      <c r="AH122" s="51" t="n">
        <v>6</v>
      </c>
      <c r="AI122" s="84" t="n">
        <v>1</v>
      </c>
      <c r="AJ122" s="77" t="n">
        <f aca="false">AVERAGEA(AK122, AI122)</f>
        <v>3.5</v>
      </c>
      <c r="AK122" s="51" t="n">
        <v>6</v>
      </c>
      <c r="AL122" s="78" t="n">
        <v>920</v>
      </c>
      <c r="AM122" s="53" t="n">
        <f aca="false">AVERAGEA(AN122, AL122)</f>
        <v>920</v>
      </c>
      <c r="AN122" s="54" t="n">
        <v>920</v>
      </c>
      <c r="AO122" s="49" t="n">
        <v>16.6</v>
      </c>
      <c r="AP122" s="50" t="n">
        <f aca="false">AVERAGEA(AQ122, AO122)</f>
        <v>16.6</v>
      </c>
      <c r="AQ122" s="51" t="n">
        <v>16.6</v>
      </c>
      <c r="AR122" s="78" t="n">
        <v>1.5</v>
      </c>
      <c r="AS122" s="53" t="n">
        <f aca="false">AVERAGEA(AT122, AR122)</f>
        <v>1.8</v>
      </c>
      <c r="AT122" s="54" t="n">
        <v>2.1</v>
      </c>
      <c r="AU122" s="105" t="s">
        <v>59</v>
      </c>
      <c r="AV122" s="106"/>
      <c r="AW122" s="107" t="s">
        <v>59</v>
      </c>
      <c r="AX122" s="108" t="s">
        <v>60</v>
      </c>
      <c r="AY122" s="109"/>
      <c r="AZ122" s="87" t="s">
        <v>60</v>
      </c>
      <c r="BA122" s="105" t="n">
        <v>40</v>
      </c>
      <c r="BB122" s="106" t="n">
        <f aca="false">AVERAGEA(BA122,BC122)</f>
        <v>40</v>
      </c>
      <c r="BC122" s="107" t="n">
        <v>40</v>
      </c>
      <c r="BD122" s="78" t="n">
        <v>1.17</v>
      </c>
      <c r="BE122" s="53" t="n">
        <f aca="false">AVERAGEA(BF122, BD122)</f>
        <v>1.17</v>
      </c>
      <c r="BF122" s="54" t="n">
        <v>1.17</v>
      </c>
      <c r="BG122" s="105" t="s">
        <v>59</v>
      </c>
      <c r="BH122" s="106"/>
      <c r="BI122" s="107" t="s">
        <v>59</v>
      </c>
      <c r="BJ122" s="108" t="n">
        <v>1</v>
      </c>
      <c r="BK122" s="53" t="n">
        <f aca="false">AVERAGEA(BJ122,BL122)</f>
        <v>1</v>
      </c>
      <c r="BL122" s="87" t="n">
        <v>1</v>
      </c>
      <c r="BM122" s="105" t="n">
        <v>2</v>
      </c>
      <c r="BN122" s="50" t="n">
        <f aca="false">AVERAGEA(BM122,BO122)</f>
        <v>2</v>
      </c>
      <c r="BO122" s="107" t="n">
        <v>2</v>
      </c>
    </row>
    <row r="123" customFormat="false" ht="15" hidden="false" customHeight="true" outlineLevel="0" collapsed="false">
      <c r="B123" s="133"/>
      <c r="C123" s="143"/>
      <c r="D123" s="143"/>
      <c r="E123" s="148"/>
      <c r="F123" s="149" t="s">
        <v>69</v>
      </c>
      <c r="G123" s="152"/>
      <c r="H123" s="78" t="n">
        <v>33</v>
      </c>
      <c r="I123" s="71" t="n">
        <f aca="false">AVERAGE(H123,J123)</f>
        <v>40</v>
      </c>
      <c r="J123" s="153" t="n">
        <v>47</v>
      </c>
      <c r="K123" s="49" t="s">
        <v>46</v>
      </c>
      <c r="L123" s="50"/>
      <c r="M123" s="51" t="s">
        <v>46</v>
      </c>
      <c r="N123" s="52" t="s">
        <v>46</v>
      </c>
      <c r="O123" s="53"/>
      <c r="P123" s="54" t="s">
        <v>46</v>
      </c>
      <c r="Q123" s="52" t="s">
        <v>46</v>
      </c>
      <c r="R123" s="53"/>
      <c r="S123" s="53" t="s">
        <v>46</v>
      </c>
      <c r="T123" s="49" t="n">
        <v>60</v>
      </c>
      <c r="U123" s="50" t="n">
        <f aca="false">AVERAGEA(V123,T123)</f>
        <v>74.5</v>
      </c>
      <c r="V123" s="51" t="n">
        <v>89</v>
      </c>
      <c r="W123" s="78" t="n">
        <v>40</v>
      </c>
      <c r="X123" s="100" t="n">
        <f aca="false">AVERAGEA(Y123, W123)</f>
        <v>40</v>
      </c>
      <c r="Y123" s="54" t="n">
        <v>40</v>
      </c>
      <c r="Z123" s="49" t="n">
        <v>0.58</v>
      </c>
      <c r="AA123" s="50" t="n">
        <f aca="false">AVERAGEA(AB123, Z123)</f>
        <v>3.79</v>
      </c>
      <c r="AB123" s="51" t="n">
        <v>7</v>
      </c>
      <c r="AC123" s="78" t="n">
        <v>0.58</v>
      </c>
      <c r="AD123" s="103" t="n">
        <f aca="false">AVERAGEA(AE123, AC123)</f>
        <v>3.79</v>
      </c>
      <c r="AE123" s="54" t="n">
        <v>7</v>
      </c>
      <c r="AF123" s="49" t="n">
        <v>0.25</v>
      </c>
      <c r="AG123" s="77" t="n">
        <f aca="false">AVERAGEA(AH123, AF123)</f>
        <v>3.125</v>
      </c>
      <c r="AH123" s="51" t="n">
        <v>6</v>
      </c>
      <c r="AI123" s="84" t="n">
        <v>1</v>
      </c>
      <c r="AJ123" s="77" t="n">
        <f aca="false">AVERAGEA(AK123, AI123)</f>
        <v>3.5</v>
      </c>
      <c r="AK123" s="51" t="n">
        <v>6</v>
      </c>
      <c r="AL123" s="78" t="n">
        <v>920</v>
      </c>
      <c r="AM123" s="53" t="n">
        <f aca="false">AVERAGEA(AN123, AL123)</f>
        <v>920</v>
      </c>
      <c r="AN123" s="54" t="n">
        <v>920</v>
      </c>
      <c r="AO123" s="49" t="n">
        <v>16.6</v>
      </c>
      <c r="AP123" s="50" t="n">
        <f aca="false">AVERAGEA(AQ123, AO123)</f>
        <v>16.6</v>
      </c>
      <c r="AQ123" s="51" t="n">
        <v>16.6</v>
      </c>
      <c r="AR123" s="78" t="n">
        <v>1.5</v>
      </c>
      <c r="AS123" s="153" t="n">
        <f aca="false">AVERAGEA(AT123, AR123)</f>
        <v>1.8</v>
      </c>
      <c r="AT123" s="54" t="n">
        <v>2.1</v>
      </c>
      <c r="AU123" s="105" t="s">
        <v>59</v>
      </c>
      <c r="AV123" s="106"/>
      <c r="AW123" s="107" t="s">
        <v>59</v>
      </c>
      <c r="AX123" s="108" t="s">
        <v>60</v>
      </c>
      <c r="AY123" s="109"/>
      <c r="AZ123" s="87" t="s">
        <v>60</v>
      </c>
      <c r="BA123" s="105" t="n">
        <v>40</v>
      </c>
      <c r="BB123" s="106" t="n">
        <f aca="false">AVERAGEA(BA123,BC123)</f>
        <v>40</v>
      </c>
      <c r="BC123" s="107" t="n">
        <v>40</v>
      </c>
      <c r="BD123" s="78" t="n">
        <v>1.17</v>
      </c>
      <c r="BE123" s="53" t="n">
        <f aca="false">AVERAGEA(BF123, BD123)</f>
        <v>1.17</v>
      </c>
      <c r="BF123" s="54" t="n">
        <v>1.17</v>
      </c>
      <c r="BG123" s="105" t="s">
        <v>59</v>
      </c>
      <c r="BH123" s="106"/>
      <c r="BI123" s="107" t="s">
        <v>59</v>
      </c>
      <c r="BJ123" s="108" t="n">
        <v>1</v>
      </c>
      <c r="BK123" s="53" t="n">
        <f aca="false">AVERAGEA(BJ123,BL123)</f>
        <v>1</v>
      </c>
      <c r="BL123" s="87" t="n">
        <v>1</v>
      </c>
      <c r="BM123" s="105" t="n">
        <v>2</v>
      </c>
      <c r="BN123" s="50" t="n">
        <f aca="false">AVERAGEA(BM123,BO123)</f>
        <v>2</v>
      </c>
      <c r="BO123" s="107" t="n">
        <v>2</v>
      </c>
    </row>
    <row r="124" customFormat="false" ht="15" hidden="false" customHeight="true" outlineLevel="0" collapsed="false">
      <c r="B124" s="133"/>
      <c r="C124" s="143"/>
      <c r="D124" s="143"/>
      <c r="E124" s="148"/>
      <c r="F124" s="149" t="s">
        <v>70</v>
      </c>
      <c r="G124" s="152"/>
      <c r="H124" s="78" t="n">
        <v>33</v>
      </c>
      <c r="I124" s="71" t="n">
        <f aca="false">AVERAGE(H124,J124)</f>
        <v>40</v>
      </c>
      <c r="J124" s="153" t="n">
        <v>47</v>
      </c>
      <c r="K124" s="49" t="s">
        <v>46</v>
      </c>
      <c r="L124" s="50"/>
      <c r="M124" s="51" t="s">
        <v>46</v>
      </c>
      <c r="N124" s="52" t="s">
        <v>46</v>
      </c>
      <c r="O124" s="53"/>
      <c r="P124" s="54" t="s">
        <v>46</v>
      </c>
      <c r="Q124" s="52" t="s">
        <v>46</v>
      </c>
      <c r="R124" s="53"/>
      <c r="S124" s="53" t="s">
        <v>46</v>
      </c>
      <c r="T124" s="49" t="n">
        <v>60</v>
      </c>
      <c r="U124" s="50" t="n">
        <f aca="false">AVERAGEA(V124,T124)</f>
        <v>74.5</v>
      </c>
      <c r="V124" s="51" t="n">
        <v>89</v>
      </c>
      <c r="W124" s="78" t="n">
        <v>40</v>
      </c>
      <c r="X124" s="103" t="n">
        <f aca="false">AVERAGEA(Y124, W124)</f>
        <v>40</v>
      </c>
      <c r="Y124" s="54" t="n">
        <v>40</v>
      </c>
      <c r="Z124" s="49" t="n">
        <v>0.58</v>
      </c>
      <c r="AA124" s="50" t="n">
        <f aca="false">AVERAGEA(AB124, Z124)</f>
        <v>3.79</v>
      </c>
      <c r="AB124" s="51" t="n">
        <v>7</v>
      </c>
      <c r="AC124" s="78" t="n">
        <v>0.58</v>
      </c>
      <c r="AD124" s="103" t="n">
        <f aca="false">AVERAGEA(AE124, AC124)</f>
        <v>3.79</v>
      </c>
      <c r="AE124" s="54" t="n">
        <v>7</v>
      </c>
      <c r="AF124" s="49" t="n">
        <v>0.25</v>
      </c>
      <c r="AG124" s="77" t="n">
        <f aca="false">AVERAGEA(AH124, AF124)</f>
        <v>3.125</v>
      </c>
      <c r="AH124" s="51" t="n">
        <v>6</v>
      </c>
      <c r="AI124" s="84" t="n">
        <v>1</v>
      </c>
      <c r="AJ124" s="77" t="n">
        <f aca="false">AVERAGEA(AK124, AI124)</f>
        <v>3.5</v>
      </c>
      <c r="AK124" s="51" t="n">
        <v>6</v>
      </c>
      <c r="AL124" s="78" t="n">
        <v>920</v>
      </c>
      <c r="AM124" s="153" t="n">
        <f aca="false">AVERAGEA(AN124, AL124)</f>
        <v>920</v>
      </c>
      <c r="AN124" s="54" t="n">
        <v>920</v>
      </c>
      <c r="AO124" s="49" t="n">
        <v>16.6</v>
      </c>
      <c r="AP124" s="50" t="n">
        <f aca="false">AVERAGEA(AQ124, AO124)</f>
        <v>16.6</v>
      </c>
      <c r="AQ124" s="51" t="n">
        <v>16.6</v>
      </c>
      <c r="AR124" s="78" t="n">
        <v>1.5</v>
      </c>
      <c r="AS124" s="153" t="n">
        <f aca="false">AVERAGEA(AT124, AR124)</f>
        <v>1.8</v>
      </c>
      <c r="AT124" s="54" t="n">
        <v>2.1</v>
      </c>
      <c r="AU124" s="105" t="s">
        <v>59</v>
      </c>
      <c r="AV124" s="106"/>
      <c r="AW124" s="107" t="s">
        <v>59</v>
      </c>
      <c r="AX124" s="108" t="s">
        <v>60</v>
      </c>
      <c r="AY124" s="109"/>
      <c r="AZ124" s="87" t="s">
        <v>60</v>
      </c>
      <c r="BA124" s="105" t="n">
        <v>40</v>
      </c>
      <c r="BB124" s="106" t="n">
        <f aca="false">AVERAGEA(BA124,BC124)</f>
        <v>40</v>
      </c>
      <c r="BC124" s="107" t="n">
        <v>40</v>
      </c>
      <c r="BD124" s="78" t="n">
        <v>1.17</v>
      </c>
      <c r="BE124" s="53" t="n">
        <f aca="false">AVERAGEA(BF124, BD124)</f>
        <v>1.17</v>
      </c>
      <c r="BF124" s="54" t="n">
        <v>1.17</v>
      </c>
      <c r="BG124" s="105" t="s">
        <v>59</v>
      </c>
      <c r="BH124" s="106"/>
      <c r="BI124" s="107" t="s">
        <v>59</v>
      </c>
      <c r="BJ124" s="108" t="n">
        <v>1</v>
      </c>
      <c r="BK124" s="53" t="n">
        <f aca="false">AVERAGEA(BJ124,BL124)</f>
        <v>1</v>
      </c>
      <c r="BL124" s="87" t="n">
        <v>1</v>
      </c>
      <c r="BM124" s="105" t="n">
        <v>2</v>
      </c>
      <c r="BN124" s="50" t="n">
        <f aca="false">AVERAGEA(BM124,BO124)</f>
        <v>2</v>
      </c>
      <c r="BO124" s="107" t="n">
        <v>2</v>
      </c>
    </row>
    <row r="125" customFormat="false" ht="15" hidden="false" customHeight="true" outlineLevel="0" collapsed="false">
      <c r="B125" s="133"/>
      <c r="C125" s="143" t="s">
        <v>85</v>
      </c>
      <c r="D125" s="151"/>
      <c r="E125" s="148"/>
      <c r="F125" s="149" t="s">
        <v>86</v>
      </c>
      <c r="G125" s="149"/>
      <c r="H125" s="82" t="n">
        <v>49.2927267275488</v>
      </c>
      <c r="I125" s="71" t="n">
        <f aca="false">AVERAGE(H125,J125)</f>
        <v>50.4566027344582</v>
      </c>
      <c r="J125" s="83" t="n">
        <v>51.6204787413677</v>
      </c>
      <c r="K125" s="49" t="s">
        <v>46</v>
      </c>
      <c r="L125" s="50"/>
      <c r="M125" s="51" t="s">
        <v>46</v>
      </c>
      <c r="N125" s="52" t="s">
        <v>46</v>
      </c>
      <c r="O125" s="53"/>
      <c r="P125" s="54" t="s">
        <v>46</v>
      </c>
      <c r="Q125" s="52" t="s">
        <v>46</v>
      </c>
      <c r="R125" s="53"/>
      <c r="S125" s="53" t="s">
        <v>46</v>
      </c>
      <c r="T125" s="49" t="n">
        <v>84</v>
      </c>
      <c r="U125" s="50" t="n">
        <f aca="false">AVERAGEA(V125,T125)</f>
        <v>87.05</v>
      </c>
      <c r="V125" s="51" t="n">
        <v>90.1</v>
      </c>
      <c r="W125" s="108" t="s">
        <v>60</v>
      </c>
      <c r="X125" s="103"/>
      <c r="Y125" s="87" t="s">
        <v>60</v>
      </c>
      <c r="Z125" s="84" t="s">
        <v>59</v>
      </c>
      <c r="AA125" s="50"/>
      <c r="AB125" s="84" t="s">
        <v>59</v>
      </c>
      <c r="AC125" s="108" t="s">
        <v>60</v>
      </c>
      <c r="AD125" s="103"/>
      <c r="AE125" s="87" t="s">
        <v>60</v>
      </c>
      <c r="AF125" s="49" t="s">
        <v>59</v>
      </c>
      <c r="AG125" s="50"/>
      <c r="AH125" s="51" t="s">
        <v>59</v>
      </c>
      <c r="AI125" s="84" t="s">
        <v>59</v>
      </c>
      <c r="AJ125" s="154"/>
      <c r="AK125" s="51" t="s">
        <v>59</v>
      </c>
      <c r="AL125" s="108" t="s">
        <v>60</v>
      </c>
      <c r="AM125" s="153"/>
      <c r="AN125" s="87" t="s">
        <v>60</v>
      </c>
      <c r="AO125" s="84" t="s">
        <v>59</v>
      </c>
      <c r="AP125" s="50"/>
      <c r="AQ125" s="51" t="s">
        <v>59</v>
      </c>
      <c r="AR125" s="108" t="s">
        <v>60</v>
      </c>
      <c r="AS125" s="153"/>
      <c r="AT125" s="87" t="s">
        <v>60</v>
      </c>
      <c r="AU125" s="105" t="s">
        <v>59</v>
      </c>
      <c r="AV125" s="106"/>
      <c r="AW125" s="107" t="s">
        <v>59</v>
      </c>
      <c r="AX125" s="108" t="s">
        <v>60</v>
      </c>
      <c r="AY125" s="109"/>
      <c r="AZ125" s="87" t="s">
        <v>60</v>
      </c>
      <c r="BA125" s="105" t="s">
        <v>59</v>
      </c>
      <c r="BB125" s="106"/>
      <c r="BC125" s="107" t="s">
        <v>59</v>
      </c>
      <c r="BD125" s="110" t="s">
        <v>60</v>
      </c>
      <c r="BE125" s="53"/>
      <c r="BF125" s="54"/>
      <c r="BG125" s="105" t="s">
        <v>59</v>
      </c>
      <c r="BH125" s="106"/>
      <c r="BI125" s="107" t="s">
        <v>59</v>
      </c>
      <c r="BJ125" s="108" t="s">
        <v>59</v>
      </c>
      <c r="BK125" s="109"/>
      <c r="BL125" s="87" t="s">
        <v>59</v>
      </c>
      <c r="BM125" s="105" t="n">
        <v>1</v>
      </c>
      <c r="BN125" s="50" t="n">
        <f aca="false">AVERAGEA(BM125,BO125)</f>
        <v>1</v>
      </c>
      <c r="BO125" s="107" t="n">
        <v>1</v>
      </c>
    </row>
    <row r="126" customFormat="false" ht="15" hidden="false" customHeight="true" outlineLevel="0" collapsed="false">
      <c r="B126" s="133"/>
      <c r="C126" s="143"/>
      <c r="D126" s="143"/>
      <c r="E126" s="148"/>
      <c r="F126" s="149" t="s">
        <v>87</v>
      </c>
      <c r="G126" s="149"/>
      <c r="H126" s="82" t="n">
        <v>45.5539068284142</v>
      </c>
      <c r="I126" s="71" t="n">
        <f aca="false">AVERAGE(H126,J126)</f>
        <v>47.1295707540583</v>
      </c>
      <c r="J126" s="83" t="n">
        <v>48.7052346797024</v>
      </c>
      <c r="K126" s="49" t="s">
        <v>46</v>
      </c>
      <c r="L126" s="50"/>
      <c r="M126" s="51" t="s">
        <v>46</v>
      </c>
      <c r="N126" s="52" t="s">
        <v>46</v>
      </c>
      <c r="O126" s="53"/>
      <c r="P126" s="54" t="s">
        <v>46</v>
      </c>
      <c r="Q126" s="52" t="s">
        <v>46</v>
      </c>
      <c r="R126" s="53"/>
      <c r="S126" s="53" t="s">
        <v>46</v>
      </c>
      <c r="T126" s="49" t="n">
        <v>84</v>
      </c>
      <c r="U126" s="50" t="n">
        <f aca="false">AVERAGEA(V126,T126)</f>
        <v>87.05</v>
      </c>
      <c r="V126" s="51" t="n">
        <v>90.1</v>
      </c>
      <c r="W126" s="108" t="s">
        <v>60</v>
      </c>
      <c r="X126" s="103"/>
      <c r="Y126" s="87" t="s">
        <v>60</v>
      </c>
      <c r="Z126" s="84" t="s">
        <v>59</v>
      </c>
      <c r="AA126" s="50"/>
      <c r="AB126" s="84" t="s">
        <v>59</v>
      </c>
      <c r="AC126" s="108" t="s">
        <v>60</v>
      </c>
      <c r="AD126" s="103"/>
      <c r="AE126" s="87" t="s">
        <v>60</v>
      </c>
      <c r="AF126" s="49" t="s">
        <v>59</v>
      </c>
      <c r="AG126" s="50"/>
      <c r="AH126" s="51" t="s">
        <v>59</v>
      </c>
      <c r="AI126" s="84" t="s">
        <v>59</v>
      </c>
      <c r="AJ126" s="154"/>
      <c r="AK126" s="51" t="s">
        <v>59</v>
      </c>
      <c r="AL126" s="108" t="s">
        <v>60</v>
      </c>
      <c r="AM126" s="153"/>
      <c r="AN126" s="87" t="s">
        <v>60</v>
      </c>
      <c r="AO126" s="84" t="s">
        <v>59</v>
      </c>
      <c r="AP126" s="50"/>
      <c r="AQ126" s="51" t="s">
        <v>59</v>
      </c>
      <c r="AR126" s="108" t="s">
        <v>60</v>
      </c>
      <c r="AS126" s="153"/>
      <c r="AT126" s="87" t="s">
        <v>60</v>
      </c>
      <c r="AU126" s="105" t="s">
        <v>59</v>
      </c>
      <c r="AV126" s="106"/>
      <c r="AW126" s="107" t="s">
        <v>59</v>
      </c>
      <c r="AX126" s="108" t="s">
        <v>60</v>
      </c>
      <c r="AY126" s="109"/>
      <c r="AZ126" s="87" t="s">
        <v>60</v>
      </c>
      <c r="BA126" s="105" t="s">
        <v>59</v>
      </c>
      <c r="BB126" s="106"/>
      <c r="BC126" s="107" t="s">
        <v>59</v>
      </c>
      <c r="BD126" s="110" t="s">
        <v>60</v>
      </c>
      <c r="BE126" s="53"/>
      <c r="BF126" s="87" t="s">
        <v>60</v>
      </c>
      <c r="BG126" s="105" t="s">
        <v>59</v>
      </c>
      <c r="BH126" s="106"/>
      <c r="BI126" s="107" t="s">
        <v>59</v>
      </c>
      <c r="BJ126" s="108" t="s">
        <v>59</v>
      </c>
      <c r="BK126" s="109"/>
      <c r="BL126" s="87" t="s">
        <v>59</v>
      </c>
      <c r="BM126" s="105" t="n">
        <v>1</v>
      </c>
      <c r="BN126" s="50" t="n">
        <f aca="false">AVERAGEA(BM126,BO126)</f>
        <v>1</v>
      </c>
      <c r="BO126" s="107" t="n">
        <v>1</v>
      </c>
    </row>
    <row r="127" customFormat="false" ht="15" hidden="false" customHeight="true" outlineLevel="0" collapsed="false">
      <c r="B127" s="133"/>
      <c r="C127" s="143"/>
      <c r="D127" s="143"/>
      <c r="E127" s="148"/>
      <c r="F127" s="149" t="s">
        <v>88</v>
      </c>
      <c r="G127" s="149"/>
      <c r="H127" s="82" t="n">
        <v>41.0430905919516</v>
      </c>
      <c r="I127" s="71" t="n">
        <f aca="false">AVERAGE(H127,J127)</f>
        <v>42.7273887620863</v>
      </c>
      <c r="J127" s="83" t="n">
        <v>44.411686932221</v>
      </c>
      <c r="K127" s="49" t="s">
        <v>46</v>
      </c>
      <c r="L127" s="50"/>
      <c r="M127" s="51" t="s">
        <v>46</v>
      </c>
      <c r="N127" s="52" t="s">
        <v>46</v>
      </c>
      <c r="O127" s="53"/>
      <c r="P127" s="54" t="s">
        <v>46</v>
      </c>
      <c r="Q127" s="52" t="s">
        <v>46</v>
      </c>
      <c r="R127" s="53"/>
      <c r="S127" s="53" t="s">
        <v>46</v>
      </c>
      <c r="T127" s="49" t="n">
        <v>84</v>
      </c>
      <c r="U127" s="50" t="n">
        <f aca="false">AVERAGEA(V127,T127)</f>
        <v>87.05</v>
      </c>
      <c r="V127" s="51" t="n">
        <v>90.1</v>
      </c>
      <c r="W127" s="108" t="s">
        <v>60</v>
      </c>
      <c r="X127" s="103"/>
      <c r="Y127" s="87" t="s">
        <v>60</v>
      </c>
      <c r="Z127" s="84" t="s">
        <v>59</v>
      </c>
      <c r="AA127" s="50"/>
      <c r="AB127" s="84" t="s">
        <v>59</v>
      </c>
      <c r="AC127" s="108" t="s">
        <v>60</v>
      </c>
      <c r="AD127" s="103"/>
      <c r="AE127" s="87" t="s">
        <v>60</v>
      </c>
      <c r="AF127" s="49" t="s">
        <v>59</v>
      </c>
      <c r="AG127" s="50"/>
      <c r="AH127" s="51" t="s">
        <v>59</v>
      </c>
      <c r="AI127" s="84" t="s">
        <v>59</v>
      </c>
      <c r="AJ127" s="154"/>
      <c r="AK127" s="51" t="s">
        <v>59</v>
      </c>
      <c r="AL127" s="108" t="s">
        <v>60</v>
      </c>
      <c r="AM127" s="153"/>
      <c r="AN127" s="87" t="s">
        <v>60</v>
      </c>
      <c r="AO127" s="84" t="s">
        <v>59</v>
      </c>
      <c r="AP127" s="50"/>
      <c r="AQ127" s="51" t="s">
        <v>59</v>
      </c>
      <c r="AR127" s="108" t="s">
        <v>60</v>
      </c>
      <c r="AS127" s="153"/>
      <c r="AT127" s="87" t="s">
        <v>60</v>
      </c>
      <c r="AU127" s="105" t="s">
        <v>59</v>
      </c>
      <c r="AV127" s="106"/>
      <c r="AW127" s="107" t="s">
        <v>59</v>
      </c>
      <c r="AX127" s="108" t="s">
        <v>60</v>
      </c>
      <c r="AY127" s="109"/>
      <c r="AZ127" s="87" t="s">
        <v>60</v>
      </c>
      <c r="BA127" s="105" t="s">
        <v>59</v>
      </c>
      <c r="BB127" s="106"/>
      <c r="BC127" s="107" t="s">
        <v>59</v>
      </c>
      <c r="BD127" s="110" t="s">
        <v>60</v>
      </c>
      <c r="BE127" s="53"/>
      <c r="BF127" s="87" t="s">
        <v>60</v>
      </c>
      <c r="BG127" s="105" t="s">
        <v>59</v>
      </c>
      <c r="BH127" s="106"/>
      <c r="BI127" s="107" t="s">
        <v>59</v>
      </c>
      <c r="BJ127" s="108" t="s">
        <v>59</v>
      </c>
      <c r="BK127" s="109"/>
      <c r="BL127" s="87" t="s">
        <v>59</v>
      </c>
      <c r="BM127" s="105" t="n">
        <v>1</v>
      </c>
      <c r="BN127" s="50" t="n">
        <f aca="false">AVERAGEA(BM127,BO127)</f>
        <v>1</v>
      </c>
      <c r="BO127" s="107" t="n">
        <v>1</v>
      </c>
    </row>
    <row r="128" customFormat="false" ht="15" hidden="false" customHeight="true" outlineLevel="0" collapsed="false">
      <c r="B128" s="133"/>
      <c r="C128" s="143"/>
      <c r="D128" s="143"/>
      <c r="E128" s="148"/>
      <c r="F128" s="149" t="s">
        <v>89</v>
      </c>
      <c r="G128" s="149"/>
      <c r="H128" s="82" t="n">
        <v>33.0734303165184</v>
      </c>
      <c r="I128" s="71" t="n">
        <f aca="false">AVERAGE(H128,J128)</f>
        <v>36.9388214963504</v>
      </c>
      <c r="J128" s="83" t="n">
        <v>40.8042126761825</v>
      </c>
      <c r="K128" s="49" t="s">
        <v>46</v>
      </c>
      <c r="L128" s="50"/>
      <c r="M128" s="51" t="s">
        <v>46</v>
      </c>
      <c r="N128" s="52" t="s">
        <v>46</v>
      </c>
      <c r="O128" s="53"/>
      <c r="P128" s="54" t="s">
        <v>46</v>
      </c>
      <c r="Q128" s="52" t="s">
        <v>46</v>
      </c>
      <c r="R128" s="53"/>
      <c r="S128" s="53" t="s">
        <v>46</v>
      </c>
      <c r="T128" s="49" t="n">
        <v>84</v>
      </c>
      <c r="U128" s="50" t="n">
        <f aca="false">AVERAGEA(V128,T128)</f>
        <v>87.05</v>
      </c>
      <c r="V128" s="51" t="n">
        <v>90.1</v>
      </c>
      <c r="W128" s="108" t="s">
        <v>60</v>
      </c>
      <c r="X128" s="103"/>
      <c r="Y128" s="87" t="s">
        <v>60</v>
      </c>
      <c r="Z128" s="84" t="s">
        <v>59</v>
      </c>
      <c r="AA128" s="50"/>
      <c r="AB128" s="84" t="s">
        <v>59</v>
      </c>
      <c r="AC128" s="108" t="s">
        <v>60</v>
      </c>
      <c r="AD128" s="103"/>
      <c r="AE128" s="87" t="s">
        <v>60</v>
      </c>
      <c r="AF128" s="49" t="s">
        <v>59</v>
      </c>
      <c r="AG128" s="50"/>
      <c r="AH128" s="51" t="s">
        <v>59</v>
      </c>
      <c r="AI128" s="84" t="s">
        <v>59</v>
      </c>
      <c r="AJ128" s="154"/>
      <c r="AK128" s="51" t="s">
        <v>59</v>
      </c>
      <c r="AL128" s="108" t="s">
        <v>60</v>
      </c>
      <c r="AM128" s="153"/>
      <c r="AN128" s="87" t="s">
        <v>60</v>
      </c>
      <c r="AO128" s="84" t="s">
        <v>59</v>
      </c>
      <c r="AP128" s="50"/>
      <c r="AQ128" s="51" t="s">
        <v>59</v>
      </c>
      <c r="AR128" s="108" t="s">
        <v>60</v>
      </c>
      <c r="AS128" s="153"/>
      <c r="AT128" s="87" t="s">
        <v>60</v>
      </c>
      <c r="AU128" s="105" t="s">
        <v>59</v>
      </c>
      <c r="AV128" s="106"/>
      <c r="AW128" s="107" t="s">
        <v>59</v>
      </c>
      <c r="AX128" s="108" t="s">
        <v>60</v>
      </c>
      <c r="AY128" s="109"/>
      <c r="AZ128" s="87" t="s">
        <v>60</v>
      </c>
      <c r="BA128" s="105" t="s">
        <v>59</v>
      </c>
      <c r="BB128" s="106"/>
      <c r="BC128" s="107" t="s">
        <v>59</v>
      </c>
      <c r="BD128" s="110" t="s">
        <v>60</v>
      </c>
      <c r="BE128" s="53"/>
      <c r="BF128" s="87" t="s">
        <v>60</v>
      </c>
      <c r="BG128" s="105" t="s">
        <v>59</v>
      </c>
      <c r="BH128" s="106"/>
      <c r="BI128" s="107" t="s">
        <v>59</v>
      </c>
      <c r="BJ128" s="108" t="s">
        <v>59</v>
      </c>
      <c r="BK128" s="109"/>
      <c r="BL128" s="87" t="s">
        <v>59</v>
      </c>
      <c r="BM128" s="105" t="n">
        <v>1</v>
      </c>
      <c r="BN128" s="50" t="n">
        <f aca="false">AVERAGEA(BM128,BO128)</f>
        <v>1</v>
      </c>
      <c r="BO128" s="107" t="n">
        <v>1</v>
      </c>
    </row>
    <row r="129" customFormat="false" ht="15" hidden="false" customHeight="true" outlineLevel="0" collapsed="false">
      <c r="B129" s="133"/>
      <c r="C129" s="143" t="s">
        <v>90</v>
      </c>
      <c r="D129" s="143"/>
      <c r="E129" s="149"/>
      <c r="F129" s="149"/>
      <c r="G129" s="149"/>
      <c r="H129" s="78" t="s">
        <v>46</v>
      </c>
      <c r="I129" s="53"/>
      <c r="J129" s="153" t="s">
        <v>46</v>
      </c>
      <c r="K129" s="49" t="n">
        <v>38</v>
      </c>
      <c r="L129" s="155" t="n">
        <f aca="false">AVERAGE(K129,M129)</f>
        <v>45.5</v>
      </c>
      <c r="M129" s="51" t="n">
        <v>53</v>
      </c>
      <c r="N129" s="52" t="n">
        <v>35</v>
      </c>
      <c r="O129" s="53" t="n">
        <f aca="false">AVERAGEA(N129,P129)</f>
        <v>42.5</v>
      </c>
      <c r="P129" s="54" t="n">
        <v>50</v>
      </c>
      <c r="Q129" s="52" t="n">
        <v>73</v>
      </c>
      <c r="R129" s="53" t="n">
        <f aca="false">AVERAGEA(Q129,S129)</f>
        <v>82.5</v>
      </c>
      <c r="S129" s="54" t="n">
        <v>92</v>
      </c>
      <c r="T129" s="49" t="n">
        <v>60</v>
      </c>
      <c r="U129" s="50" t="n">
        <f aca="false">AVERAGEA(V129,T129)</f>
        <v>72.25</v>
      </c>
      <c r="V129" s="51" t="n">
        <v>84.5</v>
      </c>
      <c r="W129" s="78" t="n">
        <v>40</v>
      </c>
      <c r="X129" s="103" t="n">
        <f aca="false">AVERAGEA(Y129, W129)</f>
        <v>40</v>
      </c>
      <c r="Y129" s="54" t="n">
        <v>40</v>
      </c>
      <c r="Z129" s="84" t="s">
        <v>59</v>
      </c>
      <c r="AA129" s="50"/>
      <c r="AB129" s="84" t="s">
        <v>59</v>
      </c>
      <c r="AC129" s="108" t="s">
        <v>60</v>
      </c>
      <c r="AD129" s="103"/>
      <c r="AE129" s="87" t="s">
        <v>60</v>
      </c>
      <c r="AF129" s="49" t="s">
        <v>59</v>
      </c>
      <c r="AG129" s="50"/>
      <c r="AH129" s="51" t="s">
        <v>59</v>
      </c>
      <c r="AI129" s="84" t="s">
        <v>59</v>
      </c>
      <c r="AJ129" s="154"/>
      <c r="AK129" s="51" t="s">
        <v>59</v>
      </c>
      <c r="AL129" s="78" t="n">
        <v>700</v>
      </c>
      <c r="AM129" s="53" t="n">
        <f aca="false">AVERAGEA(AN129, AL129)</f>
        <v>850</v>
      </c>
      <c r="AN129" s="54" t="n">
        <v>1000</v>
      </c>
      <c r="AO129" s="84" t="s">
        <v>59</v>
      </c>
      <c r="AP129" s="50"/>
      <c r="AQ129" s="51" t="s">
        <v>59</v>
      </c>
      <c r="AR129" s="78" t="n">
        <f aca="false">40/1000</f>
        <v>0.04</v>
      </c>
      <c r="AS129" s="153" t="n">
        <f aca="false">AVERAGEA(AT129, AR129)</f>
        <v>0.04</v>
      </c>
      <c r="AT129" s="54" t="n">
        <f aca="false">40/1000</f>
        <v>0.04</v>
      </c>
      <c r="AU129" s="105" t="s">
        <v>59</v>
      </c>
      <c r="AV129" s="106"/>
      <c r="AW129" s="107" t="s">
        <v>59</v>
      </c>
      <c r="AX129" s="108" t="s">
        <v>60</v>
      </c>
      <c r="AY129" s="109"/>
      <c r="AZ129" s="87" t="s">
        <v>60</v>
      </c>
      <c r="BA129" s="105" t="s">
        <v>59</v>
      </c>
      <c r="BB129" s="106"/>
      <c r="BC129" s="107" t="s">
        <v>59</v>
      </c>
      <c r="BD129" s="110" t="s">
        <v>60</v>
      </c>
      <c r="BE129" s="53"/>
      <c r="BF129" s="87" t="s">
        <v>60</v>
      </c>
      <c r="BG129" s="105" t="s">
        <v>59</v>
      </c>
      <c r="BH129" s="106"/>
      <c r="BI129" s="107" t="s">
        <v>59</v>
      </c>
      <c r="BJ129" s="108" t="s">
        <v>59</v>
      </c>
      <c r="BK129" s="109"/>
      <c r="BL129" s="87" t="s">
        <v>59</v>
      </c>
      <c r="BM129" s="105"/>
      <c r="BN129" s="106"/>
      <c r="BO129" s="107"/>
    </row>
    <row r="130" customFormat="false" ht="15" hidden="false" customHeight="true" outlineLevel="0" collapsed="false">
      <c r="B130" s="133"/>
      <c r="C130" s="143" t="s">
        <v>91</v>
      </c>
      <c r="D130" s="143"/>
      <c r="E130" s="149"/>
      <c r="F130" s="149"/>
      <c r="G130" s="149"/>
      <c r="H130" s="78" t="s">
        <v>46</v>
      </c>
      <c r="I130" s="53"/>
      <c r="J130" s="153" t="s">
        <v>46</v>
      </c>
      <c r="K130" s="49" t="s">
        <v>59</v>
      </c>
      <c r="L130" s="50"/>
      <c r="M130" s="51" t="s">
        <v>59</v>
      </c>
      <c r="N130" s="52" t="n">
        <v>50</v>
      </c>
      <c r="O130" s="53" t="n">
        <f aca="false">AVERAGEA(N130,P130)</f>
        <v>52.5</v>
      </c>
      <c r="P130" s="54" t="n">
        <v>55</v>
      </c>
      <c r="Q130" s="52" t="n">
        <v>65</v>
      </c>
      <c r="R130" s="53" t="n">
        <f aca="false">AVERAGEA(Q130,S130)</f>
        <v>75</v>
      </c>
      <c r="S130" s="54" t="n">
        <v>85</v>
      </c>
      <c r="T130" s="49" t="n">
        <v>93</v>
      </c>
      <c r="U130" s="50" t="n">
        <f aca="false">AVERAGEA(V130,T130)</f>
        <v>94.5</v>
      </c>
      <c r="V130" s="51" t="n">
        <v>96</v>
      </c>
      <c r="W130" s="108" t="s">
        <v>60</v>
      </c>
      <c r="X130" s="103"/>
      <c r="Y130" s="87" t="s">
        <v>60</v>
      </c>
      <c r="Z130" s="84" t="s">
        <v>59</v>
      </c>
      <c r="AA130" s="50"/>
      <c r="AB130" s="84" t="s">
        <v>59</v>
      </c>
      <c r="AC130" s="108" t="s">
        <v>60</v>
      </c>
      <c r="AD130" s="103"/>
      <c r="AE130" s="87" t="s">
        <v>60</v>
      </c>
      <c r="AF130" s="49" t="s">
        <v>59</v>
      </c>
      <c r="AG130" s="50"/>
      <c r="AH130" s="51" t="s">
        <v>59</v>
      </c>
      <c r="AI130" s="84" t="s">
        <v>59</v>
      </c>
      <c r="AJ130" s="154"/>
      <c r="AK130" s="51" t="s">
        <v>59</v>
      </c>
      <c r="AL130" s="78" t="n">
        <v>250</v>
      </c>
      <c r="AM130" s="153" t="n">
        <f aca="false">AVERAGEA(AN130, AL130)</f>
        <v>250</v>
      </c>
      <c r="AN130" s="54" t="n">
        <v>250</v>
      </c>
      <c r="AO130" s="84" t="s">
        <v>59</v>
      </c>
      <c r="AP130" s="50"/>
      <c r="AQ130" s="51" t="s">
        <v>59</v>
      </c>
      <c r="AR130" s="108" t="s">
        <v>60</v>
      </c>
      <c r="AS130" s="153"/>
      <c r="AT130" s="87" t="s">
        <v>60</v>
      </c>
      <c r="AU130" s="105" t="s">
        <v>59</v>
      </c>
      <c r="AV130" s="106"/>
      <c r="AW130" s="107" t="s">
        <v>59</v>
      </c>
      <c r="AX130" s="108" t="s">
        <v>60</v>
      </c>
      <c r="AY130" s="109"/>
      <c r="AZ130" s="87" t="s">
        <v>60</v>
      </c>
      <c r="BA130" s="105" t="s">
        <v>59</v>
      </c>
      <c r="BB130" s="106"/>
      <c r="BC130" s="107" t="s">
        <v>59</v>
      </c>
      <c r="BD130" s="110" t="s">
        <v>60</v>
      </c>
      <c r="BE130" s="53"/>
      <c r="BF130" s="87" t="s">
        <v>60</v>
      </c>
      <c r="BG130" s="105" t="s">
        <v>59</v>
      </c>
      <c r="BH130" s="106"/>
      <c r="BI130" s="107" t="s">
        <v>59</v>
      </c>
      <c r="BJ130" s="108" t="s">
        <v>59</v>
      </c>
      <c r="BK130" s="109"/>
      <c r="BL130" s="87" t="s">
        <v>59</v>
      </c>
      <c r="BM130" s="105" t="n">
        <v>0.166</v>
      </c>
      <c r="BN130" s="106" t="n">
        <f aca="false">AVERAGEA(BM130,BO130)</f>
        <v>0.583</v>
      </c>
      <c r="BO130" s="107" t="n">
        <v>1</v>
      </c>
    </row>
    <row r="131" customFormat="false" ht="15" hidden="false" customHeight="true" outlineLevel="0" collapsed="false">
      <c r="B131" s="133"/>
      <c r="C131" s="143" t="s">
        <v>92</v>
      </c>
      <c r="D131" s="143"/>
      <c r="E131" s="149"/>
      <c r="F131" s="149"/>
      <c r="G131" s="149"/>
      <c r="H131" s="78" t="s">
        <v>46</v>
      </c>
      <c r="I131" s="53"/>
      <c r="J131" s="153" t="s">
        <v>46</v>
      </c>
      <c r="K131" s="49" t="n">
        <v>47.1</v>
      </c>
      <c r="L131" s="155" t="n">
        <f aca="false">AVERAGE(K131,M131)</f>
        <v>49.6</v>
      </c>
      <c r="M131" s="51" t="n">
        <v>52.1</v>
      </c>
      <c r="N131" s="52" t="n">
        <v>38</v>
      </c>
      <c r="O131" s="53" t="n">
        <f aca="false">AVERAGEA(N131,P131)</f>
        <v>39.5</v>
      </c>
      <c r="P131" s="54" t="n">
        <v>41</v>
      </c>
      <c r="Q131" s="52" t="n">
        <v>88.2</v>
      </c>
      <c r="R131" s="53" t="n">
        <f aca="false">AVERAGEA(Q131,S131)</f>
        <v>89.2</v>
      </c>
      <c r="S131" s="54" t="n">
        <v>90.2</v>
      </c>
      <c r="T131" s="84" t="s">
        <v>59</v>
      </c>
      <c r="U131" s="50"/>
      <c r="V131" s="51" t="s">
        <v>59</v>
      </c>
      <c r="W131" s="156" t="s">
        <v>60</v>
      </c>
      <c r="X131" s="103"/>
      <c r="Y131" s="87" t="s">
        <v>60</v>
      </c>
      <c r="Z131" s="84" t="s">
        <v>59</v>
      </c>
      <c r="AA131" s="50"/>
      <c r="AB131" s="84" t="s">
        <v>59</v>
      </c>
      <c r="AC131" s="108" t="s">
        <v>60</v>
      </c>
      <c r="AD131" s="103"/>
      <c r="AE131" s="87" t="s">
        <v>60</v>
      </c>
      <c r="AF131" s="49" t="s">
        <v>59</v>
      </c>
      <c r="AG131" s="50"/>
      <c r="AH131" s="51" t="s">
        <v>59</v>
      </c>
      <c r="AI131" s="84" t="s">
        <v>59</v>
      </c>
      <c r="AJ131" s="154"/>
      <c r="AK131" s="51" t="s">
        <v>59</v>
      </c>
      <c r="AL131" s="78" t="n">
        <v>1292</v>
      </c>
      <c r="AM131" s="153" t="n">
        <f aca="false">AVERAGEA(AN131, AL131)</f>
        <v>2096</v>
      </c>
      <c r="AN131" s="54" t="n">
        <v>2900</v>
      </c>
      <c r="AO131" s="84" t="s">
        <v>59</v>
      </c>
      <c r="AP131" s="50"/>
      <c r="AQ131" s="51" t="s">
        <v>59</v>
      </c>
      <c r="AR131" s="108" t="s">
        <v>60</v>
      </c>
      <c r="AS131" s="153"/>
      <c r="AT131" s="87" t="s">
        <v>60</v>
      </c>
      <c r="AU131" s="105" t="s">
        <v>59</v>
      </c>
      <c r="AV131" s="106"/>
      <c r="AW131" s="107" t="s">
        <v>59</v>
      </c>
      <c r="AX131" s="108" t="s">
        <v>60</v>
      </c>
      <c r="AY131" s="109"/>
      <c r="AZ131" s="87" t="s">
        <v>60</v>
      </c>
      <c r="BA131" s="105" t="s">
        <v>59</v>
      </c>
      <c r="BB131" s="106"/>
      <c r="BC131" s="107" t="s">
        <v>59</v>
      </c>
      <c r="BD131" s="110" t="s">
        <v>60</v>
      </c>
      <c r="BE131" s="53"/>
      <c r="BF131" s="87" t="s">
        <v>60</v>
      </c>
      <c r="BG131" s="105" t="s">
        <v>59</v>
      </c>
      <c r="BH131" s="106"/>
      <c r="BI131" s="107" t="s">
        <v>59</v>
      </c>
      <c r="BJ131" s="108" t="s">
        <v>59</v>
      </c>
      <c r="BK131" s="109"/>
      <c r="BL131" s="87" t="s">
        <v>59</v>
      </c>
      <c r="BM131" s="157" t="s">
        <v>93</v>
      </c>
      <c r="BN131" s="158"/>
      <c r="BO131" s="159" t="s">
        <v>93</v>
      </c>
    </row>
    <row r="132" customFormat="false" ht="15" hidden="false" customHeight="true" outlineLevel="0" collapsed="false">
      <c r="B132" s="133"/>
      <c r="C132" s="143" t="s">
        <v>61</v>
      </c>
      <c r="D132" s="143" t="s">
        <v>62</v>
      </c>
      <c r="E132" s="149"/>
      <c r="F132" s="149"/>
      <c r="G132" s="149"/>
      <c r="H132" s="78" t="s">
        <v>46</v>
      </c>
      <c r="I132" s="53"/>
      <c r="J132" s="153" t="s">
        <v>46</v>
      </c>
      <c r="K132" s="49" t="n">
        <v>60</v>
      </c>
      <c r="L132" s="155" t="n">
        <f aca="false">AVERAGE(K132,M132)</f>
        <v>60</v>
      </c>
      <c r="M132" s="51" t="n">
        <v>60</v>
      </c>
      <c r="N132" s="156" t="n">
        <v>5</v>
      </c>
      <c r="O132" s="53" t="n">
        <f aca="false">AVERAGEA(N132,P132)</f>
        <v>15</v>
      </c>
      <c r="P132" s="54" t="n">
        <v>25</v>
      </c>
      <c r="Q132" s="52" t="n">
        <v>75</v>
      </c>
      <c r="R132" s="53" t="n">
        <f aca="false">AVERAGEA(Q132,S132)</f>
        <v>83.5</v>
      </c>
      <c r="S132" s="54" t="n">
        <v>92</v>
      </c>
      <c r="T132" s="49" t="n">
        <v>72</v>
      </c>
      <c r="U132" s="50" t="n">
        <f aca="false">AVERAGEA(V132,T132)</f>
        <v>85.5</v>
      </c>
      <c r="V132" s="51" t="n">
        <v>99</v>
      </c>
      <c r="W132" s="156" t="s">
        <v>60</v>
      </c>
      <c r="X132" s="103"/>
      <c r="Y132" s="87" t="s">
        <v>60</v>
      </c>
      <c r="Z132" s="84" t="s">
        <v>59</v>
      </c>
      <c r="AA132" s="50"/>
      <c r="AB132" s="84" t="s">
        <v>59</v>
      </c>
      <c r="AC132" s="108" t="s">
        <v>60</v>
      </c>
      <c r="AD132" s="103"/>
      <c r="AE132" s="87" t="s">
        <v>60</v>
      </c>
      <c r="AF132" s="49" t="s">
        <v>59</v>
      </c>
      <c r="AG132" s="50"/>
      <c r="AH132" s="51" t="s">
        <v>59</v>
      </c>
      <c r="AI132" s="84" t="s">
        <v>59</v>
      </c>
      <c r="AJ132" s="154"/>
      <c r="AK132" s="51" t="s">
        <v>59</v>
      </c>
      <c r="AL132" s="108" t="s">
        <v>60</v>
      </c>
      <c r="AM132" s="153"/>
      <c r="AN132" s="87" t="s">
        <v>60</v>
      </c>
      <c r="AO132" s="84" t="s">
        <v>59</v>
      </c>
      <c r="AP132" s="50"/>
      <c r="AQ132" s="51" t="s">
        <v>59</v>
      </c>
      <c r="AR132" s="108" t="s">
        <v>60</v>
      </c>
      <c r="AS132" s="153"/>
      <c r="AT132" s="87" t="s">
        <v>60</v>
      </c>
      <c r="AU132" s="105" t="s">
        <v>59</v>
      </c>
      <c r="AV132" s="106"/>
      <c r="AW132" s="107" t="s">
        <v>59</v>
      </c>
      <c r="AX132" s="108" t="s">
        <v>60</v>
      </c>
      <c r="AY132" s="109"/>
      <c r="AZ132" s="87" t="s">
        <v>60</v>
      </c>
      <c r="BA132" s="105" t="s">
        <v>59</v>
      </c>
      <c r="BB132" s="106"/>
      <c r="BC132" s="107" t="s">
        <v>59</v>
      </c>
      <c r="BD132" s="110" t="s">
        <v>60</v>
      </c>
      <c r="BE132" s="53"/>
      <c r="BF132" s="87" t="s">
        <v>60</v>
      </c>
      <c r="BG132" s="105" t="s">
        <v>59</v>
      </c>
      <c r="BH132" s="106"/>
      <c r="BI132" s="107" t="s">
        <v>59</v>
      </c>
      <c r="BJ132" s="108" t="s">
        <v>59</v>
      </c>
      <c r="BK132" s="109"/>
      <c r="BL132" s="87" t="s">
        <v>59</v>
      </c>
      <c r="BM132" s="105"/>
      <c r="BN132" s="106"/>
      <c r="BO132" s="107"/>
    </row>
    <row r="133" customFormat="false" ht="15" hidden="false" customHeight="true" outlineLevel="0" collapsed="false">
      <c r="B133" s="133"/>
      <c r="C133" s="143" t="s">
        <v>61</v>
      </c>
      <c r="D133" s="160" t="s">
        <v>63</v>
      </c>
      <c r="E133" s="161"/>
      <c r="F133" s="161"/>
      <c r="G133" s="161"/>
      <c r="H133" s="95" t="s">
        <v>46</v>
      </c>
      <c r="I133" s="100"/>
      <c r="J133" s="103" t="s">
        <v>46</v>
      </c>
      <c r="K133" s="97" t="n">
        <v>60</v>
      </c>
      <c r="L133" s="155" t="n">
        <f aca="false">AVERAGE(K133,M133)</f>
        <v>60</v>
      </c>
      <c r="M133" s="98" t="n">
        <v>60</v>
      </c>
      <c r="N133" s="162" t="n">
        <v>5</v>
      </c>
      <c r="O133" s="100" t="n">
        <f aca="false">AVERAGEA(N133,P133)</f>
        <v>15</v>
      </c>
      <c r="P133" s="96" t="n">
        <v>25</v>
      </c>
      <c r="Q133" s="163" t="n">
        <v>60</v>
      </c>
      <c r="R133" s="53" t="n">
        <f aca="false">AVERAGEA(Q133,S133)</f>
        <v>72.5</v>
      </c>
      <c r="S133" s="96" t="n">
        <v>85</v>
      </c>
      <c r="T133" s="120" t="n">
        <v>72</v>
      </c>
      <c r="U133" s="121" t="n">
        <f aca="false">AVERAGEA(V133,T133)</f>
        <v>85.5</v>
      </c>
      <c r="V133" s="122" t="n">
        <v>99</v>
      </c>
      <c r="W133" s="156" t="s">
        <v>60</v>
      </c>
      <c r="X133" s="103"/>
      <c r="Y133" s="131" t="s">
        <v>60</v>
      </c>
      <c r="Z133" s="84" t="s">
        <v>59</v>
      </c>
      <c r="AA133" s="121"/>
      <c r="AB133" s="84" t="s">
        <v>59</v>
      </c>
      <c r="AC133" s="108" t="s">
        <v>60</v>
      </c>
      <c r="AD133" s="103"/>
      <c r="AE133" s="87" t="s">
        <v>60</v>
      </c>
      <c r="AF133" s="120" t="s">
        <v>59</v>
      </c>
      <c r="AG133" s="121"/>
      <c r="AH133" s="122" t="s">
        <v>59</v>
      </c>
      <c r="AI133" s="164" t="s">
        <v>59</v>
      </c>
      <c r="AJ133" s="165"/>
      <c r="AK133" s="122" t="s">
        <v>59</v>
      </c>
      <c r="AL133" s="108" t="s">
        <v>60</v>
      </c>
      <c r="AM133" s="119"/>
      <c r="AN133" s="131" t="s">
        <v>60</v>
      </c>
      <c r="AO133" s="164" t="s">
        <v>59</v>
      </c>
      <c r="AP133" s="121"/>
      <c r="AQ133" s="122" t="s">
        <v>59</v>
      </c>
      <c r="AR133" s="108" t="s">
        <v>60</v>
      </c>
      <c r="AS133" s="119"/>
      <c r="AT133" s="131" t="s">
        <v>60</v>
      </c>
      <c r="AU133" s="166" t="s">
        <v>59</v>
      </c>
      <c r="AV133" s="167"/>
      <c r="AW133" s="168" t="s">
        <v>59</v>
      </c>
      <c r="AX133" s="169" t="s">
        <v>60</v>
      </c>
      <c r="AY133" s="170"/>
      <c r="AZ133" s="171" t="s">
        <v>60</v>
      </c>
      <c r="BA133" s="166" t="s">
        <v>59</v>
      </c>
      <c r="BB133" s="167"/>
      <c r="BC133" s="168" t="s">
        <v>59</v>
      </c>
      <c r="BD133" s="172" t="s">
        <v>60</v>
      </c>
      <c r="BE133" s="100"/>
      <c r="BF133" s="131" t="s">
        <v>60</v>
      </c>
      <c r="BG133" s="166" t="s">
        <v>59</v>
      </c>
      <c r="BH133" s="167"/>
      <c r="BI133" s="168" t="s">
        <v>59</v>
      </c>
      <c r="BJ133" s="169" t="s">
        <v>59</v>
      </c>
      <c r="BK133" s="130"/>
      <c r="BL133" s="171" t="s">
        <v>59</v>
      </c>
      <c r="BM133" s="166"/>
      <c r="BN133" s="167"/>
      <c r="BO133" s="168"/>
    </row>
    <row r="134" customFormat="false" ht="15" hidden="false" customHeight="true" outlineLevel="0" collapsed="false">
      <c r="B134" s="173" t="s">
        <v>94</v>
      </c>
      <c r="C134" s="174" t="s">
        <v>95</v>
      </c>
      <c r="D134" s="175" t="s">
        <v>96</v>
      </c>
      <c r="E134" s="176"/>
      <c r="F134" s="177" t="s">
        <v>97</v>
      </c>
      <c r="G134" s="176"/>
      <c r="H134" s="58" t="n">
        <v>33</v>
      </c>
      <c r="I134" s="59" t="n">
        <f aca="false">AVERAGEA(H134,J134)</f>
        <v>35.5</v>
      </c>
      <c r="J134" s="178" t="n">
        <v>38</v>
      </c>
      <c r="K134" s="61" t="s">
        <v>46</v>
      </c>
      <c r="L134" s="62"/>
      <c r="M134" s="63" t="s">
        <v>46</v>
      </c>
      <c r="N134" s="139" t="s">
        <v>46</v>
      </c>
      <c r="O134" s="59"/>
      <c r="P134" s="60" t="s">
        <v>46</v>
      </c>
      <c r="Q134" s="139" t="s">
        <v>46</v>
      </c>
      <c r="R134" s="59"/>
      <c r="S134" s="60" t="s">
        <v>46</v>
      </c>
      <c r="T134" s="55" t="n">
        <v>71</v>
      </c>
      <c r="U134" s="50" t="n">
        <f aca="false">AVERAGEA(V134,T134)</f>
        <v>35.5</v>
      </c>
      <c r="V134" s="57" t="s">
        <v>98</v>
      </c>
      <c r="W134" s="139" t="n">
        <v>50</v>
      </c>
      <c r="X134" s="179" t="n">
        <f aca="false">AVERAGEA(Y134, W134)</f>
        <v>35</v>
      </c>
      <c r="Y134" s="60" t="n">
        <v>20</v>
      </c>
      <c r="Z134" s="180" t="n">
        <v>0.25</v>
      </c>
      <c r="AA134" s="62" t="n">
        <f aca="false">AVERAGEA(AB134, Z134)</f>
        <v>5.125</v>
      </c>
      <c r="AB134" s="63" t="n">
        <v>10</v>
      </c>
      <c r="AC134" s="58" t="n">
        <v>0.25</v>
      </c>
      <c r="AD134" s="179" t="n">
        <f aca="false">AVERAGEA(AE134, AC134)</f>
        <v>5.125</v>
      </c>
      <c r="AE134" s="60" t="n">
        <v>10</v>
      </c>
      <c r="AF134" s="61" t="n">
        <v>6</v>
      </c>
      <c r="AG134" s="62" t="n">
        <f aca="false">AVERAGEA(AH134, AF134)</f>
        <v>87</v>
      </c>
      <c r="AH134" s="63" t="n">
        <v>168</v>
      </c>
      <c r="AI134" s="65" t="n">
        <v>4</v>
      </c>
      <c r="AJ134" s="62" t="n">
        <f aca="false">AVERAGEA(AK134, AI134)</f>
        <v>26</v>
      </c>
      <c r="AK134" s="63" t="n">
        <v>48</v>
      </c>
      <c r="AL134" s="58" t="n">
        <v>3000</v>
      </c>
      <c r="AM134" s="59" t="n">
        <f aca="false">AVERAGEA(AN134, AL134)</f>
        <v>5085.5</v>
      </c>
      <c r="AN134" s="60" t="n">
        <v>7171</v>
      </c>
      <c r="AO134" s="61" t="n">
        <v>5</v>
      </c>
      <c r="AP134" s="62" t="n">
        <f aca="false">AVERAGEA(AQ134, AO134)</f>
        <v>57.5</v>
      </c>
      <c r="AQ134" s="63" t="n">
        <v>110</v>
      </c>
      <c r="AR134" s="58" t="n">
        <v>0</v>
      </c>
      <c r="AS134" s="59" t="n">
        <f aca="false">AVERAGEA(AT134, AR134)</f>
        <v>2.5</v>
      </c>
      <c r="AT134" s="60" t="n">
        <v>5</v>
      </c>
      <c r="AU134" s="181" t="s">
        <v>59</v>
      </c>
      <c r="AV134" s="182"/>
      <c r="AW134" s="183" t="s">
        <v>59</v>
      </c>
      <c r="AX134" s="184" t="s">
        <v>60</v>
      </c>
      <c r="AY134" s="185"/>
      <c r="AZ134" s="186" t="s">
        <v>60</v>
      </c>
      <c r="BA134" s="181" t="n">
        <v>16.7</v>
      </c>
      <c r="BB134" s="182" t="n">
        <f aca="false">AVERAGEA(BA134,BC134)</f>
        <v>78.35</v>
      </c>
      <c r="BC134" s="183" t="n">
        <v>140</v>
      </c>
      <c r="BD134" s="184" t="s">
        <v>60</v>
      </c>
      <c r="BE134" s="59"/>
      <c r="BF134" s="187" t="s">
        <v>60</v>
      </c>
      <c r="BG134" s="181" t="n">
        <v>20</v>
      </c>
      <c r="BH134" s="182" t="n">
        <f aca="false">AVERAGEA(BG134,BI134)</f>
        <v>130</v>
      </c>
      <c r="BI134" s="183" t="n">
        <v>240</v>
      </c>
      <c r="BJ134" s="184" t="n">
        <v>2</v>
      </c>
      <c r="BK134" s="188" t="n">
        <f aca="false">AVERAGEA(BJ134,BL134)</f>
        <v>6</v>
      </c>
      <c r="BL134" s="186" t="n">
        <v>10</v>
      </c>
      <c r="BM134" s="181" t="n">
        <v>24</v>
      </c>
      <c r="BN134" s="182" t="n">
        <f aca="false">AVERAGEA(BM134,BO134)</f>
        <v>37</v>
      </c>
      <c r="BO134" s="183" t="n">
        <v>50</v>
      </c>
    </row>
    <row r="135" customFormat="false" ht="15" hidden="false" customHeight="true" outlineLevel="0" collapsed="false">
      <c r="B135" s="173"/>
      <c r="C135" s="174"/>
      <c r="D135" s="175"/>
      <c r="E135" s="176"/>
      <c r="F135" s="189" t="s">
        <v>99</v>
      </c>
      <c r="G135" s="190"/>
      <c r="H135" s="191" t="n">
        <v>33</v>
      </c>
      <c r="I135" s="192" t="n">
        <f aca="false">AVERAGEA(H135,J135)</f>
        <v>35.5</v>
      </c>
      <c r="J135" s="193" t="n">
        <v>38</v>
      </c>
      <c r="K135" s="49" t="s">
        <v>46</v>
      </c>
      <c r="L135" s="50"/>
      <c r="M135" s="51" t="s">
        <v>46</v>
      </c>
      <c r="N135" s="52" t="s">
        <v>46</v>
      </c>
      <c r="O135" s="53"/>
      <c r="P135" s="54" t="s">
        <v>46</v>
      </c>
      <c r="Q135" s="52" t="s">
        <v>46</v>
      </c>
      <c r="R135" s="53"/>
      <c r="S135" s="54" t="s">
        <v>46</v>
      </c>
      <c r="T135" s="49" t="n">
        <v>71</v>
      </c>
      <c r="U135" s="50" t="n">
        <f aca="false">AVERAGEA(V135,T135)</f>
        <v>35.5</v>
      </c>
      <c r="V135" s="51" t="s">
        <v>98</v>
      </c>
      <c r="W135" s="194" t="n">
        <v>50</v>
      </c>
      <c r="X135" s="103" t="n">
        <f aca="false">AVERAGEA(Y135, W135)</f>
        <v>35</v>
      </c>
      <c r="Y135" s="195" t="n">
        <v>20</v>
      </c>
      <c r="Z135" s="196" t="n">
        <v>0.25</v>
      </c>
      <c r="AA135" s="197" t="n">
        <f aca="false">AVERAGEA(AB135, Z135)</f>
        <v>5.125</v>
      </c>
      <c r="AB135" s="197" t="n">
        <v>10</v>
      </c>
      <c r="AC135" s="191" t="n">
        <v>0.25</v>
      </c>
      <c r="AD135" s="103" t="n">
        <f aca="false">AVERAGEA(AE135, AC135)</f>
        <v>5.125</v>
      </c>
      <c r="AE135" s="195" t="n">
        <v>10</v>
      </c>
      <c r="AF135" s="198" t="n">
        <v>6</v>
      </c>
      <c r="AG135" s="50" t="n">
        <f aca="false">AVERAGEA(AH135, AF135)</f>
        <v>87</v>
      </c>
      <c r="AH135" s="199" t="n">
        <v>168</v>
      </c>
      <c r="AI135" s="200" t="n">
        <v>4</v>
      </c>
      <c r="AJ135" s="50" t="n">
        <f aca="false">AVERAGEA(AK135, AI135)</f>
        <v>26</v>
      </c>
      <c r="AK135" s="199" t="n">
        <v>48</v>
      </c>
      <c r="AL135" s="191" t="n">
        <v>3000</v>
      </c>
      <c r="AM135" s="192" t="n">
        <f aca="false">AVERAGEA(AN135, AL135)</f>
        <v>5085.5</v>
      </c>
      <c r="AN135" s="195" t="n">
        <v>7171</v>
      </c>
      <c r="AO135" s="198" t="n">
        <v>5</v>
      </c>
      <c r="AP135" s="197" t="n">
        <f aca="false">AVERAGEA(AQ135, AO135)</f>
        <v>57.5</v>
      </c>
      <c r="AQ135" s="199" t="n">
        <v>110</v>
      </c>
      <c r="AR135" s="191" t="n">
        <v>0</v>
      </c>
      <c r="AS135" s="192" t="n">
        <f aca="false">AVERAGEA(AT135, AR135)</f>
        <v>2.5</v>
      </c>
      <c r="AT135" s="195" t="n">
        <v>5</v>
      </c>
      <c r="AU135" s="105" t="s">
        <v>59</v>
      </c>
      <c r="AV135" s="106"/>
      <c r="AW135" s="107" t="s">
        <v>59</v>
      </c>
      <c r="AX135" s="108" t="s">
        <v>60</v>
      </c>
      <c r="AY135" s="109"/>
      <c r="AZ135" s="87" t="s">
        <v>60</v>
      </c>
      <c r="BA135" s="105" t="n">
        <v>16.7</v>
      </c>
      <c r="BB135" s="106" t="n">
        <f aca="false">AVERAGEA(BA135,BC135)</f>
        <v>78.35</v>
      </c>
      <c r="BC135" s="107" t="n">
        <v>140</v>
      </c>
      <c r="BD135" s="110" t="s">
        <v>60</v>
      </c>
      <c r="BE135" s="53"/>
      <c r="BF135" s="87" t="s">
        <v>60</v>
      </c>
      <c r="BG135" s="105" t="n">
        <v>20</v>
      </c>
      <c r="BH135" s="106" t="n">
        <f aca="false">AVERAGEA(BG135,BI135)</f>
        <v>130</v>
      </c>
      <c r="BI135" s="107" t="n">
        <v>240</v>
      </c>
      <c r="BJ135" s="108" t="n">
        <v>2</v>
      </c>
      <c r="BK135" s="109" t="n">
        <f aca="false">AVERAGEA(BJ135,BL135)</f>
        <v>6</v>
      </c>
      <c r="BL135" s="87" t="n">
        <v>10</v>
      </c>
      <c r="BM135" s="105" t="n">
        <v>24</v>
      </c>
      <c r="BN135" s="106" t="n">
        <f aca="false">AVERAGEA(BM135,BO135)</f>
        <v>37</v>
      </c>
      <c r="BO135" s="107" t="n">
        <v>50</v>
      </c>
    </row>
    <row r="136" customFormat="false" ht="15" hidden="false" customHeight="true" outlineLevel="0" collapsed="false">
      <c r="B136" s="173"/>
      <c r="C136" s="174"/>
      <c r="D136" s="201" t="s">
        <v>100</v>
      </c>
      <c r="E136" s="113"/>
      <c r="F136" s="202" t="s">
        <v>97</v>
      </c>
      <c r="G136" s="113"/>
      <c r="H136" s="78" t="n">
        <v>33</v>
      </c>
      <c r="I136" s="53" t="n">
        <f aca="false">AVERAGEA(H136,J136)</f>
        <v>33</v>
      </c>
      <c r="J136" s="153" t="n">
        <v>33</v>
      </c>
      <c r="K136" s="49" t="s">
        <v>46</v>
      </c>
      <c r="L136" s="50"/>
      <c r="M136" s="51" t="s">
        <v>46</v>
      </c>
      <c r="N136" s="52" t="s">
        <v>46</v>
      </c>
      <c r="O136" s="53"/>
      <c r="P136" s="54" t="s">
        <v>46</v>
      </c>
      <c r="Q136" s="52" t="s">
        <v>46</v>
      </c>
      <c r="R136" s="53"/>
      <c r="S136" s="54" t="s">
        <v>46</v>
      </c>
      <c r="T136" s="49" t="n">
        <v>71</v>
      </c>
      <c r="U136" s="50" t="n">
        <f aca="false">AVERAGEA(V136,T136)</f>
        <v>35.5</v>
      </c>
      <c r="V136" s="51" t="s">
        <v>98</v>
      </c>
      <c r="W136" s="52" t="n">
        <v>60</v>
      </c>
      <c r="X136" s="103" t="n">
        <f aca="false">AVERAGEA(Y136, W136)</f>
        <v>40</v>
      </c>
      <c r="Y136" s="54" t="n">
        <v>20</v>
      </c>
      <c r="Z136" s="147" t="n">
        <v>0.25</v>
      </c>
      <c r="AA136" s="50" t="n">
        <f aca="false">AVERAGEA(AB136, Z136)</f>
        <v>5.125</v>
      </c>
      <c r="AB136" s="50" t="n">
        <v>10</v>
      </c>
      <c r="AC136" s="78" t="n">
        <v>0.25</v>
      </c>
      <c r="AD136" s="103" t="n">
        <f aca="false">AVERAGEA(AE136, AC136)</f>
        <v>5.125</v>
      </c>
      <c r="AE136" s="54" t="n">
        <v>10</v>
      </c>
      <c r="AF136" s="49" t="n">
        <v>6</v>
      </c>
      <c r="AG136" s="50" t="n">
        <f aca="false">AVERAGEA(AH136, AF136)</f>
        <v>87</v>
      </c>
      <c r="AH136" s="51" t="n">
        <v>168</v>
      </c>
      <c r="AI136" s="84" t="n">
        <v>4</v>
      </c>
      <c r="AJ136" s="50" t="n">
        <f aca="false">AVERAGEA(AK136, AI136)</f>
        <v>26</v>
      </c>
      <c r="AK136" s="51" t="n">
        <v>48</v>
      </c>
      <c r="AL136" s="78" t="n">
        <v>3000</v>
      </c>
      <c r="AM136" s="53" t="n">
        <f aca="false">AVERAGEA(AN136, AL136)</f>
        <v>5085.5</v>
      </c>
      <c r="AN136" s="54" t="n">
        <v>7171</v>
      </c>
      <c r="AO136" s="49" t="n">
        <v>5</v>
      </c>
      <c r="AP136" s="50" t="n">
        <f aca="false">AVERAGEA(AQ136, AO136)</f>
        <v>57.5</v>
      </c>
      <c r="AQ136" s="51" t="n">
        <v>110</v>
      </c>
      <c r="AR136" s="78" t="n">
        <v>0</v>
      </c>
      <c r="AS136" s="53" t="n">
        <f aca="false">AVERAGEA(AT136, AR136)</f>
        <v>2.5</v>
      </c>
      <c r="AT136" s="54" t="n">
        <v>5</v>
      </c>
      <c r="AU136" s="105" t="s">
        <v>59</v>
      </c>
      <c r="AV136" s="106"/>
      <c r="AW136" s="107" t="s">
        <v>59</v>
      </c>
      <c r="AX136" s="108" t="s">
        <v>60</v>
      </c>
      <c r="AY136" s="109"/>
      <c r="AZ136" s="87" t="s">
        <v>60</v>
      </c>
      <c r="BA136" s="105" t="n">
        <v>16.7</v>
      </c>
      <c r="BB136" s="106" t="n">
        <f aca="false">AVERAGEA(BA136,BC136)</f>
        <v>78.35</v>
      </c>
      <c r="BC136" s="107" t="n">
        <v>140</v>
      </c>
      <c r="BD136" s="110" t="s">
        <v>60</v>
      </c>
      <c r="BE136" s="53"/>
      <c r="BF136" s="87" t="s">
        <v>60</v>
      </c>
      <c r="BG136" s="105" t="n">
        <v>20</v>
      </c>
      <c r="BH136" s="106" t="n">
        <f aca="false">AVERAGEA(BG136,BI136)</f>
        <v>130</v>
      </c>
      <c r="BI136" s="107" t="n">
        <v>240</v>
      </c>
      <c r="BJ136" s="108" t="n">
        <v>2</v>
      </c>
      <c r="BK136" s="109" t="n">
        <f aca="false">AVERAGEA(BJ136,BL136)</f>
        <v>6</v>
      </c>
      <c r="BL136" s="87" t="n">
        <v>10</v>
      </c>
      <c r="BM136" s="105" t="n">
        <v>24</v>
      </c>
      <c r="BN136" s="106" t="n">
        <f aca="false">AVERAGEA(BM136,BO136)</f>
        <v>37</v>
      </c>
      <c r="BO136" s="107" t="n">
        <v>50</v>
      </c>
    </row>
    <row r="137" customFormat="false" ht="15" hidden="false" customHeight="true" outlineLevel="0" collapsed="false">
      <c r="B137" s="173"/>
      <c r="C137" s="174"/>
      <c r="D137" s="201"/>
      <c r="E137" s="113"/>
      <c r="F137" s="203" t="s">
        <v>99</v>
      </c>
      <c r="G137" s="204"/>
      <c r="H137" s="205" t="n">
        <v>33</v>
      </c>
      <c r="I137" s="124" t="n">
        <f aca="false">AVERAGEA(H137,J137)</f>
        <v>33</v>
      </c>
      <c r="J137" s="119" t="n">
        <v>33</v>
      </c>
      <c r="K137" s="120" t="s">
        <v>46</v>
      </c>
      <c r="L137" s="121"/>
      <c r="M137" s="122" t="s">
        <v>46</v>
      </c>
      <c r="N137" s="123" t="s">
        <v>46</v>
      </c>
      <c r="O137" s="124"/>
      <c r="P137" s="125" t="s">
        <v>46</v>
      </c>
      <c r="Q137" s="123" t="s">
        <v>46</v>
      </c>
      <c r="R137" s="124"/>
      <c r="S137" s="125" t="s">
        <v>46</v>
      </c>
      <c r="T137" s="120" t="n">
        <v>71</v>
      </c>
      <c r="U137" s="121" t="n">
        <f aca="false">AVERAGEA(V137,T137)</f>
        <v>35.5</v>
      </c>
      <c r="V137" s="122" t="s">
        <v>98</v>
      </c>
      <c r="W137" s="123" t="n">
        <v>60</v>
      </c>
      <c r="X137" s="103" t="n">
        <f aca="false">AVERAGEA(Y137, W137)</f>
        <v>40</v>
      </c>
      <c r="Y137" s="54" t="n">
        <v>20</v>
      </c>
      <c r="Z137" s="206" t="n">
        <v>0.25</v>
      </c>
      <c r="AA137" s="121" t="n">
        <f aca="false">AVERAGEA(AB137, Z137)</f>
        <v>5.125</v>
      </c>
      <c r="AB137" s="121" t="n">
        <v>10</v>
      </c>
      <c r="AC137" s="205" t="n">
        <v>0.25</v>
      </c>
      <c r="AD137" s="103" t="n">
        <f aca="false">AVERAGEA(AE137, AC137)</f>
        <v>5.125</v>
      </c>
      <c r="AE137" s="125" t="n">
        <v>10</v>
      </c>
      <c r="AF137" s="120" t="n">
        <v>6</v>
      </c>
      <c r="AG137" s="50" t="n">
        <f aca="false">AVERAGEA(AH137, AF137)</f>
        <v>87</v>
      </c>
      <c r="AH137" s="122" t="n">
        <v>168</v>
      </c>
      <c r="AI137" s="164" t="n">
        <v>4</v>
      </c>
      <c r="AJ137" s="50" t="n">
        <f aca="false">AVERAGEA(AK137, AI137)</f>
        <v>26</v>
      </c>
      <c r="AK137" s="122" t="n">
        <v>48</v>
      </c>
      <c r="AL137" s="205" t="n">
        <v>3000</v>
      </c>
      <c r="AM137" s="124" t="n">
        <f aca="false">AVERAGEA(AN137, AL137)</f>
        <v>5085.5</v>
      </c>
      <c r="AN137" s="125" t="n">
        <v>7171</v>
      </c>
      <c r="AO137" s="120" t="n">
        <v>5</v>
      </c>
      <c r="AP137" s="121" t="n">
        <f aca="false">AVERAGEA(AQ137, AO137)</f>
        <v>57.5</v>
      </c>
      <c r="AQ137" s="122" t="n">
        <v>110</v>
      </c>
      <c r="AR137" s="205" t="n">
        <v>0</v>
      </c>
      <c r="AS137" s="124" t="n">
        <f aca="false">AVERAGEA(AT137, AR137)</f>
        <v>2.5</v>
      </c>
      <c r="AT137" s="125" t="n">
        <v>5</v>
      </c>
      <c r="AU137" s="126" t="s">
        <v>59</v>
      </c>
      <c r="AV137" s="127"/>
      <c r="AW137" s="128" t="s">
        <v>59</v>
      </c>
      <c r="AX137" s="129" t="s">
        <v>60</v>
      </c>
      <c r="AY137" s="130"/>
      <c r="AZ137" s="131" t="s">
        <v>60</v>
      </c>
      <c r="BA137" s="126" t="n">
        <v>16.7</v>
      </c>
      <c r="BB137" s="106" t="n">
        <f aca="false">AVERAGEA(BA137,BC137)</f>
        <v>78.35</v>
      </c>
      <c r="BC137" s="128" t="n">
        <v>140</v>
      </c>
      <c r="BD137" s="172" t="s">
        <v>60</v>
      </c>
      <c r="BE137" s="124"/>
      <c r="BF137" s="171" t="s">
        <v>60</v>
      </c>
      <c r="BG137" s="126" t="n">
        <v>20</v>
      </c>
      <c r="BH137" s="127" t="n">
        <f aca="false">AVERAGEA(BG137,BI137)</f>
        <v>130</v>
      </c>
      <c r="BI137" s="128" t="n">
        <v>240</v>
      </c>
      <c r="BJ137" s="129" t="n">
        <v>2</v>
      </c>
      <c r="BK137" s="109" t="n">
        <f aca="false">AVERAGEA(BJ137,BL137)</f>
        <v>6</v>
      </c>
      <c r="BL137" s="131" t="n">
        <v>10</v>
      </c>
      <c r="BM137" s="126" t="n">
        <v>24</v>
      </c>
      <c r="BN137" s="106" t="n">
        <f aca="false">AVERAGEA(BM137,BO137)</f>
        <v>37</v>
      </c>
      <c r="BO137" s="128" t="n">
        <v>50</v>
      </c>
    </row>
    <row r="138" customFormat="false" ht="15" hidden="false" customHeight="true" outlineLevel="0" collapsed="false">
      <c r="B138" s="207" t="s">
        <v>101</v>
      </c>
      <c r="C138" s="208" t="s">
        <v>84</v>
      </c>
      <c r="D138" s="208"/>
      <c r="E138" s="141"/>
      <c r="F138" s="141"/>
      <c r="G138" s="209"/>
      <c r="H138" s="73" t="n">
        <v>30</v>
      </c>
      <c r="I138" s="74" t="n">
        <f aca="false">AVERAGEA(H138,J138)</f>
        <v>35</v>
      </c>
      <c r="J138" s="210" t="n">
        <v>40</v>
      </c>
      <c r="K138" s="55" t="s">
        <v>46</v>
      </c>
      <c r="L138" s="56"/>
      <c r="M138" s="57" t="s">
        <v>46</v>
      </c>
      <c r="N138" s="138" t="s">
        <v>46</v>
      </c>
      <c r="O138" s="74"/>
      <c r="P138" s="75" t="s">
        <v>46</v>
      </c>
      <c r="Q138" s="138" t="s">
        <v>46</v>
      </c>
      <c r="R138" s="74"/>
      <c r="S138" s="74" t="s">
        <v>46</v>
      </c>
      <c r="T138" s="61" t="n">
        <v>85</v>
      </c>
      <c r="U138" s="62" t="n">
        <f aca="false">AVERAGEA(T138,V138)</f>
        <v>85</v>
      </c>
      <c r="V138" s="63" t="n">
        <v>85</v>
      </c>
      <c r="W138" s="139" t="n">
        <v>30</v>
      </c>
      <c r="X138" s="178" t="n">
        <f aca="false">AVERAGEA(Y138, W138)</f>
        <v>30</v>
      </c>
      <c r="Y138" s="60" t="n">
        <v>30</v>
      </c>
      <c r="Z138" s="84" t="s">
        <v>59</v>
      </c>
      <c r="AA138" s="62"/>
      <c r="AB138" s="84" t="s">
        <v>59</v>
      </c>
      <c r="AC138" s="108" t="s">
        <v>60</v>
      </c>
      <c r="AD138" s="179"/>
      <c r="AE138" s="87" t="s">
        <v>60</v>
      </c>
      <c r="AF138" s="61" t="s">
        <v>59</v>
      </c>
      <c r="AG138" s="62"/>
      <c r="AH138" s="63" t="s">
        <v>59</v>
      </c>
      <c r="AI138" s="65" t="s">
        <v>59</v>
      </c>
      <c r="AJ138" s="211"/>
      <c r="AK138" s="63" t="s">
        <v>59</v>
      </c>
      <c r="AL138" s="58" t="n">
        <v>883</v>
      </c>
      <c r="AM138" s="178" t="n">
        <f aca="false">AVERAGEA(AN138, AL138)</f>
        <v>2765.5</v>
      </c>
      <c r="AN138" s="60" t="n">
        <v>4648</v>
      </c>
      <c r="AO138" s="61" t="n">
        <v>116</v>
      </c>
      <c r="AP138" s="62" t="n">
        <f aca="false">AVERAGEA(AQ138, AO138)</f>
        <v>120.5</v>
      </c>
      <c r="AQ138" s="63" t="n">
        <v>125</v>
      </c>
      <c r="AR138" s="108" t="s">
        <v>60</v>
      </c>
      <c r="AS138" s="178"/>
      <c r="AT138" s="186" t="s">
        <v>60</v>
      </c>
      <c r="AU138" s="181" t="s">
        <v>59</v>
      </c>
      <c r="AV138" s="182"/>
      <c r="AW138" s="183" t="s">
        <v>59</v>
      </c>
      <c r="AX138" s="184" t="s">
        <v>60</v>
      </c>
      <c r="AY138" s="185"/>
      <c r="AZ138" s="186" t="s">
        <v>60</v>
      </c>
      <c r="BA138" s="181" t="s">
        <v>59</v>
      </c>
      <c r="BB138" s="182"/>
      <c r="BC138" s="183" t="s">
        <v>59</v>
      </c>
      <c r="BD138" s="184" t="s">
        <v>60</v>
      </c>
      <c r="BE138" s="59"/>
      <c r="BF138" s="186" t="s">
        <v>60</v>
      </c>
      <c r="BG138" s="181" t="s">
        <v>59</v>
      </c>
      <c r="BH138" s="182"/>
      <c r="BI138" s="183" t="s">
        <v>59</v>
      </c>
      <c r="BJ138" s="184" t="s">
        <v>59</v>
      </c>
      <c r="BK138" s="185"/>
      <c r="BL138" s="186" t="s">
        <v>59</v>
      </c>
      <c r="BM138" s="181" t="s">
        <v>59</v>
      </c>
      <c r="BN138" s="182"/>
      <c r="BO138" s="183" t="s">
        <v>59</v>
      </c>
    </row>
    <row r="139" customFormat="false" ht="15" hidden="false" customHeight="true" outlineLevel="0" collapsed="false">
      <c r="B139" s="207"/>
      <c r="C139" s="143" t="s">
        <v>61</v>
      </c>
      <c r="D139" s="143" t="s">
        <v>62</v>
      </c>
      <c r="E139" s="149"/>
      <c r="F139" s="149"/>
      <c r="G139" s="212"/>
      <c r="H139" s="78" t="s">
        <v>46</v>
      </c>
      <c r="I139" s="53"/>
      <c r="J139" s="153" t="s">
        <v>46</v>
      </c>
      <c r="K139" s="49" t="s">
        <v>46</v>
      </c>
      <c r="L139" s="50"/>
      <c r="M139" s="51" t="s">
        <v>46</v>
      </c>
      <c r="N139" s="52" t="s">
        <v>46</v>
      </c>
      <c r="O139" s="53"/>
      <c r="P139" s="54" t="s">
        <v>46</v>
      </c>
      <c r="Q139" s="52" t="s">
        <v>46</v>
      </c>
      <c r="R139" s="53"/>
      <c r="S139" s="54" t="s">
        <v>46</v>
      </c>
      <c r="T139" s="49" t="s">
        <v>59</v>
      </c>
      <c r="U139" s="50"/>
      <c r="V139" s="51" t="s">
        <v>59</v>
      </c>
      <c r="W139" s="52" t="n">
        <v>30</v>
      </c>
      <c r="X139" s="153" t="n">
        <f aca="false">AVERAGEA(Y139, W139)</f>
        <v>30</v>
      </c>
      <c r="Y139" s="54" t="n">
        <v>30</v>
      </c>
      <c r="Z139" s="84" t="s">
        <v>59</v>
      </c>
      <c r="AA139" s="50"/>
      <c r="AB139" s="84" t="s">
        <v>59</v>
      </c>
      <c r="AC139" s="108" t="s">
        <v>60</v>
      </c>
      <c r="AD139" s="103"/>
      <c r="AE139" s="87" t="s">
        <v>60</v>
      </c>
      <c r="AF139" s="49" t="s">
        <v>59</v>
      </c>
      <c r="AG139" s="50"/>
      <c r="AH139" s="51" t="s">
        <v>59</v>
      </c>
      <c r="AI139" s="84" t="s">
        <v>59</v>
      </c>
      <c r="AJ139" s="154"/>
      <c r="AK139" s="51" t="s">
        <v>59</v>
      </c>
      <c r="AL139" s="108" t="s">
        <v>60</v>
      </c>
      <c r="AM139" s="153"/>
      <c r="AN139" s="109" t="s">
        <v>60</v>
      </c>
      <c r="AO139" s="49" t="n">
        <v>252</v>
      </c>
      <c r="AP139" s="50" t="n">
        <f aca="false">AVERAGEA(AQ139, AO139)</f>
        <v>259.5</v>
      </c>
      <c r="AQ139" s="51" t="n">
        <v>267</v>
      </c>
      <c r="AR139" s="108" t="s">
        <v>60</v>
      </c>
      <c r="AS139" s="153"/>
      <c r="AT139" s="87" t="s">
        <v>60</v>
      </c>
      <c r="AU139" s="105" t="s">
        <v>59</v>
      </c>
      <c r="AV139" s="106"/>
      <c r="AW139" s="107" t="s">
        <v>59</v>
      </c>
      <c r="AX139" s="108" t="s">
        <v>60</v>
      </c>
      <c r="AY139" s="109"/>
      <c r="AZ139" s="87" t="s">
        <v>60</v>
      </c>
      <c r="BA139" s="105" t="s">
        <v>59</v>
      </c>
      <c r="BB139" s="106"/>
      <c r="BC139" s="107" t="s">
        <v>59</v>
      </c>
      <c r="BD139" s="110" t="s">
        <v>60</v>
      </c>
      <c r="BE139" s="53"/>
      <c r="BF139" s="87" t="s">
        <v>60</v>
      </c>
      <c r="BG139" s="105" t="s">
        <v>59</v>
      </c>
      <c r="BH139" s="106"/>
      <c r="BI139" s="107" t="s">
        <v>59</v>
      </c>
      <c r="BJ139" s="108" t="s">
        <v>59</v>
      </c>
      <c r="BK139" s="109"/>
      <c r="BL139" s="87" t="s">
        <v>59</v>
      </c>
      <c r="BM139" s="105" t="s">
        <v>59</v>
      </c>
      <c r="BN139" s="106"/>
      <c r="BO139" s="107" t="s">
        <v>59</v>
      </c>
    </row>
    <row r="140" customFormat="false" ht="15" hidden="false" customHeight="true" outlineLevel="0" collapsed="false">
      <c r="B140" s="207"/>
      <c r="C140" s="143" t="s">
        <v>61</v>
      </c>
      <c r="D140" s="160" t="s">
        <v>63</v>
      </c>
      <c r="E140" s="149"/>
      <c r="F140" s="149"/>
      <c r="G140" s="212"/>
      <c r="H140" s="78" t="s">
        <v>46</v>
      </c>
      <c r="I140" s="53"/>
      <c r="J140" s="153" t="s">
        <v>46</v>
      </c>
      <c r="K140" s="49" t="s">
        <v>46</v>
      </c>
      <c r="L140" s="50"/>
      <c r="M140" s="51" t="s">
        <v>46</v>
      </c>
      <c r="N140" s="52" t="s">
        <v>46</v>
      </c>
      <c r="O140" s="53"/>
      <c r="P140" s="54" t="s">
        <v>46</v>
      </c>
      <c r="Q140" s="52" t="s">
        <v>46</v>
      </c>
      <c r="R140" s="53"/>
      <c r="S140" s="54" t="s">
        <v>46</v>
      </c>
      <c r="T140" s="49" t="s">
        <v>59</v>
      </c>
      <c r="U140" s="50"/>
      <c r="V140" s="51" t="s">
        <v>59</v>
      </c>
      <c r="W140" s="52" t="n">
        <v>30</v>
      </c>
      <c r="X140" s="153" t="n">
        <f aca="false">AVERAGEA(Y140, W140)</f>
        <v>30</v>
      </c>
      <c r="Y140" s="54" t="n">
        <v>30</v>
      </c>
      <c r="Z140" s="84" t="s">
        <v>59</v>
      </c>
      <c r="AA140" s="50"/>
      <c r="AB140" s="84" t="s">
        <v>59</v>
      </c>
      <c r="AC140" s="108" t="s">
        <v>60</v>
      </c>
      <c r="AD140" s="103"/>
      <c r="AE140" s="87" t="s">
        <v>60</v>
      </c>
      <c r="AF140" s="49" t="s">
        <v>59</v>
      </c>
      <c r="AG140" s="50"/>
      <c r="AH140" s="51" t="s">
        <v>59</v>
      </c>
      <c r="AI140" s="84" t="s">
        <v>59</v>
      </c>
      <c r="AJ140" s="154"/>
      <c r="AK140" s="51" t="s">
        <v>59</v>
      </c>
      <c r="AL140" s="108" t="s">
        <v>60</v>
      </c>
      <c r="AM140" s="153"/>
      <c r="AN140" s="109" t="s">
        <v>60</v>
      </c>
      <c r="AO140" s="49" t="n">
        <v>252</v>
      </c>
      <c r="AP140" s="50" t="n">
        <f aca="false">AVERAGEA(AQ140, AO140)</f>
        <v>259.5</v>
      </c>
      <c r="AQ140" s="51" t="n">
        <v>267</v>
      </c>
      <c r="AR140" s="108" t="s">
        <v>60</v>
      </c>
      <c r="AS140" s="153"/>
      <c r="AT140" s="87" t="s">
        <v>60</v>
      </c>
      <c r="AU140" s="105" t="s">
        <v>59</v>
      </c>
      <c r="AV140" s="106"/>
      <c r="AW140" s="107" t="s">
        <v>59</v>
      </c>
      <c r="AX140" s="108" t="s">
        <v>60</v>
      </c>
      <c r="AY140" s="109"/>
      <c r="AZ140" s="87" t="s">
        <v>60</v>
      </c>
      <c r="BA140" s="105" t="s">
        <v>59</v>
      </c>
      <c r="BB140" s="106"/>
      <c r="BC140" s="107" t="s">
        <v>59</v>
      </c>
      <c r="BD140" s="110" t="s">
        <v>60</v>
      </c>
      <c r="BE140" s="53"/>
      <c r="BF140" s="87" t="s">
        <v>60</v>
      </c>
      <c r="BG140" s="105" t="s">
        <v>59</v>
      </c>
      <c r="BH140" s="106"/>
      <c r="BI140" s="107" t="s">
        <v>59</v>
      </c>
      <c r="BJ140" s="108" t="s">
        <v>59</v>
      </c>
      <c r="BK140" s="109"/>
      <c r="BL140" s="87" t="s">
        <v>59</v>
      </c>
      <c r="BM140" s="105" t="s">
        <v>59</v>
      </c>
      <c r="BN140" s="106"/>
      <c r="BO140" s="107" t="s">
        <v>59</v>
      </c>
    </row>
    <row r="141" customFormat="false" ht="15" hidden="false" customHeight="true" outlineLevel="0" collapsed="false">
      <c r="B141" s="207"/>
      <c r="C141" s="213" t="s">
        <v>102</v>
      </c>
      <c r="D141" s="213"/>
      <c r="E141" s="214"/>
      <c r="F141" s="214"/>
      <c r="G141" s="215"/>
      <c r="H141" s="78" t="s">
        <v>46</v>
      </c>
      <c r="I141" s="124"/>
      <c r="J141" s="153" t="s">
        <v>46</v>
      </c>
      <c r="K141" s="120" t="s">
        <v>46</v>
      </c>
      <c r="L141" s="121"/>
      <c r="M141" s="122" t="s">
        <v>46</v>
      </c>
      <c r="N141" s="123" t="s">
        <v>46</v>
      </c>
      <c r="O141" s="124"/>
      <c r="P141" s="125" t="s">
        <v>46</v>
      </c>
      <c r="Q141" s="123" t="s">
        <v>46</v>
      </c>
      <c r="R141" s="124"/>
      <c r="S141" s="125" t="s">
        <v>46</v>
      </c>
      <c r="T141" s="120" t="s">
        <v>59</v>
      </c>
      <c r="U141" s="121"/>
      <c r="V141" s="122" t="s">
        <v>59</v>
      </c>
      <c r="W141" s="123" t="n">
        <v>30</v>
      </c>
      <c r="X141" s="119" t="n">
        <f aca="false">AVERAGEA(Y141, W141)</f>
        <v>30</v>
      </c>
      <c r="Y141" s="125" t="n">
        <v>30</v>
      </c>
      <c r="Z141" s="206" t="s">
        <v>59</v>
      </c>
      <c r="AA141" s="121"/>
      <c r="AB141" s="164" t="s">
        <v>59</v>
      </c>
      <c r="AC141" s="129" t="s">
        <v>60</v>
      </c>
      <c r="AD141" s="119"/>
      <c r="AE141" s="131" t="s">
        <v>60</v>
      </c>
      <c r="AF141" s="120" t="s">
        <v>59</v>
      </c>
      <c r="AG141" s="121"/>
      <c r="AH141" s="122" t="s">
        <v>59</v>
      </c>
      <c r="AI141" s="164" t="s">
        <v>59</v>
      </c>
      <c r="AJ141" s="165"/>
      <c r="AK141" s="122" t="s">
        <v>59</v>
      </c>
      <c r="AL141" s="129" t="s">
        <v>60</v>
      </c>
      <c r="AM141" s="119"/>
      <c r="AN141" s="132" t="s">
        <v>60</v>
      </c>
      <c r="AO141" s="120" t="s">
        <v>59</v>
      </c>
      <c r="AP141" s="121"/>
      <c r="AQ141" s="122" t="s">
        <v>59</v>
      </c>
      <c r="AR141" s="129" t="s">
        <v>60</v>
      </c>
      <c r="AS141" s="119"/>
      <c r="AT141" s="131" t="s">
        <v>60</v>
      </c>
      <c r="AU141" s="126" t="s">
        <v>59</v>
      </c>
      <c r="AV141" s="127"/>
      <c r="AW141" s="128" t="s">
        <v>59</v>
      </c>
      <c r="AX141" s="129" t="s">
        <v>60</v>
      </c>
      <c r="AY141" s="130"/>
      <c r="AZ141" s="131" t="s">
        <v>60</v>
      </c>
      <c r="BA141" s="126" t="s">
        <v>59</v>
      </c>
      <c r="BB141" s="127"/>
      <c r="BC141" s="128" t="s">
        <v>59</v>
      </c>
      <c r="BD141" s="132" t="s">
        <v>60</v>
      </c>
      <c r="BE141" s="124"/>
      <c r="BF141" s="131" t="s">
        <v>60</v>
      </c>
      <c r="BG141" s="126" t="s">
        <v>59</v>
      </c>
      <c r="BH141" s="127"/>
      <c r="BI141" s="128" t="s">
        <v>59</v>
      </c>
      <c r="BJ141" s="129" t="s">
        <v>59</v>
      </c>
      <c r="BK141" s="130"/>
      <c r="BL141" s="131" t="s">
        <v>59</v>
      </c>
      <c r="BM141" s="126" t="s">
        <v>59</v>
      </c>
      <c r="BN141" s="127"/>
      <c r="BO141" s="128" t="s">
        <v>59</v>
      </c>
    </row>
    <row r="142" customFormat="false" ht="15" hidden="false" customHeight="true" outlineLevel="0" collapsed="false">
      <c r="B142" s="173" t="s">
        <v>103</v>
      </c>
      <c r="C142" s="42" t="s">
        <v>85</v>
      </c>
      <c r="D142" s="42"/>
      <c r="E142" s="177"/>
      <c r="F142" s="177"/>
      <c r="G142" s="216"/>
      <c r="H142" s="58" t="s">
        <v>46</v>
      </c>
      <c r="I142" s="59"/>
      <c r="J142" s="178" t="s">
        <v>46</v>
      </c>
      <c r="K142" s="55" t="s">
        <v>46</v>
      </c>
      <c r="L142" s="56"/>
      <c r="M142" s="57" t="s">
        <v>46</v>
      </c>
      <c r="N142" s="138" t="s">
        <v>46</v>
      </c>
      <c r="O142" s="74"/>
      <c r="P142" s="75" t="s">
        <v>46</v>
      </c>
      <c r="Q142" s="138" t="s">
        <v>46</v>
      </c>
      <c r="R142" s="74"/>
      <c r="S142" s="75" t="s">
        <v>46</v>
      </c>
      <c r="T142" s="55" t="n">
        <v>85</v>
      </c>
      <c r="U142" s="56" t="n">
        <f aca="false">AVERAGEA(T142,V142)</f>
        <v>85</v>
      </c>
      <c r="V142" s="57" t="n">
        <v>85</v>
      </c>
      <c r="W142" s="217" t="s">
        <v>60</v>
      </c>
      <c r="X142" s="210"/>
      <c r="Y142" s="187" t="s">
        <v>60</v>
      </c>
      <c r="Z142" s="76" t="s">
        <v>59</v>
      </c>
      <c r="AA142" s="56"/>
      <c r="AB142" s="76" t="s">
        <v>59</v>
      </c>
      <c r="AC142" s="218" t="s">
        <v>60</v>
      </c>
      <c r="AD142" s="193"/>
      <c r="AE142" s="187" t="s">
        <v>60</v>
      </c>
      <c r="AF142" s="55" t="s">
        <v>59</v>
      </c>
      <c r="AG142" s="56"/>
      <c r="AH142" s="57" t="s">
        <v>59</v>
      </c>
      <c r="AI142" s="76" t="s">
        <v>59</v>
      </c>
      <c r="AJ142" s="219"/>
      <c r="AK142" s="57" t="s">
        <v>59</v>
      </c>
      <c r="AL142" s="73" t="n">
        <v>2015</v>
      </c>
      <c r="AM142" s="74" t="n">
        <f aca="false">AVERAGEA(AN142, AL142)</f>
        <v>2207.5</v>
      </c>
      <c r="AN142" s="75" t="n">
        <v>2400</v>
      </c>
      <c r="AO142" s="219" t="s">
        <v>59</v>
      </c>
      <c r="AP142" s="62"/>
      <c r="AQ142" s="57" t="s">
        <v>59</v>
      </c>
      <c r="AR142" s="73" t="n">
        <v>31</v>
      </c>
      <c r="AS142" s="74" t="n">
        <f aca="false">AVERAGEA(AT142, AR142)</f>
        <v>31</v>
      </c>
      <c r="AT142" s="75" t="n">
        <v>31</v>
      </c>
      <c r="AU142" s="220" t="s">
        <v>59</v>
      </c>
      <c r="AV142" s="221"/>
      <c r="AW142" s="222" t="s">
        <v>59</v>
      </c>
      <c r="AX142" s="218" t="s">
        <v>60</v>
      </c>
      <c r="AY142" s="188"/>
      <c r="AZ142" s="187" t="s">
        <v>60</v>
      </c>
      <c r="BA142" s="220" t="s">
        <v>59</v>
      </c>
      <c r="BB142" s="221"/>
      <c r="BC142" s="222" t="s">
        <v>59</v>
      </c>
      <c r="BD142" s="223" t="s">
        <v>60</v>
      </c>
      <c r="BE142" s="74"/>
      <c r="BF142" s="187" t="s">
        <v>60</v>
      </c>
      <c r="BG142" s="220" t="s">
        <v>59</v>
      </c>
      <c r="BH142" s="221"/>
      <c r="BI142" s="222" t="s">
        <v>59</v>
      </c>
      <c r="BJ142" s="218" t="s">
        <v>59</v>
      </c>
      <c r="BK142" s="188"/>
      <c r="BL142" s="187" t="s">
        <v>59</v>
      </c>
      <c r="BM142" s="220" t="s">
        <v>59</v>
      </c>
      <c r="BN142" s="221"/>
      <c r="BO142" s="222" t="s">
        <v>59</v>
      </c>
    </row>
    <row r="143" customFormat="false" ht="15" hidden="false" customHeight="true" outlineLevel="0" collapsed="false">
      <c r="B143" s="173"/>
      <c r="C143" s="115" t="s">
        <v>92</v>
      </c>
      <c r="D143" s="115"/>
      <c r="E143" s="203"/>
      <c r="F143" s="203"/>
      <c r="G143" s="224"/>
      <c r="H143" s="205" t="s">
        <v>46</v>
      </c>
      <c r="I143" s="124"/>
      <c r="J143" s="119" t="s">
        <v>46</v>
      </c>
      <c r="K143" s="120" t="n">
        <v>26.86</v>
      </c>
      <c r="L143" s="121" t="n">
        <f aca="false">AVERAGEA(K143,M143)</f>
        <v>26.86</v>
      </c>
      <c r="M143" s="122" t="n">
        <v>26.86</v>
      </c>
      <c r="N143" s="123" t="n">
        <v>28.45</v>
      </c>
      <c r="O143" s="124" t="n">
        <f aca="false">AVERAGEA(N143,P143)</f>
        <v>28.45</v>
      </c>
      <c r="P143" s="125" t="n">
        <v>28.45</v>
      </c>
      <c r="Q143" s="123" t="n">
        <v>87.05</v>
      </c>
      <c r="R143" s="124" t="n">
        <f aca="false">AVERAGEA(Q143,S143)</f>
        <v>87.05</v>
      </c>
      <c r="S143" s="125" t="n">
        <v>87.05</v>
      </c>
      <c r="T143" s="120" t="n">
        <v>85</v>
      </c>
      <c r="U143" s="121" t="n">
        <f aca="false">AVERAGEA(T143,V143)</f>
        <v>85</v>
      </c>
      <c r="V143" s="122" t="n">
        <v>85</v>
      </c>
      <c r="W143" s="225" t="s">
        <v>60</v>
      </c>
      <c r="X143" s="119"/>
      <c r="Y143" s="131" t="s">
        <v>60</v>
      </c>
      <c r="Z143" s="164" t="s">
        <v>59</v>
      </c>
      <c r="AA143" s="121"/>
      <c r="AB143" s="164" t="s">
        <v>59</v>
      </c>
      <c r="AC143" s="129" t="s">
        <v>60</v>
      </c>
      <c r="AD143" s="119"/>
      <c r="AE143" s="131" t="s">
        <v>60</v>
      </c>
      <c r="AF143" s="120" t="s">
        <v>59</v>
      </c>
      <c r="AG143" s="121"/>
      <c r="AH143" s="122" t="s">
        <v>59</v>
      </c>
      <c r="AI143" s="164" t="s">
        <v>59</v>
      </c>
      <c r="AJ143" s="165"/>
      <c r="AK143" s="122" t="s">
        <v>59</v>
      </c>
      <c r="AL143" s="205" t="n">
        <v>2600</v>
      </c>
      <c r="AM143" s="124" t="n">
        <f aca="false">AVERAGEA(AN143, AL143)</f>
        <v>5487</v>
      </c>
      <c r="AN143" s="125" t="n">
        <v>8374</v>
      </c>
      <c r="AO143" s="120" t="n">
        <v>125</v>
      </c>
      <c r="AP143" s="121" t="n">
        <f aca="false">AVERAGEA(AQ143, AO143)</f>
        <v>173.5</v>
      </c>
      <c r="AQ143" s="122" t="n">
        <v>222</v>
      </c>
      <c r="AR143" s="205"/>
      <c r="AS143" s="124"/>
      <c r="AT143" s="125"/>
      <c r="AU143" s="126" t="s">
        <v>59</v>
      </c>
      <c r="AV143" s="127"/>
      <c r="AW143" s="128" t="s">
        <v>59</v>
      </c>
      <c r="AX143" s="129" t="s">
        <v>60</v>
      </c>
      <c r="AY143" s="130"/>
      <c r="AZ143" s="131" t="s">
        <v>60</v>
      </c>
      <c r="BA143" s="126" t="s">
        <v>59</v>
      </c>
      <c r="BB143" s="127"/>
      <c r="BC143" s="128" t="s">
        <v>59</v>
      </c>
      <c r="BD143" s="132" t="s">
        <v>60</v>
      </c>
      <c r="BE143" s="124"/>
      <c r="BF143" s="131" t="s">
        <v>60</v>
      </c>
      <c r="BG143" s="126" t="s">
        <v>59</v>
      </c>
      <c r="BH143" s="127"/>
      <c r="BI143" s="128" t="s">
        <v>59</v>
      </c>
      <c r="BJ143" s="129" t="s">
        <v>59</v>
      </c>
      <c r="BK143" s="130"/>
      <c r="BL143" s="131" t="s">
        <v>59</v>
      </c>
      <c r="BM143" s="126" t="s">
        <v>59</v>
      </c>
      <c r="BN143" s="127"/>
      <c r="BO143" s="128" t="s">
        <v>59</v>
      </c>
    </row>
    <row r="144" customFormat="false" ht="15" hidden="false" customHeight="true" outlineLevel="0" collapsed="false">
      <c r="B144" s="207" t="s">
        <v>104</v>
      </c>
      <c r="C144" s="134" t="s">
        <v>105</v>
      </c>
      <c r="D144" s="134" t="s">
        <v>106</v>
      </c>
      <c r="E144" s="135"/>
      <c r="F144" s="136" t="s">
        <v>107</v>
      </c>
      <c r="G144" s="226"/>
      <c r="H144" s="73" t="n">
        <v>95</v>
      </c>
      <c r="I144" s="74" t="n">
        <f aca="false">AVERAGEA(H144,J144)</f>
        <v>95</v>
      </c>
      <c r="J144" s="210" t="n">
        <v>95</v>
      </c>
      <c r="K144" s="55" t="s">
        <v>46</v>
      </c>
      <c r="L144" s="56"/>
      <c r="M144" s="57" t="s">
        <v>46</v>
      </c>
      <c r="N144" s="138" t="s">
        <v>46</v>
      </c>
      <c r="O144" s="74"/>
      <c r="P144" s="75" t="s">
        <v>46</v>
      </c>
      <c r="Q144" s="138" t="s">
        <v>46</v>
      </c>
      <c r="R144" s="74"/>
      <c r="S144" s="74" t="s">
        <v>46</v>
      </c>
      <c r="T144" s="55" t="n">
        <v>98</v>
      </c>
      <c r="U144" s="56" t="n">
        <f aca="false">AVERAGEA(T144,V144)</f>
        <v>98</v>
      </c>
      <c r="V144" s="57" t="n">
        <v>98</v>
      </c>
      <c r="W144" s="217" t="s">
        <v>60</v>
      </c>
      <c r="X144" s="223"/>
      <c r="Y144" s="187" t="s">
        <v>60</v>
      </c>
      <c r="Z144" s="76" t="s">
        <v>59</v>
      </c>
      <c r="AA144" s="56"/>
      <c r="AB144" s="76" t="s">
        <v>59</v>
      </c>
      <c r="AC144" s="218" t="s">
        <v>60</v>
      </c>
      <c r="AD144" s="193"/>
      <c r="AE144" s="187" t="s">
        <v>60</v>
      </c>
      <c r="AF144" s="55" t="s">
        <v>59</v>
      </c>
      <c r="AG144" s="56"/>
      <c r="AH144" s="57" t="s">
        <v>59</v>
      </c>
      <c r="AI144" s="76" t="s">
        <v>59</v>
      </c>
      <c r="AJ144" s="219"/>
      <c r="AK144" s="57" t="s">
        <v>59</v>
      </c>
      <c r="AL144" s="73" t="n">
        <v>1800</v>
      </c>
      <c r="AM144" s="74" t="n">
        <f aca="false">AVERAGEA(AN144, AL144)</f>
        <v>3391</v>
      </c>
      <c r="AN144" s="75" t="n">
        <v>4982</v>
      </c>
      <c r="AO144" s="55" t="n">
        <v>38</v>
      </c>
      <c r="AP144" s="56" t="n">
        <f aca="false">AVERAGEA(AQ144, AO144)</f>
        <v>39.5</v>
      </c>
      <c r="AQ144" s="57" t="n">
        <v>41</v>
      </c>
      <c r="AR144" s="73" t="n">
        <v>0</v>
      </c>
      <c r="AS144" s="74" t="n">
        <v>0</v>
      </c>
      <c r="AT144" s="75" t="n">
        <v>0</v>
      </c>
      <c r="AU144" s="220" t="s">
        <v>59</v>
      </c>
      <c r="AV144" s="221"/>
      <c r="AW144" s="222" t="s">
        <v>59</v>
      </c>
      <c r="AX144" s="218" t="s">
        <v>60</v>
      </c>
      <c r="AY144" s="188"/>
      <c r="AZ144" s="187" t="s">
        <v>60</v>
      </c>
      <c r="BA144" s="220" t="s">
        <v>59</v>
      </c>
      <c r="BB144" s="221"/>
      <c r="BC144" s="222" t="s">
        <v>59</v>
      </c>
      <c r="BD144" s="223" t="s">
        <v>60</v>
      </c>
      <c r="BE144" s="74"/>
      <c r="BF144" s="187" t="s">
        <v>60</v>
      </c>
      <c r="BG144" s="220" t="s">
        <v>59</v>
      </c>
      <c r="BH144" s="221"/>
      <c r="BI144" s="222" t="s">
        <v>59</v>
      </c>
      <c r="BJ144" s="218" t="s">
        <v>59</v>
      </c>
      <c r="BK144" s="188"/>
      <c r="BL144" s="187" t="s">
        <v>59</v>
      </c>
      <c r="BM144" s="220" t="s">
        <v>59</v>
      </c>
      <c r="BN144" s="221"/>
      <c r="BO144" s="222" t="s">
        <v>59</v>
      </c>
    </row>
    <row r="145" customFormat="false" ht="15" hidden="false" customHeight="true" outlineLevel="0" collapsed="false">
      <c r="B145" s="207"/>
      <c r="C145" s="134"/>
      <c r="D145" s="134"/>
      <c r="E145" s="135"/>
      <c r="F145" s="141" t="s">
        <v>108</v>
      </c>
      <c r="G145" s="227"/>
      <c r="H145" s="73" t="n">
        <v>95</v>
      </c>
      <c r="I145" s="74" t="n">
        <f aca="false">AVERAGEA(H145,J145)</f>
        <v>95</v>
      </c>
      <c r="J145" s="210" t="n">
        <v>95</v>
      </c>
      <c r="K145" s="49" t="s">
        <v>46</v>
      </c>
      <c r="L145" s="50"/>
      <c r="M145" s="51" t="s">
        <v>46</v>
      </c>
      <c r="N145" s="52" t="s">
        <v>46</v>
      </c>
      <c r="O145" s="53"/>
      <c r="P145" s="54" t="s">
        <v>46</v>
      </c>
      <c r="Q145" s="52" t="s">
        <v>46</v>
      </c>
      <c r="R145" s="53"/>
      <c r="S145" s="53" t="s">
        <v>46</v>
      </c>
      <c r="T145" s="49" t="n">
        <v>98</v>
      </c>
      <c r="U145" s="56" t="n">
        <f aca="false">AVERAGEA(T145,V145)</f>
        <v>98</v>
      </c>
      <c r="V145" s="51" t="n">
        <v>98</v>
      </c>
      <c r="W145" s="156" t="s">
        <v>60</v>
      </c>
      <c r="X145" s="110"/>
      <c r="Y145" s="87" t="s">
        <v>60</v>
      </c>
      <c r="Z145" s="84" t="s">
        <v>59</v>
      </c>
      <c r="AA145" s="56"/>
      <c r="AB145" s="84" t="s">
        <v>59</v>
      </c>
      <c r="AC145" s="108" t="s">
        <v>60</v>
      </c>
      <c r="AD145" s="103"/>
      <c r="AE145" s="87" t="s">
        <v>60</v>
      </c>
      <c r="AF145" s="55" t="s">
        <v>59</v>
      </c>
      <c r="AG145" s="56"/>
      <c r="AH145" s="57" t="s">
        <v>59</v>
      </c>
      <c r="AI145" s="76" t="s">
        <v>59</v>
      </c>
      <c r="AJ145" s="219"/>
      <c r="AK145" s="57" t="s">
        <v>59</v>
      </c>
      <c r="AL145" s="73" t="n">
        <v>1800</v>
      </c>
      <c r="AM145" s="74" t="n">
        <f aca="false">AVERAGEA(AN145, AL145)</f>
        <v>3391</v>
      </c>
      <c r="AN145" s="75" t="n">
        <v>4982</v>
      </c>
      <c r="AO145" s="55" t="n">
        <v>41</v>
      </c>
      <c r="AP145" s="56" t="n">
        <f aca="false">AVERAGEA(AQ145, AO145)</f>
        <v>41</v>
      </c>
      <c r="AQ145" s="57" t="n">
        <v>41</v>
      </c>
      <c r="AR145" s="73" t="n">
        <v>0</v>
      </c>
      <c r="AS145" s="74" t="n">
        <v>0</v>
      </c>
      <c r="AT145" s="75" t="n">
        <v>0</v>
      </c>
      <c r="AU145" s="105" t="s">
        <v>59</v>
      </c>
      <c r="AV145" s="106"/>
      <c r="AW145" s="107" t="s">
        <v>59</v>
      </c>
      <c r="AX145" s="108" t="s">
        <v>60</v>
      </c>
      <c r="AY145" s="109"/>
      <c r="AZ145" s="87" t="s">
        <v>60</v>
      </c>
      <c r="BA145" s="105" t="s">
        <v>59</v>
      </c>
      <c r="BB145" s="106"/>
      <c r="BC145" s="107" t="s">
        <v>59</v>
      </c>
      <c r="BD145" s="110" t="s">
        <v>60</v>
      </c>
      <c r="BE145" s="53"/>
      <c r="BF145" s="87" t="s">
        <v>60</v>
      </c>
      <c r="BG145" s="105" t="s">
        <v>59</v>
      </c>
      <c r="BH145" s="106"/>
      <c r="BI145" s="107" t="s">
        <v>59</v>
      </c>
      <c r="BJ145" s="108" t="s">
        <v>59</v>
      </c>
      <c r="BK145" s="109"/>
      <c r="BL145" s="87" t="s">
        <v>59</v>
      </c>
      <c r="BM145" s="105" t="s">
        <v>59</v>
      </c>
      <c r="BN145" s="106"/>
      <c r="BO145" s="107" t="s">
        <v>59</v>
      </c>
    </row>
    <row r="146" customFormat="false" ht="15" hidden="false" customHeight="true" outlineLevel="0" collapsed="false">
      <c r="B146" s="207"/>
      <c r="C146" s="134"/>
      <c r="D146" s="134"/>
      <c r="E146" s="135"/>
      <c r="F146" s="141" t="s">
        <v>109</v>
      </c>
      <c r="G146" s="227"/>
      <c r="H146" s="73" t="n">
        <v>90</v>
      </c>
      <c r="I146" s="74" t="n">
        <f aca="false">AVERAGEA(H146,J146)</f>
        <v>90</v>
      </c>
      <c r="J146" s="210" t="n">
        <v>90</v>
      </c>
      <c r="K146" s="49" t="s">
        <v>46</v>
      </c>
      <c r="L146" s="50"/>
      <c r="M146" s="51" t="s">
        <v>46</v>
      </c>
      <c r="N146" s="52" t="s">
        <v>46</v>
      </c>
      <c r="O146" s="53"/>
      <c r="P146" s="54" t="s">
        <v>46</v>
      </c>
      <c r="Q146" s="52" t="s">
        <v>46</v>
      </c>
      <c r="R146" s="53"/>
      <c r="S146" s="53" t="s">
        <v>46</v>
      </c>
      <c r="T146" s="49" t="n">
        <v>98</v>
      </c>
      <c r="U146" s="56" t="n">
        <f aca="false">AVERAGEA(T146,V146)</f>
        <v>98</v>
      </c>
      <c r="V146" s="51" t="n">
        <v>98</v>
      </c>
      <c r="W146" s="156" t="s">
        <v>60</v>
      </c>
      <c r="X146" s="110"/>
      <c r="Y146" s="87" t="s">
        <v>60</v>
      </c>
      <c r="Z146" s="84" t="s">
        <v>59</v>
      </c>
      <c r="AA146" s="56"/>
      <c r="AB146" s="84" t="s">
        <v>59</v>
      </c>
      <c r="AC146" s="108" t="s">
        <v>60</v>
      </c>
      <c r="AD146" s="103"/>
      <c r="AE146" s="87" t="s">
        <v>60</v>
      </c>
      <c r="AF146" s="55" t="s">
        <v>59</v>
      </c>
      <c r="AG146" s="56"/>
      <c r="AH146" s="57" t="s">
        <v>59</v>
      </c>
      <c r="AI146" s="76" t="s">
        <v>59</v>
      </c>
      <c r="AJ146" s="219"/>
      <c r="AK146" s="57" t="s">
        <v>59</v>
      </c>
      <c r="AL146" s="73" t="n">
        <v>1800</v>
      </c>
      <c r="AM146" s="74" t="n">
        <f aca="false">AVERAGEA(AN146, AL146)</f>
        <v>3391</v>
      </c>
      <c r="AN146" s="75" t="n">
        <v>4982</v>
      </c>
      <c r="AO146" s="55" t="n">
        <v>36</v>
      </c>
      <c r="AP146" s="56" t="n">
        <f aca="false">AVERAGEA(AQ146, AO146)</f>
        <v>48</v>
      </c>
      <c r="AQ146" s="57" t="n">
        <v>60</v>
      </c>
      <c r="AR146" s="73" t="n">
        <v>0</v>
      </c>
      <c r="AS146" s="74" t="n">
        <v>0</v>
      </c>
      <c r="AT146" s="75" t="n">
        <v>0</v>
      </c>
      <c r="AU146" s="105" t="s">
        <v>59</v>
      </c>
      <c r="AV146" s="106"/>
      <c r="AW146" s="107" t="s">
        <v>59</v>
      </c>
      <c r="AX146" s="108" t="s">
        <v>60</v>
      </c>
      <c r="AY146" s="109"/>
      <c r="AZ146" s="87" t="s">
        <v>60</v>
      </c>
      <c r="BA146" s="105" t="s">
        <v>59</v>
      </c>
      <c r="BB146" s="106"/>
      <c r="BC146" s="107" t="s">
        <v>59</v>
      </c>
      <c r="BD146" s="110" t="s">
        <v>60</v>
      </c>
      <c r="BE146" s="53"/>
      <c r="BF146" s="87" t="s">
        <v>60</v>
      </c>
      <c r="BG146" s="105" t="s">
        <v>59</v>
      </c>
      <c r="BH146" s="106"/>
      <c r="BI146" s="107" t="s">
        <v>59</v>
      </c>
      <c r="BJ146" s="108" t="s">
        <v>59</v>
      </c>
      <c r="BK146" s="109"/>
      <c r="BL146" s="87" t="s">
        <v>59</v>
      </c>
      <c r="BM146" s="105" t="s">
        <v>59</v>
      </c>
      <c r="BN146" s="106"/>
      <c r="BO146" s="107" t="s">
        <v>59</v>
      </c>
    </row>
    <row r="147" customFormat="false" ht="15" hidden="false" customHeight="true" outlineLevel="0" collapsed="false">
      <c r="B147" s="207"/>
      <c r="C147" s="134"/>
      <c r="D147" s="134"/>
      <c r="E147" s="135"/>
      <c r="F147" s="141" t="s">
        <v>110</v>
      </c>
      <c r="G147" s="227"/>
      <c r="H147" s="73" t="n">
        <v>90</v>
      </c>
      <c r="I147" s="74" t="n">
        <f aca="false">AVERAGEA(H147,J147)</f>
        <v>90</v>
      </c>
      <c r="J147" s="210" t="n">
        <v>90</v>
      </c>
      <c r="K147" s="49" t="s">
        <v>46</v>
      </c>
      <c r="L147" s="50"/>
      <c r="M147" s="51" t="s">
        <v>46</v>
      </c>
      <c r="N147" s="52" t="s">
        <v>46</v>
      </c>
      <c r="O147" s="53"/>
      <c r="P147" s="54" t="s">
        <v>46</v>
      </c>
      <c r="Q147" s="52" t="s">
        <v>46</v>
      </c>
      <c r="R147" s="53"/>
      <c r="S147" s="53" t="s">
        <v>46</v>
      </c>
      <c r="T147" s="49" t="n">
        <v>98</v>
      </c>
      <c r="U147" s="56" t="n">
        <f aca="false">AVERAGEA(T147,V147)</f>
        <v>98</v>
      </c>
      <c r="V147" s="51" t="n">
        <v>98</v>
      </c>
      <c r="W147" s="156" t="s">
        <v>60</v>
      </c>
      <c r="X147" s="110"/>
      <c r="Y147" s="87" t="s">
        <v>60</v>
      </c>
      <c r="Z147" s="84" t="s">
        <v>59</v>
      </c>
      <c r="AA147" s="56"/>
      <c r="AB147" s="84" t="s">
        <v>59</v>
      </c>
      <c r="AC147" s="108" t="s">
        <v>60</v>
      </c>
      <c r="AD147" s="103"/>
      <c r="AE147" s="87" t="s">
        <v>60</v>
      </c>
      <c r="AF147" s="55" t="s">
        <v>59</v>
      </c>
      <c r="AG147" s="56"/>
      <c r="AH147" s="57" t="s">
        <v>59</v>
      </c>
      <c r="AI147" s="76" t="s">
        <v>59</v>
      </c>
      <c r="AJ147" s="219"/>
      <c r="AK147" s="57" t="s">
        <v>59</v>
      </c>
      <c r="AL147" s="73" t="n">
        <v>1800</v>
      </c>
      <c r="AM147" s="74" t="n">
        <f aca="false">AVERAGEA(AN147, AL147)</f>
        <v>3391</v>
      </c>
      <c r="AN147" s="75" t="n">
        <v>4982</v>
      </c>
      <c r="AO147" s="55" t="n">
        <v>41</v>
      </c>
      <c r="AP147" s="56" t="n">
        <f aca="false">AVERAGEA(AQ147, AO147)</f>
        <v>133</v>
      </c>
      <c r="AQ147" s="57" t="n">
        <v>225</v>
      </c>
      <c r="AR147" s="73" t="n">
        <v>0</v>
      </c>
      <c r="AS147" s="74" t="n">
        <v>0</v>
      </c>
      <c r="AT147" s="75" t="n">
        <v>0</v>
      </c>
      <c r="AU147" s="105" t="s">
        <v>59</v>
      </c>
      <c r="AV147" s="106"/>
      <c r="AW147" s="107" t="s">
        <v>59</v>
      </c>
      <c r="AX147" s="108" t="s">
        <v>60</v>
      </c>
      <c r="AY147" s="109"/>
      <c r="AZ147" s="87" t="s">
        <v>60</v>
      </c>
      <c r="BA147" s="105" t="s">
        <v>59</v>
      </c>
      <c r="BB147" s="106"/>
      <c r="BC147" s="107" t="s">
        <v>59</v>
      </c>
      <c r="BD147" s="110" t="s">
        <v>60</v>
      </c>
      <c r="BE147" s="53"/>
      <c r="BF147" s="87" t="s">
        <v>60</v>
      </c>
      <c r="BG147" s="105" t="s">
        <v>59</v>
      </c>
      <c r="BH147" s="106"/>
      <c r="BI147" s="107" t="s">
        <v>59</v>
      </c>
      <c r="BJ147" s="108" t="s">
        <v>59</v>
      </c>
      <c r="BK147" s="109"/>
      <c r="BL147" s="87" t="s">
        <v>59</v>
      </c>
      <c r="BM147" s="105" t="s">
        <v>59</v>
      </c>
      <c r="BN147" s="106"/>
      <c r="BO147" s="107" t="s">
        <v>59</v>
      </c>
    </row>
    <row r="148" customFormat="false" ht="15" hidden="false" customHeight="true" outlineLevel="0" collapsed="false">
      <c r="B148" s="207"/>
      <c r="C148" s="134"/>
      <c r="D148" s="143" t="s">
        <v>111</v>
      </c>
      <c r="E148" s="148"/>
      <c r="F148" s="141" t="s">
        <v>112</v>
      </c>
      <c r="G148" s="227"/>
      <c r="H148" s="73" t="n">
        <v>95</v>
      </c>
      <c r="I148" s="74" t="n">
        <f aca="false">AVERAGEA(H148,J148)</f>
        <v>95</v>
      </c>
      <c r="J148" s="210" t="n">
        <v>95</v>
      </c>
      <c r="K148" s="49" t="s">
        <v>46</v>
      </c>
      <c r="L148" s="50"/>
      <c r="M148" s="51" t="s">
        <v>46</v>
      </c>
      <c r="N148" s="52" t="s">
        <v>46</v>
      </c>
      <c r="O148" s="53"/>
      <c r="P148" s="54" t="s">
        <v>46</v>
      </c>
      <c r="Q148" s="52" t="s">
        <v>46</v>
      </c>
      <c r="R148" s="53"/>
      <c r="S148" s="53" t="s">
        <v>46</v>
      </c>
      <c r="T148" s="49" t="n">
        <v>98</v>
      </c>
      <c r="U148" s="56" t="n">
        <f aca="false">AVERAGEA(T148,V148)</f>
        <v>98</v>
      </c>
      <c r="V148" s="51" t="n">
        <v>98</v>
      </c>
      <c r="W148" s="156" t="s">
        <v>60</v>
      </c>
      <c r="X148" s="110"/>
      <c r="Y148" s="87" t="s">
        <v>60</v>
      </c>
      <c r="Z148" s="84" t="s">
        <v>59</v>
      </c>
      <c r="AA148" s="56"/>
      <c r="AB148" s="84" t="s">
        <v>59</v>
      </c>
      <c r="AC148" s="108" t="s">
        <v>60</v>
      </c>
      <c r="AD148" s="103"/>
      <c r="AE148" s="87" t="s">
        <v>60</v>
      </c>
      <c r="AF148" s="55" t="s">
        <v>59</v>
      </c>
      <c r="AG148" s="56"/>
      <c r="AH148" s="57" t="s">
        <v>59</v>
      </c>
      <c r="AI148" s="76" t="s">
        <v>59</v>
      </c>
      <c r="AJ148" s="219"/>
      <c r="AK148" s="57" t="s">
        <v>59</v>
      </c>
      <c r="AL148" s="73" t="n">
        <v>1673</v>
      </c>
      <c r="AM148" s="74" t="n">
        <f aca="false">AVERAGEA(AN148, AL148)</f>
        <v>8825</v>
      </c>
      <c r="AN148" s="75" t="n">
        <v>15977</v>
      </c>
      <c r="AO148" s="55" t="n">
        <v>38</v>
      </c>
      <c r="AP148" s="56" t="n">
        <f aca="false">AVERAGEA(AQ148, AO148)</f>
        <v>39.5</v>
      </c>
      <c r="AQ148" s="57" t="n">
        <v>41</v>
      </c>
      <c r="AR148" s="73" t="n">
        <v>0</v>
      </c>
      <c r="AS148" s="74" t="n">
        <v>0</v>
      </c>
      <c r="AT148" s="75" t="n">
        <v>0</v>
      </c>
      <c r="AU148" s="105" t="s">
        <v>59</v>
      </c>
      <c r="AV148" s="106"/>
      <c r="AW148" s="107" t="s">
        <v>59</v>
      </c>
      <c r="AX148" s="108" t="s">
        <v>60</v>
      </c>
      <c r="AY148" s="109"/>
      <c r="AZ148" s="87" t="s">
        <v>60</v>
      </c>
      <c r="BA148" s="105" t="s">
        <v>59</v>
      </c>
      <c r="BB148" s="106"/>
      <c r="BC148" s="107" t="s">
        <v>59</v>
      </c>
      <c r="BD148" s="110" t="s">
        <v>60</v>
      </c>
      <c r="BE148" s="53"/>
      <c r="BF148" s="87" t="s">
        <v>60</v>
      </c>
      <c r="BG148" s="105" t="s">
        <v>59</v>
      </c>
      <c r="BH148" s="106"/>
      <c r="BI148" s="107" t="s">
        <v>59</v>
      </c>
      <c r="BJ148" s="108" t="s">
        <v>59</v>
      </c>
      <c r="BK148" s="109"/>
      <c r="BL148" s="87" t="s">
        <v>59</v>
      </c>
      <c r="BM148" s="105" t="s">
        <v>59</v>
      </c>
      <c r="BN148" s="106"/>
      <c r="BO148" s="107" t="s">
        <v>59</v>
      </c>
    </row>
    <row r="149" customFormat="false" ht="15" hidden="false" customHeight="true" outlineLevel="0" collapsed="false">
      <c r="B149" s="207"/>
      <c r="C149" s="134"/>
      <c r="D149" s="143"/>
      <c r="E149" s="148"/>
      <c r="F149" s="141" t="s">
        <v>113</v>
      </c>
      <c r="G149" s="227"/>
      <c r="H149" s="73" t="n">
        <v>95</v>
      </c>
      <c r="I149" s="74" t="n">
        <f aca="false">AVERAGEA(H149,J149)</f>
        <v>95</v>
      </c>
      <c r="J149" s="210" t="n">
        <v>95</v>
      </c>
      <c r="K149" s="49" t="s">
        <v>46</v>
      </c>
      <c r="L149" s="50"/>
      <c r="M149" s="51" t="s">
        <v>46</v>
      </c>
      <c r="N149" s="52" t="s">
        <v>46</v>
      </c>
      <c r="O149" s="53"/>
      <c r="P149" s="54" t="s">
        <v>46</v>
      </c>
      <c r="Q149" s="52" t="s">
        <v>46</v>
      </c>
      <c r="R149" s="53"/>
      <c r="S149" s="53" t="s">
        <v>46</v>
      </c>
      <c r="T149" s="49" t="n">
        <v>98</v>
      </c>
      <c r="U149" s="56" t="n">
        <f aca="false">AVERAGEA(T149,V149)</f>
        <v>98</v>
      </c>
      <c r="V149" s="51" t="n">
        <v>98</v>
      </c>
      <c r="W149" s="156" t="s">
        <v>60</v>
      </c>
      <c r="X149" s="110"/>
      <c r="Y149" s="87" t="s">
        <v>60</v>
      </c>
      <c r="Z149" s="84" t="s">
        <v>59</v>
      </c>
      <c r="AA149" s="56"/>
      <c r="AB149" s="84" t="s">
        <v>59</v>
      </c>
      <c r="AC149" s="108" t="s">
        <v>60</v>
      </c>
      <c r="AD149" s="103"/>
      <c r="AE149" s="87" t="s">
        <v>60</v>
      </c>
      <c r="AF149" s="55" t="s">
        <v>59</v>
      </c>
      <c r="AG149" s="56"/>
      <c r="AH149" s="57" t="s">
        <v>59</v>
      </c>
      <c r="AI149" s="76" t="s">
        <v>59</v>
      </c>
      <c r="AJ149" s="219"/>
      <c r="AK149" s="57" t="s">
        <v>59</v>
      </c>
      <c r="AL149" s="73" t="n">
        <v>1673</v>
      </c>
      <c r="AM149" s="74" t="n">
        <f aca="false">AVERAGEA(AN149, AL149)</f>
        <v>8825</v>
      </c>
      <c r="AN149" s="75" t="n">
        <v>15977</v>
      </c>
      <c r="AO149" s="55" t="n">
        <v>41</v>
      </c>
      <c r="AP149" s="56" t="n">
        <f aca="false">AVERAGEA(AQ149, AO149)</f>
        <v>41</v>
      </c>
      <c r="AQ149" s="57" t="n">
        <v>41</v>
      </c>
      <c r="AR149" s="73" t="n">
        <v>0</v>
      </c>
      <c r="AS149" s="74" t="n">
        <v>0</v>
      </c>
      <c r="AT149" s="75" t="n">
        <v>0</v>
      </c>
      <c r="AU149" s="105" t="s">
        <v>59</v>
      </c>
      <c r="AV149" s="106"/>
      <c r="AW149" s="107" t="s">
        <v>59</v>
      </c>
      <c r="AX149" s="108" t="s">
        <v>60</v>
      </c>
      <c r="AY149" s="109"/>
      <c r="AZ149" s="87" t="s">
        <v>60</v>
      </c>
      <c r="BA149" s="105" t="s">
        <v>59</v>
      </c>
      <c r="BB149" s="106"/>
      <c r="BC149" s="107" t="s">
        <v>59</v>
      </c>
      <c r="BD149" s="110" t="s">
        <v>60</v>
      </c>
      <c r="BE149" s="53"/>
      <c r="BF149" s="87" t="s">
        <v>60</v>
      </c>
      <c r="BG149" s="105" t="s">
        <v>59</v>
      </c>
      <c r="BH149" s="106"/>
      <c r="BI149" s="107" t="s">
        <v>59</v>
      </c>
      <c r="BJ149" s="108" t="s">
        <v>59</v>
      </c>
      <c r="BK149" s="109"/>
      <c r="BL149" s="87" t="s">
        <v>59</v>
      </c>
      <c r="BM149" s="105" t="s">
        <v>59</v>
      </c>
      <c r="BN149" s="106"/>
      <c r="BO149" s="107" t="s">
        <v>59</v>
      </c>
    </row>
    <row r="150" customFormat="false" ht="15" hidden="false" customHeight="true" outlineLevel="0" collapsed="false">
      <c r="B150" s="207"/>
      <c r="C150" s="134"/>
      <c r="D150" s="143"/>
      <c r="E150" s="148"/>
      <c r="F150" s="141" t="s">
        <v>109</v>
      </c>
      <c r="G150" s="227"/>
      <c r="H150" s="73" t="n">
        <v>90</v>
      </c>
      <c r="I150" s="74" t="n">
        <f aca="false">AVERAGEA(H150,J150)</f>
        <v>90</v>
      </c>
      <c r="J150" s="210" t="n">
        <v>90</v>
      </c>
      <c r="K150" s="49" t="s">
        <v>46</v>
      </c>
      <c r="L150" s="50"/>
      <c r="M150" s="51" t="s">
        <v>46</v>
      </c>
      <c r="N150" s="52" t="s">
        <v>46</v>
      </c>
      <c r="O150" s="53"/>
      <c r="P150" s="54" t="s">
        <v>46</v>
      </c>
      <c r="Q150" s="52" t="s">
        <v>46</v>
      </c>
      <c r="R150" s="53"/>
      <c r="S150" s="53" t="s">
        <v>46</v>
      </c>
      <c r="T150" s="49" t="n">
        <v>98</v>
      </c>
      <c r="U150" s="56" t="n">
        <f aca="false">AVERAGEA(T150,V150)</f>
        <v>98</v>
      </c>
      <c r="V150" s="51" t="n">
        <v>98</v>
      </c>
      <c r="W150" s="156" t="s">
        <v>60</v>
      </c>
      <c r="X150" s="110"/>
      <c r="Y150" s="87" t="s">
        <v>60</v>
      </c>
      <c r="Z150" s="84" t="s">
        <v>59</v>
      </c>
      <c r="AA150" s="56"/>
      <c r="AB150" s="84" t="s">
        <v>59</v>
      </c>
      <c r="AC150" s="108" t="s">
        <v>60</v>
      </c>
      <c r="AD150" s="103"/>
      <c r="AE150" s="87" t="s">
        <v>60</v>
      </c>
      <c r="AF150" s="55" t="s">
        <v>59</v>
      </c>
      <c r="AG150" s="56"/>
      <c r="AH150" s="57" t="s">
        <v>59</v>
      </c>
      <c r="AI150" s="76" t="s">
        <v>59</v>
      </c>
      <c r="AJ150" s="219"/>
      <c r="AK150" s="57" t="s">
        <v>59</v>
      </c>
      <c r="AL150" s="73" t="n">
        <v>1800</v>
      </c>
      <c r="AM150" s="74" t="n">
        <f aca="false">AVERAGEA(AN150, AL150)</f>
        <v>6689.5</v>
      </c>
      <c r="AN150" s="75" t="n">
        <v>11579</v>
      </c>
      <c r="AO150" s="55" t="n">
        <v>36</v>
      </c>
      <c r="AP150" s="56" t="n">
        <f aca="false">AVERAGEA(AQ150, AO150)</f>
        <v>48</v>
      </c>
      <c r="AQ150" s="57" t="n">
        <v>60</v>
      </c>
      <c r="AR150" s="73" t="n">
        <v>0</v>
      </c>
      <c r="AS150" s="74" t="n">
        <v>0</v>
      </c>
      <c r="AT150" s="75" t="n">
        <v>0</v>
      </c>
      <c r="AU150" s="105" t="s">
        <v>59</v>
      </c>
      <c r="AV150" s="106"/>
      <c r="AW150" s="107" t="s">
        <v>59</v>
      </c>
      <c r="AX150" s="108" t="s">
        <v>60</v>
      </c>
      <c r="AY150" s="109"/>
      <c r="AZ150" s="87" t="s">
        <v>60</v>
      </c>
      <c r="BA150" s="105" t="s">
        <v>59</v>
      </c>
      <c r="BB150" s="106"/>
      <c r="BC150" s="107" t="s">
        <v>59</v>
      </c>
      <c r="BD150" s="110" t="s">
        <v>60</v>
      </c>
      <c r="BE150" s="53"/>
      <c r="BF150" s="87" t="s">
        <v>60</v>
      </c>
      <c r="BG150" s="105" t="s">
        <v>59</v>
      </c>
      <c r="BH150" s="106"/>
      <c r="BI150" s="107" t="s">
        <v>59</v>
      </c>
      <c r="BJ150" s="108" t="s">
        <v>59</v>
      </c>
      <c r="BK150" s="109"/>
      <c r="BL150" s="87" t="s">
        <v>59</v>
      </c>
      <c r="BM150" s="105" t="s">
        <v>59</v>
      </c>
      <c r="BN150" s="106"/>
      <c r="BO150" s="107" t="s">
        <v>59</v>
      </c>
    </row>
    <row r="151" customFormat="false" ht="15" hidden="false" customHeight="true" outlineLevel="0" collapsed="false">
      <c r="B151" s="207"/>
      <c r="C151" s="134"/>
      <c r="D151" s="143"/>
      <c r="E151" s="148"/>
      <c r="F151" s="141" t="s">
        <v>110</v>
      </c>
      <c r="G151" s="227"/>
      <c r="H151" s="73" t="n">
        <v>90</v>
      </c>
      <c r="I151" s="74" t="n">
        <f aca="false">AVERAGEA(H151,J151)</f>
        <v>90</v>
      </c>
      <c r="J151" s="210" t="n">
        <v>90</v>
      </c>
      <c r="K151" s="49" t="s">
        <v>46</v>
      </c>
      <c r="L151" s="50"/>
      <c r="M151" s="51" t="s">
        <v>46</v>
      </c>
      <c r="N151" s="52" t="s">
        <v>46</v>
      </c>
      <c r="O151" s="53"/>
      <c r="P151" s="54" t="s">
        <v>46</v>
      </c>
      <c r="Q151" s="52" t="s">
        <v>46</v>
      </c>
      <c r="R151" s="53"/>
      <c r="S151" s="53" t="s">
        <v>46</v>
      </c>
      <c r="T151" s="49" t="n">
        <v>98</v>
      </c>
      <c r="U151" s="56" t="n">
        <f aca="false">AVERAGEA(T151,V151)</f>
        <v>98</v>
      </c>
      <c r="V151" s="51" t="n">
        <v>98</v>
      </c>
      <c r="W151" s="156" t="s">
        <v>60</v>
      </c>
      <c r="X151" s="110"/>
      <c r="Y151" s="87" t="s">
        <v>60</v>
      </c>
      <c r="Z151" s="84" t="s">
        <v>59</v>
      </c>
      <c r="AA151" s="56"/>
      <c r="AB151" s="84" t="s">
        <v>59</v>
      </c>
      <c r="AC151" s="108" t="s">
        <v>60</v>
      </c>
      <c r="AD151" s="103"/>
      <c r="AE151" s="87" t="s">
        <v>60</v>
      </c>
      <c r="AF151" s="55" t="s">
        <v>59</v>
      </c>
      <c r="AG151" s="56"/>
      <c r="AH151" s="57" t="s">
        <v>59</v>
      </c>
      <c r="AI151" s="76" t="s">
        <v>59</v>
      </c>
      <c r="AJ151" s="219"/>
      <c r="AK151" s="57" t="s">
        <v>59</v>
      </c>
      <c r="AL151" s="73" t="n">
        <v>1800</v>
      </c>
      <c r="AM151" s="74" t="n">
        <f aca="false">AVERAGEA(AN151, AL151)</f>
        <v>6689.5</v>
      </c>
      <c r="AN151" s="75" t="n">
        <v>11579</v>
      </c>
      <c r="AO151" s="55" t="n">
        <v>41</v>
      </c>
      <c r="AP151" s="56" t="n">
        <f aca="false">AVERAGEA(AQ151, AO151)</f>
        <v>133</v>
      </c>
      <c r="AQ151" s="57" t="n">
        <v>225</v>
      </c>
      <c r="AR151" s="73" t="n">
        <v>0</v>
      </c>
      <c r="AS151" s="74" t="n">
        <v>0</v>
      </c>
      <c r="AT151" s="75" t="n">
        <v>0</v>
      </c>
      <c r="AU151" s="105" t="s">
        <v>59</v>
      </c>
      <c r="AV151" s="106"/>
      <c r="AW151" s="107" t="s">
        <v>59</v>
      </c>
      <c r="AX151" s="108" t="s">
        <v>60</v>
      </c>
      <c r="AY151" s="109"/>
      <c r="AZ151" s="87" t="s">
        <v>60</v>
      </c>
      <c r="BA151" s="105" t="s">
        <v>59</v>
      </c>
      <c r="BB151" s="106"/>
      <c r="BC151" s="107" t="s">
        <v>59</v>
      </c>
      <c r="BD151" s="110" t="s">
        <v>60</v>
      </c>
      <c r="BE151" s="53"/>
      <c r="BF151" s="87" t="s">
        <v>60</v>
      </c>
      <c r="BG151" s="105" t="s">
        <v>59</v>
      </c>
      <c r="BH151" s="106"/>
      <c r="BI151" s="107" t="s">
        <v>59</v>
      </c>
      <c r="BJ151" s="108" t="s">
        <v>59</v>
      </c>
      <c r="BK151" s="109"/>
      <c r="BL151" s="87" t="s">
        <v>59</v>
      </c>
      <c r="BM151" s="105" t="s">
        <v>59</v>
      </c>
      <c r="BN151" s="106"/>
      <c r="BO151" s="107" t="s">
        <v>59</v>
      </c>
    </row>
    <row r="152" customFormat="false" ht="15" hidden="false" customHeight="true" outlineLevel="0" collapsed="false">
      <c r="B152" s="207"/>
      <c r="C152" s="143" t="s">
        <v>114</v>
      </c>
      <c r="D152" s="151"/>
      <c r="E152" s="148"/>
      <c r="F152" s="149" t="s">
        <v>112</v>
      </c>
      <c r="G152" s="212"/>
      <c r="H152" s="78" t="n">
        <v>50</v>
      </c>
      <c r="I152" s="53" t="n">
        <f aca="false">AVERAGEA(H152,J152)</f>
        <v>67.5</v>
      </c>
      <c r="J152" s="153" t="n">
        <v>85</v>
      </c>
      <c r="K152" s="49" t="s">
        <v>46</v>
      </c>
      <c r="L152" s="50"/>
      <c r="M152" s="51" t="s">
        <v>46</v>
      </c>
      <c r="N152" s="52" t="s">
        <v>46</v>
      </c>
      <c r="O152" s="53"/>
      <c r="P152" s="54" t="s">
        <v>46</v>
      </c>
      <c r="Q152" s="52" t="s">
        <v>46</v>
      </c>
      <c r="R152" s="53"/>
      <c r="S152" s="54" t="s">
        <v>46</v>
      </c>
      <c r="T152" s="84" t="s">
        <v>59</v>
      </c>
      <c r="U152" s="56"/>
      <c r="V152" s="51" t="s">
        <v>59</v>
      </c>
      <c r="W152" s="156" t="s">
        <v>60</v>
      </c>
      <c r="X152" s="153"/>
      <c r="Y152" s="87" t="s">
        <v>60</v>
      </c>
      <c r="Z152" s="84" t="s">
        <v>59</v>
      </c>
      <c r="AA152" s="50"/>
      <c r="AB152" s="84" t="s">
        <v>59</v>
      </c>
      <c r="AC152" s="108" t="s">
        <v>60</v>
      </c>
      <c r="AD152" s="103"/>
      <c r="AE152" s="87" t="s">
        <v>60</v>
      </c>
      <c r="AF152" s="49" t="s">
        <v>59</v>
      </c>
      <c r="AG152" s="50"/>
      <c r="AH152" s="51" t="s">
        <v>59</v>
      </c>
      <c r="AI152" s="84" t="s">
        <v>59</v>
      </c>
      <c r="AJ152" s="154"/>
      <c r="AK152" s="51" t="s">
        <v>59</v>
      </c>
      <c r="AL152" s="78" t="n">
        <v>850</v>
      </c>
      <c r="AM152" s="53" t="n">
        <f aca="false">AVERAGEA(AN152, AL152)</f>
        <v>2482.9</v>
      </c>
      <c r="AN152" s="54" t="n">
        <v>4115.8</v>
      </c>
      <c r="AO152" s="154" t="n">
        <v>18</v>
      </c>
      <c r="AP152" s="56" t="n">
        <f aca="false">AVERAGEA(AQ152, AO152)</f>
        <v>18</v>
      </c>
      <c r="AQ152" s="51" t="n">
        <v>18</v>
      </c>
      <c r="AR152" s="108" t="n">
        <v>0</v>
      </c>
      <c r="AS152" s="153" t="n">
        <v>0</v>
      </c>
      <c r="AT152" s="87" t="n">
        <v>0</v>
      </c>
      <c r="AU152" s="105" t="s">
        <v>59</v>
      </c>
      <c r="AV152" s="106"/>
      <c r="AW152" s="107" t="s">
        <v>59</v>
      </c>
      <c r="AX152" s="108" t="s">
        <v>60</v>
      </c>
      <c r="AY152" s="109"/>
      <c r="AZ152" s="87" t="s">
        <v>60</v>
      </c>
      <c r="BA152" s="105" t="s">
        <v>59</v>
      </c>
      <c r="BB152" s="106"/>
      <c r="BC152" s="107" t="s">
        <v>59</v>
      </c>
      <c r="BD152" s="110" t="s">
        <v>60</v>
      </c>
      <c r="BE152" s="53"/>
      <c r="BF152" s="87" t="s">
        <v>60</v>
      </c>
      <c r="BG152" s="105" t="s">
        <v>59</v>
      </c>
      <c r="BH152" s="106"/>
      <c r="BI152" s="107" t="s">
        <v>59</v>
      </c>
      <c r="BJ152" s="108" t="s">
        <v>59</v>
      </c>
      <c r="BK152" s="109"/>
      <c r="BL152" s="87" t="s">
        <v>59</v>
      </c>
      <c r="BM152" s="105" t="s">
        <v>59</v>
      </c>
      <c r="BN152" s="106"/>
      <c r="BO152" s="107" t="s">
        <v>59</v>
      </c>
    </row>
    <row r="153" customFormat="false" ht="15" hidden="false" customHeight="true" outlineLevel="0" collapsed="false">
      <c r="B153" s="207"/>
      <c r="C153" s="143"/>
      <c r="D153" s="143"/>
      <c r="E153" s="148"/>
      <c r="F153" s="149" t="s">
        <v>113</v>
      </c>
      <c r="G153" s="212"/>
      <c r="H153" s="78" t="n">
        <v>50</v>
      </c>
      <c r="I153" s="53" t="n">
        <f aca="false">AVERAGEA(H153,J153)</f>
        <v>67.5</v>
      </c>
      <c r="J153" s="153" t="n">
        <v>85</v>
      </c>
      <c r="K153" s="49" t="s">
        <v>46</v>
      </c>
      <c r="L153" s="50"/>
      <c r="M153" s="51" t="s">
        <v>46</v>
      </c>
      <c r="N153" s="52" t="s">
        <v>46</v>
      </c>
      <c r="O153" s="53"/>
      <c r="P153" s="54" t="s">
        <v>46</v>
      </c>
      <c r="Q153" s="52" t="s">
        <v>46</v>
      </c>
      <c r="R153" s="53"/>
      <c r="S153" s="54" t="s">
        <v>46</v>
      </c>
      <c r="T153" s="84" t="s">
        <v>59</v>
      </c>
      <c r="U153" s="56"/>
      <c r="V153" s="51" t="s">
        <v>59</v>
      </c>
      <c r="W153" s="156" t="s">
        <v>60</v>
      </c>
      <c r="X153" s="153"/>
      <c r="Y153" s="87" t="s">
        <v>60</v>
      </c>
      <c r="Z153" s="84" t="s">
        <v>59</v>
      </c>
      <c r="AA153" s="50"/>
      <c r="AB153" s="84" t="s">
        <v>59</v>
      </c>
      <c r="AC153" s="108" t="s">
        <v>60</v>
      </c>
      <c r="AD153" s="103"/>
      <c r="AE153" s="87" t="s">
        <v>60</v>
      </c>
      <c r="AF153" s="49" t="s">
        <v>59</v>
      </c>
      <c r="AG153" s="50"/>
      <c r="AH153" s="51" t="s">
        <v>59</v>
      </c>
      <c r="AI153" s="84" t="s">
        <v>59</v>
      </c>
      <c r="AJ153" s="154"/>
      <c r="AK153" s="51" t="s">
        <v>59</v>
      </c>
      <c r="AL153" s="78" t="n">
        <v>850</v>
      </c>
      <c r="AM153" s="53" t="n">
        <f aca="false">AVERAGEA(AN153, AL153)</f>
        <v>2482.9</v>
      </c>
      <c r="AN153" s="54" t="n">
        <v>4115.8</v>
      </c>
      <c r="AO153" s="154" t="n">
        <v>18</v>
      </c>
      <c r="AP153" s="56" t="n">
        <f aca="false">AVERAGEA(AQ153, AO153)</f>
        <v>18</v>
      </c>
      <c r="AQ153" s="51" t="n">
        <v>18</v>
      </c>
      <c r="AR153" s="108" t="n">
        <v>0</v>
      </c>
      <c r="AS153" s="153" t="n">
        <v>0</v>
      </c>
      <c r="AT153" s="87" t="n">
        <v>0</v>
      </c>
      <c r="AU153" s="105" t="s">
        <v>59</v>
      </c>
      <c r="AV153" s="106"/>
      <c r="AW153" s="107" t="s">
        <v>59</v>
      </c>
      <c r="AX153" s="108" t="s">
        <v>60</v>
      </c>
      <c r="AY153" s="109"/>
      <c r="AZ153" s="87" t="s">
        <v>60</v>
      </c>
      <c r="BA153" s="105" t="s">
        <v>59</v>
      </c>
      <c r="BB153" s="106"/>
      <c r="BC153" s="107" t="s">
        <v>59</v>
      </c>
      <c r="BD153" s="110" t="s">
        <v>60</v>
      </c>
      <c r="BE153" s="53"/>
      <c r="BF153" s="87" t="s">
        <v>60</v>
      </c>
      <c r="BG153" s="105" t="s">
        <v>59</v>
      </c>
      <c r="BH153" s="106"/>
      <c r="BI153" s="107" t="s">
        <v>59</v>
      </c>
      <c r="BJ153" s="108" t="s">
        <v>59</v>
      </c>
      <c r="BK153" s="109"/>
      <c r="BL153" s="87" t="s">
        <v>59</v>
      </c>
      <c r="BM153" s="105" t="s">
        <v>59</v>
      </c>
      <c r="BN153" s="106"/>
      <c r="BO153" s="107" t="s">
        <v>59</v>
      </c>
    </row>
    <row r="154" customFormat="false" ht="15" hidden="false" customHeight="true" outlineLevel="0" collapsed="false">
      <c r="B154" s="207"/>
      <c r="C154" s="143"/>
      <c r="D154" s="143"/>
      <c r="E154" s="148"/>
      <c r="F154" s="149" t="s">
        <v>109</v>
      </c>
      <c r="G154" s="212"/>
      <c r="H154" s="78" t="n">
        <v>50</v>
      </c>
      <c r="I154" s="53" t="n">
        <f aca="false">AVERAGEA(H154,J154)</f>
        <v>67.5</v>
      </c>
      <c r="J154" s="153" t="n">
        <v>85</v>
      </c>
      <c r="K154" s="49" t="s">
        <v>46</v>
      </c>
      <c r="L154" s="50"/>
      <c r="M154" s="51" t="s">
        <v>46</v>
      </c>
      <c r="N154" s="52" t="s">
        <v>46</v>
      </c>
      <c r="O154" s="53"/>
      <c r="P154" s="54" t="s">
        <v>46</v>
      </c>
      <c r="Q154" s="52" t="s">
        <v>46</v>
      </c>
      <c r="R154" s="53"/>
      <c r="S154" s="54" t="s">
        <v>46</v>
      </c>
      <c r="T154" s="84" t="s">
        <v>59</v>
      </c>
      <c r="U154" s="56"/>
      <c r="V154" s="51" t="s">
        <v>59</v>
      </c>
      <c r="W154" s="156" t="s">
        <v>60</v>
      </c>
      <c r="X154" s="103"/>
      <c r="Y154" s="87" t="s">
        <v>60</v>
      </c>
      <c r="Z154" s="84" t="s">
        <v>59</v>
      </c>
      <c r="AA154" s="50"/>
      <c r="AB154" s="84" t="s">
        <v>59</v>
      </c>
      <c r="AC154" s="108" t="s">
        <v>60</v>
      </c>
      <c r="AD154" s="103"/>
      <c r="AE154" s="87" t="s">
        <v>60</v>
      </c>
      <c r="AF154" s="49" t="s">
        <v>59</v>
      </c>
      <c r="AG154" s="50"/>
      <c r="AH154" s="51" t="s">
        <v>59</v>
      </c>
      <c r="AI154" s="84" t="s">
        <v>59</v>
      </c>
      <c r="AJ154" s="154"/>
      <c r="AK154" s="51" t="s">
        <v>59</v>
      </c>
      <c r="AL154" s="78" t="n">
        <v>850</v>
      </c>
      <c r="AM154" s="53" t="n">
        <f aca="false">AVERAGEA(AN154, AL154)</f>
        <v>2482.9</v>
      </c>
      <c r="AN154" s="54" t="n">
        <v>4115.8</v>
      </c>
      <c r="AO154" s="154" t="n">
        <v>18</v>
      </c>
      <c r="AP154" s="56" t="n">
        <f aca="false">AVERAGEA(AQ154, AO154)</f>
        <v>18</v>
      </c>
      <c r="AQ154" s="51" t="n">
        <v>18</v>
      </c>
      <c r="AR154" s="108" t="n">
        <v>0</v>
      </c>
      <c r="AS154" s="153" t="n">
        <v>0</v>
      </c>
      <c r="AT154" s="87" t="n">
        <v>0</v>
      </c>
      <c r="AU154" s="105" t="s">
        <v>59</v>
      </c>
      <c r="AV154" s="106"/>
      <c r="AW154" s="107" t="s">
        <v>59</v>
      </c>
      <c r="AX154" s="108" t="s">
        <v>60</v>
      </c>
      <c r="AY154" s="109"/>
      <c r="AZ154" s="87" t="s">
        <v>60</v>
      </c>
      <c r="BA154" s="105" t="s">
        <v>59</v>
      </c>
      <c r="BB154" s="106"/>
      <c r="BC154" s="107" t="s">
        <v>59</v>
      </c>
      <c r="BD154" s="110" t="s">
        <v>60</v>
      </c>
      <c r="BE154" s="53"/>
      <c r="BF154" s="87" t="s">
        <v>60</v>
      </c>
      <c r="BG154" s="105" t="s">
        <v>59</v>
      </c>
      <c r="BH154" s="106"/>
      <c r="BI154" s="107" t="s">
        <v>59</v>
      </c>
      <c r="BJ154" s="108" t="s">
        <v>59</v>
      </c>
      <c r="BK154" s="109"/>
      <c r="BL154" s="87" t="s">
        <v>59</v>
      </c>
      <c r="BM154" s="105" t="s">
        <v>59</v>
      </c>
      <c r="BN154" s="106"/>
      <c r="BO154" s="107" t="s">
        <v>59</v>
      </c>
    </row>
    <row r="155" customFormat="false" ht="15" hidden="false" customHeight="true" outlineLevel="0" collapsed="false">
      <c r="B155" s="207"/>
      <c r="C155" s="143"/>
      <c r="D155" s="143"/>
      <c r="E155" s="148"/>
      <c r="F155" s="149" t="s">
        <v>110</v>
      </c>
      <c r="G155" s="212"/>
      <c r="H155" s="78" t="n">
        <v>50</v>
      </c>
      <c r="I155" s="53" t="n">
        <f aca="false">AVERAGEA(H155,J155)</f>
        <v>67.5</v>
      </c>
      <c r="J155" s="153" t="n">
        <v>85</v>
      </c>
      <c r="K155" s="49" t="s">
        <v>46</v>
      </c>
      <c r="L155" s="50"/>
      <c r="M155" s="51" t="s">
        <v>46</v>
      </c>
      <c r="N155" s="52" t="s">
        <v>46</v>
      </c>
      <c r="O155" s="53"/>
      <c r="P155" s="54" t="s">
        <v>46</v>
      </c>
      <c r="Q155" s="52" t="s">
        <v>46</v>
      </c>
      <c r="R155" s="53"/>
      <c r="S155" s="54" t="s">
        <v>46</v>
      </c>
      <c r="T155" s="84" t="s">
        <v>59</v>
      </c>
      <c r="U155" s="56"/>
      <c r="V155" s="51" t="s">
        <v>59</v>
      </c>
      <c r="W155" s="156" t="s">
        <v>60</v>
      </c>
      <c r="X155" s="103"/>
      <c r="Y155" s="87" t="s">
        <v>60</v>
      </c>
      <c r="Z155" s="84" t="s">
        <v>59</v>
      </c>
      <c r="AA155" s="50"/>
      <c r="AB155" s="84" t="s">
        <v>59</v>
      </c>
      <c r="AC155" s="108" t="s">
        <v>60</v>
      </c>
      <c r="AD155" s="103"/>
      <c r="AE155" s="87" t="s">
        <v>60</v>
      </c>
      <c r="AF155" s="49" t="s">
        <v>59</v>
      </c>
      <c r="AG155" s="50"/>
      <c r="AH155" s="51" t="s">
        <v>59</v>
      </c>
      <c r="AI155" s="84" t="s">
        <v>59</v>
      </c>
      <c r="AJ155" s="154"/>
      <c r="AK155" s="51" t="s">
        <v>59</v>
      </c>
      <c r="AL155" s="78" t="n">
        <v>850</v>
      </c>
      <c r="AM155" s="53" t="n">
        <f aca="false">AVERAGEA(AN155, AL155)</f>
        <v>2482.9</v>
      </c>
      <c r="AN155" s="54" t="n">
        <v>4115.8</v>
      </c>
      <c r="AO155" s="154" t="n">
        <v>18</v>
      </c>
      <c r="AP155" s="56" t="n">
        <f aca="false">AVERAGEA(AQ155, AO155)</f>
        <v>18</v>
      </c>
      <c r="AQ155" s="51" t="n">
        <v>18</v>
      </c>
      <c r="AR155" s="108" t="n">
        <v>0</v>
      </c>
      <c r="AS155" s="153" t="n">
        <v>0</v>
      </c>
      <c r="AT155" s="87" t="n">
        <v>0</v>
      </c>
      <c r="AU155" s="105" t="s">
        <v>59</v>
      </c>
      <c r="AV155" s="106"/>
      <c r="AW155" s="107" t="s">
        <v>59</v>
      </c>
      <c r="AX155" s="108" t="s">
        <v>60</v>
      </c>
      <c r="AY155" s="109"/>
      <c r="AZ155" s="87" t="s">
        <v>60</v>
      </c>
      <c r="BA155" s="105" t="s">
        <v>59</v>
      </c>
      <c r="BB155" s="106"/>
      <c r="BC155" s="107" t="s">
        <v>59</v>
      </c>
      <c r="BD155" s="110" t="s">
        <v>60</v>
      </c>
      <c r="BE155" s="53"/>
      <c r="BF155" s="87" t="s">
        <v>60</v>
      </c>
      <c r="BG155" s="105" t="s">
        <v>59</v>
      </c>
      <c r="BH155" s="106"/>
      <c r="BI155" s="107" t="s">
        <v>59</v>
      </c>
      <c r="BJ155" s="108" t="s">
        <v>59</v>
      </c>
      <c r="BK155" s="109"/>
      <c r="BL155" s="87" t="s">
        <v>59</v>
      </c>
      <c r="BM155" s="105" t="s">
        <v>59</v>
      </c>
      <c r="BN155" s="106"/>
      <c r="BO155" s="107" t="s">
        <v>59</v>
      </c>
    </row>
    <row r="156" customFormat="false" ht="15" hidden="false" customHeight="true" outlineLevel="0" collapsed="false">
      <c r="B156" s="207"/>
      <c r="C156" s="143" t="s">
        <v>115</v>
      </c>
      <c r="D156" s="143"/>
      <c r="E156" s="149"/>
      <c r="F156" s="149"/>
      <c r="G156" s="212"/>
      <c r="H156" s="78" t="n">
        <v>90</v>
      </c>
      <c r="I156" s="53" t="n">
        <f aca="false">AVERAGEA(H156,J156)</f>
        <v>90</v>
      </c>
      <c r="J156" s="153" t="n">
        <v>90</v>
      </c>
      <c r="K156" s="49" t="s">
        <v>46</v>
      </c>
      <c r="L156" s="50"/>
      <c r="M156" s="51" t="s">
        <v>46</v>
      </c>
      <c r="N156" s="52" t="s">
        <v>46</v>
      </c>
      <c r="O156" s="53"/>
      <c r="P156" s="54" t="s">
        <v>46</v>
      </c>
      <c r="Q156" s="52" t="s">
        <v>46</v>
      </c>
      <c r="R156" s="53"/>
      <c r="S156" s="54" t="s">
        <v>46</v>
      </c>
      <c r="T156" s="84" t="s">
        <v>59</v>
      </c>
      <c r="U156" s="56"/>
      <c r="V156" s="51" t="s">
        <v>59</v>
      </c>
      <c r="W156" s="52" t="n">
        <v>25</v>
      </c>
      <c r="X156" s="103" t="n">
        <f aca="false">AVERAGEA(Y156, W156)</f>
        <v>25</v>
      </c>
      <c r="Y156" s="54" t="n">
        <v>25</v>
      </c>
      <c r="Z156" s="84" t="s">
        <v>59</v>
      </c>
      <c r="AA156" s="50"/>
      <c r="AB156" s="84" t="s">
        <v>59</v>
      </c>
      <c r="AC156" s="108" t="s">
        <v>60</v>
      </c>
      <c r="AD156" s="103"/>
      <c r="AE156" s="87" t="s">
        <v>60</v>
      </c>
      <c r="AF156" s="49" t="s">
        <v>59</v>
      </c>
      <c r="AG156" s="50"/>
      <c r="AH156" s="51" t="s">
        <v>59</v>
      </c>
      <c r="AI156" s="84" t="s">
        <v>59</v>
      </c>
      <c r="AJ156" s="154"/>
      <c r="AK156" s="51" t="s">
        <v>59</v>
      </c>
      <c r="AL156" s="78" t="n">
        <v>2250</v>
      </c>
      <c r="AM156" s="53" t="n">
        <f aca="false">AVERAGEA(AN156, AL156)</f>
        <v>3000</v>
      </c>
      <c r="AN156" s="54" t="n">
        <v>3750</v>
      </c>
      <c r="AO156" s="154" t="s">
        <v>59</v>
      </c>
      <c r="AP156" s="50"/>
      <c r="AQ156" s="51" t="s">
        <v>59</v>
      </c>
      <c r="AR156" s="108" t="s">
        <v>60</v>
      </c>
      <c r="AS156" s="153"/>
      <c r="AT156" s="87" t="s">
        <v>60</v>
      </c>
      <c r="AU156" s="105" t="s">
        <v>59</v>
      </c>
      <c r="AV156" s="106"/>
      <c r="AW156" s="107" t="s">
        <v>59</v>
      </c>
      <c r="AX156" s="108" t="s">
        <v>60</v>
      </c>
      <c r="AY156" s="109"/>
      <c r="AZ156" s="87" t="s">
        <v>60</v>
      </c>
      <c r="BA156" s="105" t="s">
        <v>59</v>
      </c>
      <c r="BB156" s="106"/>
      <c r="BC156" s="107" t="s">
        <v>59</v>
      </c>
      <c r="BD156" s="110" t="s">
        <v>60</v>
      </c>
      <c r="BE156" s="53"/>
      <c r="BF156" s="87" t="s">
        <v>60</v>
      </c>
      <c r="BG156" s="105" t="s">
        <v>59</v>
      </c>
      <c r="BH156" s="106"/>
      <c r="BI156" s="107" t="s">
        <v>59</v>
      </c>
      <c r="BJ156" s="108" t="s">
        <v>59</v>
      </c>
      <c r="BK156" s="109"/>
      <c r="BL156" s="87" t="s">
        <v>59</v>
      </c>
      <c r="BM156" s="105" t="s">
        <v>59</v>
      </c>
      <c r="BN156" s="106"/>
      <c r="BO156" s="107" t="s">
        <v>59</v>
      </c>
    </row>
    <row r="157" customFormat="false" ht="15" hidden="false" customHeight="true" outlineLevel="0" collapsed="false">
      <c r="B157" s="207"/>
      <c r="C157" s="143"/>
      <c r="D157" s="143"/>
      <c r="E157" s="149"/>
      <c r="F157" s="149"/>
      <c r="G157" s="212"/>
      <c r="H157" s="78"/>
      <c r="I157" s="53"/>
      <c r="J157" s="153"/>
      <c r="K157" s="49"/>
      <c r="L157" s="50"/>
      <c r="M157" s="51"/>
      <c r="N157" s="52"/>
      <c r="O157" s="53"/>
      <c r="P157" s="54"/>
      <c r="Q157" s="52"/>
      <c r="R157" s="53"/>
      <c r="S157" s="54"/>
      <c r="T157" s="84"/>
      <c r="U157" s="56"/>
      <c r="V157" s="51"/>
      <c r="W157" s="52"/>
      <c r="X157" s="103"/>
      <c r="Y157" s="54"/>
      <c r="Z157" s="84"/>
      <c r="AA157" s="50"/>
      <c r="AB157" s="84"/>
      <c r="AC157" s="108"/>
      <c r="AD157" s="103"/>
      <c r="AE157" s="87"/>
      <c r="AF157" s="49"/>
      <c r="AG157" s="50"/>
      <c r="AH157" s="51"/>
      <c r="AI157" s="84"/>
      <c r="AJ157" s="154"/>
      <c r="AK157" s="51"/>
      <c r="AL157" s="78"/>
      <c r="AM157" s="53"/>
      <c r="AN157" s="54"/>
      <c r="AO157" s="154"/>
      <c r="AP157" s="50"/>
      <c r="AQ157" s="51"/>
      <c r="AR157" s="108"/>
      <c r="AS157" s="153"/>
      <c r="AT157" s="87"/>
      <c r="AU157" s="105"/>
      <c r="AV157" s="106"/>
      <c r="AW157" s="107"/>
      <c r="AX157" s="108"/>
      <c r="AY157" s="109"/>
      <c r="AZ157" s="87"/>
      <c r="BA157" s="105"/>
      <c r="BB157" s="106"/>
      <c r="BC157" s="107"/>
      <c r="BD157" s="110"/>
      <c r="BE157" s="53"/>
      <c r="BF157" s="87"/>
      <c r="BG157" s="105"/>
      <c r="BH157" s="106"/>
      <c r="BI157" s="107"/>
      <c r="BJ157" s="108"/>
      <c r="BK157" s="109"/>
      <c r="BL157" s="87"/>
      <c r="BM157" s="105"/>
      <c r="BN157" s="106"/>
      <c r="BO157" s="107"/>
    </row>
    <row r="158" customFormat="false" ht="15" hidden="false" customHeight="true" outlineLevel="0" collapsed="false">
      <c r="B158" s="207"/>
      <c r="C158" s="143"/>
      <c r="D158" s="143"/>
      <c r="E158" s="149"/>
      <c r="F158" s="149"/>
      <c r="G158" s="212"/>
      <c r="H158" s="78"/>
      <c r="I158" s="53"/>
      <c r="J158" s="153"/>
      <c r="K158" s="49"/>
      <c r="L158" s="50"/>
      <c r="M158" s="51"/>
      <c r="N158" s="52"/>
      <c r="O158" s="53"/>
      <c r="P158" s="54"/>
      <c r="Q158" s="52"/>
      <c r="R158" s="53"/>
      <c r="S158" s="54"/>
      <c r="T158" s="84"/>
      <c r="U158" s="56"/>
      <c r="V158" s="51"/>
      <c r="W158" s="52"/>
      <c r="X158" s="103"/>
      <c r="Y158" s="54"/>
      <c r="Z158" s="84"/>
      <c r="AA158" s="50"/>
      <c r="AB158" s="84"/>
      <c r="AC158" s="108"/>
      <c r="AD158" s="103"/>
      <c r="AE158" s="87"/>
      <c r="AF158" s="49"/>
      <c r="AG158" s="50"/>
      <c r="AH158" s="51"/>
      <c r="AI158" s="84"/>
      <c r="AJ158" s="154"/>
      <c r="AK158" s="51"/>
      <c r="AL158" s="78"/>
      <c r="AM158" s="53"/>
      <c r="AN158" s="54"/>
      <c r="AO158" s="154"/>
      <c r="AP158" s="50"/>
      <c r="AQ158" s="51"/>
      <c r="AR158" s="108"/>
      <c r="AS158" s="153"/>
      <c r="AT158" s="87"/>
      <c r="AU158" s="105"/>
      <c r="AV158" s="106"/>
      <c r="AW158" s="107"/>
      <c r="AX158" s="108"/>
      <c r="AY158" s="109"/>
      <c r="AZ158" s="87"/>
      <c r="BA158" s="105"/>
      <c r="BB158" s="106"/>
      <c r="BC158" s="107"/>
      <c r="BD158" s="110"/>
      <c r="BE158" s="53"/>
      <c r="BF158" s="87"/>
      <c r="BG158" s="105"/>
      <c r="BH158" s="106"/>
      <c r="BI158" s="107"/>
      <c r="BJ158" s="108"/>
      <c r="BK158" s="109"/>
      <c r="BL158" s="87"/>
      <c r="BM158" s="105"/>
      <c r="BN158" s="106"/>
      <c r="BO158" s="107"/>
    </row>
    <row r="159" customFormat="false" ht="15" hidden="false" customHeight="true" outlineLevel="0" collapsed="false">
      <c r="B159" s="207"/>
      <c r="C159" s="143"/>
      <c r="D159" s="143"/>
      <c r="E159" s="149"/>
      <c r="F159" s="149"/>
      <c r="G159" s="212"/>
      <c r="H159" s="78"/>
      <c r="I159" s="53"/>
      <c r="J159" s="153"/>
      <c r="K159" s="49"/>
      <c r="L159" s="50"/>
      <c r="M159" s="51"/>
      <c r="N159" s="52"/>
      <c r="O159" s="53"/>
      <c r="P159" s="54"/>
      <c r="Q159" s="52"/>
      <c r="R159" s="53"/>
      <c r="S159" s="54"/>
      <c r="T159" s="84"/>
      <c r="U159" s="56"/>
      <c r="V159" s="51"/>
      <c r="W159" s="52"/>
      <c r="X159" s="103"/>
      <c r="Y159" s="54"/>
      <c r="Z159" s="84"/>
      <c r="AA159" s="50"/>
      <c r="AB159" s="84"/>
      <c r="AC159" s="108"/>
      <c r="AD159" s="103"/>
      <c r="AE159" s="87"/>
      <c r="AF159" s="49"/>
      <c r="AG159" s="50"/>
      <c r="AH159" s="51"/>
      <c r="AI159" s="84"/>
      <c r="AJ159" s="154"/>
      <c r="AK159" s="51"/>
      <c r="AL159" s="78"/>
      <c r="AM159" s="53"/>
      <c r="AN159" s="54"/>
      <c r="AO159" s="154"/>
      <c r="AP159" s="50"/>
      <c r="AQ159" s="51"/>
      <c r="AR159" s="108"/>
      <c r="AS159" s="153"/>
      <c r="AT159" s="87"/>
      <c r="AU159" s="105"/>
      <c r="AV159" s="106"/>
      <c r="AW159" s="107"/>
      <c r="AX159" s="108"/>
      <c r="AY159" s="109"/>
      <c r="AZ159" s="87"/>
      <c r="BA159" s="105"/>
      <c r="BB159" s="106"/>
      <c r="BC159" s="107"/>
      <c r="BD159" s="110"/>
      <c r="BE159" s="53"/>
      <c r="BF159" s="87"/>
      <c r="BG159" s="105"/>
      <c r="BH159" s="106"/>
      <c r="BI159" s="107"/>
      <c r="BJ159" s="108"/>
      <c r="BK159" s="109"/>
      <c r="BL159" s="87"/>
      <c r="BM159" s="105"/>
      <c r="BN159" s="106"/>
      <c r="BO159" s="107"/>
    </row>
    <row r="160" customFormat="false" ht="15" hidden="false" customHeight="true" outlineLevel="0" collapsed="false">
      <c r="B160" s="207"/>
      <c r="C160" s="143"/>
      <c r="D160" s="143"/>
      <c r="E160" s="149"/>
      <c r="F160" s="149"/>
      <c r="G160" s="212"/>
      <c r="H160" s="78"/>
      <c r="I160" s="53"/>
      <c r="J160" s="153"/>
      <c r="K160" s="49"/>
      <c r="L160" s="50"/>
      <c r="M160" s="51"/>
      <c r="N160" s="52"/>
      <c r="O160" s="53"/>
      <c r="P160" s="54"/>
      <c r="Q160" s="52"/>
      <c r="R160" s="53"/>
      <c r="S160" s="54"/>
      <c r="T160" s="84"/>
      <c r="U160" s="56"/>
      <c r="V160" s="51"/>
      <c r="W160" s="52"/>
      <c r="X160" s="103"/>
      <c r="Y160" s="54"/>
      <c r="Z160" s="84"/>
      <c r="AA160" s="50"/>
      <c r="AB160" s="84"/>
      <c r="AC160" s="108"/>
      <c r="AD160" s="103"/>
      <c r="AE160" s="87"/>
      <c r="AF160" s="49"/>
      <c r="AG160" s="50"/>
      <c r="AH160" s="51"/>
      <c r="AI160" s="84"/>
      <c r="AJ160" s="154"/>
      <c r="AK160" s="51"/>
      <c r="AL160" s="78"/>
      <c r="AM160" s="53"/>
      <c r="AN160" s="54"/>
      <c r="AO160" s="154"/>
      <c r="AP160" s="50"/>
      <c r="AQ160" s="51"/>
      <c r="AR160" s="108"/>
      <c r="AS160" s="153"/>
      <c r="AT160" s="87"/>
      <c r="AU160" s="105"/>
      <c r="AV160" s="106"/>
      <c r="AW160" s="107"/>
      <c r="AX160" s="108"/>
      <c r="AY160" s="109"/>
      <c r="AZ160" s="87"/>
      <c r="BA160" s="105"/>
      <c r="BB160" s="106"/>
      <c r="BC160" s="107"/>
      <c r="BD160" s="110"/>
      <c r="BE160" s="53"/>
      <c r="BF160" s="87"/>
      <c r="BG160" s="105"/>
      <c r="BH160" s="106"/>
      <c r="BI160" s="107"/>
      <c r="BJ160" s="108"/>
      <c r="BK160" s="109"/>
      <c r="BL160" s="87"/>
      <c r="BM160" s="105"/>
      <c r="BN160" s="106"/>
      <c r="BO160" s="107"/>
    </row>
    <row r="161" customFormat="false" ht="15" hidden="false" customHeight="true" outlineLevel="0" collapsed="false">
      <c r="B161" s="207"/>
      <c r="C161" s="143"/>
      <c r="D161" s="143"/>
      <c r="E161" s="149"/>
      <c r="F161" s="149"/>
      <c r="G161" s="212"/>
      <c r="H161" s="78"/>
      <c r="I161" s="53"/>
      <c r="J161" s="153"/>
      <c r="K161" s="49"/>
      <c r="L161" s="50"/>
      <c r="M161" s="51"/>
      <c r="N161" s="52"/>
      <c r="O161" s="53"/>
      <c r="P161" s="54"/>
      <c r="Q161" s="52"/>
      <c r="R161" s="53"/>
      <c r="S161" s="54"/>
      <c r="T161" s="84"/>
      <c r="U161" s="56"/>
      <c r="V161" s="51"/>
      <c r="W161" s="52"/>
      <c r="X161" s="103"/>
      <c r="Y161" s="54"/>
      <c r="Z161" s="84"/>
      <c r="AA161" s="50"/>
      <c r="AB161" s="84"/>
      <c r="AC161" s="108"/>
      <c r="AD161" s="103"/>
      <c r="AE161" s="87"/>
      <c r="AF161" s="49"/>
      <c r="AG161" s="50"/>
      <c r="AH161" s="51"/>
      <c r="AI161" s="84"/>
      <c r="AJ161" s="154"/>
      <c r="AK161" s="51"/>
      <c r="AL161" s="78"/>
      <c r="AM161" s="53"/>
      <c r="AN161" s="54"/>
      <c r="AO161" s="154"/>
      <c r="AP161" s="50"/>
      <c r="AQ161" s="51"/>
      <c r="AR161" s="108"/>
      <c r="AS161" s="153"/>
      <c r="AT161" s="87"/>
      <c r="AU161" s="105"/>
      <c r="AV161" s="106"/>
      <c r="AW161" s="107"/>
      <c r="AX161" s="108"/>
      <c r="AY161" s="109"/>
      <c r="AZ161" s="87"/>
      <c r="BA161" s="105"/>
      <c r="BB161" s="106"/>
      <c r="BC161" s="107"/>
      <c r="BD161" s="110"/>
      <c r="BE161" s="53"/>
      <c r="BF161" s="87"/>
      <c r="BG161" s="105"/>
      <c r="BH161" s="106"/>
      <c r="BI161" s="107"/>
      <c r="BJ161" s="108"/>
      <c r="BK161" s="109"/>
      <c r="BL161" s="87"/>
      <c r="BM161" s="105"/>
      <c r="BN161" s="106"/>
      <c r="BO161" s="107"/>
    </row>
    <row r="162" customFormat="false" ht="15" hidden="false" customHeight="true" outlineLevel="0" collapsed="false">
      <c r="B162" s="207"/>
      <c r="C162" s="143"/>
      <c r="D162" s="143"/>
      <c r="E162" s="149"/>
      <c r="F162" s="149"/>
      <c r="G162" s="212"/>
      <c r="H162" s="78"/>
      <c r="I162" s="53"/>
      <c r="J162" s="153"/>
      <c r="K162" s="49"/>
      <c r="L162" s="50"/>
      <c r="M162" s="51"/>
      <c r="N162" s="52"/>
      <c r="O162" s="53"/>
      <c r="P162" s="54"/>
      <c r="Q162" s="52"/>
      <c r="R162" s="53"/>
      <c r="S162" s="54"/>
      <c r="T162" s="84"/>
      <c r="U162" s="56"/>
      <c r="V162" s="51"/>
      <c r="W162" s="52"/>
      <c r="X162" s="103"/>
      <c r="Y162" s="54"/>
      <c r="Z162" s="84"/>
      <c r="AA162" s="50"/>
      <c r="AB162" s="84"/>
      <c r="AC162" s="108"/>
      <c r="AD162" s="103"/>
      <c r="AE162" s="87"/>
      <c r="AF162" s="49"/>
      <c r="AG162" s="50"/>
      <c r="AH162" s="51"/>
      <c r="AI162" s="84"/>
      <c r="AJ162" s="154"/>
      <c r="AK162" s="51"/>
      <c r="AL162" s="78"/>
      <c r="AM162" s="53"/>
      <c r="AN162" s="54"/>
      <c r="AO162" s="154"/>
      <c r="AP162" s="50"/>
      <c r="AQ162" s="51"/>
      <c r="AR162" s="108"/>
      <c r="AS162" s="153"/>
      <c r="AT162" s="87"/>
      <c r="AU162" s="105"/>
      <c r="AV162" s="106"/>
      <c r="AW162" s="107"/>
      <c r="AX162" s="108"/>
      <c r="AY162" s="109"/>
      <c r="AZ162" s="87"/>
      <c r="BA162" s="105"/>
      <c r="BB162" s="106"/>
      <c r="BC162" s="107"/>
      <c r="BD162" s="110"/>
      <c r="BE162" s="53"/>
      <c r="BF162" s="87"/>
      <c r="BG162" s="105"/>
      <c r="BH162" s="106"/>
      <c r="BI162" s="107"/>
      <c r="BJ162" s="108"/>
      <c r="BK162" s="109"/>
      <c r="BL162" s="87"/>
      <c r="BM162" s="105"/>
      <c r="BN162" s="106"/>
      <c r="BO162" s="107"/>
    </row>
    <row r="163" customFormat="false" ht="15" hidden="false" customHeight="true" outlineLevel="0" collapsed="false">
      <c r="B163" s="207"/>
      <c r="C163" s="213" t="s">
        <v>116</v>
      </c>
      <c r="D163" s="213"/>
      <c r="E163" s="214"/>
      <c r="F163" s="214"/>
      <c r="G163" s="215"/>
      <c r="H163" s="205" t="s">
        <v>46</v>
      </c>
      <c r="I163" s="124"/>
      <c r="J163" s="119" t="s">
        <v>46</v>
      </c>
      <c r="K163" s="120" t="s">
        <v>46</v>
      </c>
      <c r="L163" s="121"/>
      <c r="M163" s="122" t="s">
        <v>46</v>
      </c>
      <c r="N163" s="123" t="s">
        <v>46</v>
      </c>
      <c r="O163" s="124"/>
      <c r="P163" s="125" t="s">
        <v>46</v>
      </c>
      <c r="Q163" s="123" t="s">
        <v>46</v>
      </c>
      <c r="R163" s="124"/>
      <c r="S163" s="125" t="s">
        <v>46</v>
      </c>
      <c r="T163" s="120" t="n">
        <v>90</v>
      </c>
      <c r="U163" s="121" t="n">
        <f aca="false">AVERAGEA(T163,V163)</f>
        <v>90</v>
      </c>
      <c r="V163" s="122" t="n">
        <v>90</v>
      </c>
      <c r="W163" s="129" t="s">
        <v>60</v>
      </c>
      <c r="X163" s="119"/>
      <c r="Y163" s="131" t="s">
        <v>60</v>
      </c>
      <c r="Z163" s="164" t="s">
        <v>59</v>
      </c>
      <c r="AA163" s="121"/>
      <c r="AB163" s="228" t="s">
        <v>59</v>
      </c>
      <c r="AC163" s="129" t="s">
        <v>60</v>
      </c>
      <c r="AD163" s="119"/>
      <c r="AE163" s="131" t="s">
        <v>60</v>
      </c>
      <c r="AF163" s="120" t="s">
        <v>59</v>
      </c>
      <c r="AG163" s="121"/>
      <c r="AH163" s="122" t="s">
        <v>59</v>
      </c>
      <c r="AI163" s="164" t="s">
        <v>59</v>
      </c>
      <c r="AJ163" s="165"/>
      <c r="AK163" s="122" t="s">
        <v>59</v>
      </c>
      <c r="AL163" s="205" t="n">
        <v>2694</v>
      </c>
      <c r="AM163" s="124" t="n">
        <f aca="false">AVERAGEA(AN163, AL163)</f>
        <v>4820.5</v>
      </c>
      <c r="AN163" s="125" t="n">
        <v>6947</v>
      </c>
      <c r="AO163" s="165" t="s">
        <v>59</v>
      </c>
      <c r="AP163" s="121"/>
      <c r="AQ163" s="122" t="s">
        <v>59</v>
      </c>
      <c r="AR163" s="129" t="s">
        <v>60</v>
      </c>
      <c r="AS163" s="119"/>
      <c r="AT163" s="131" t="s">
        <v>60</v>
      </c>
      <c r="AU163" s="126" t="s">
        <v>59</v>
      </c>
      <c r="AV163" s="127"/>
      <c r="AW163" s="128" t="s">
        <v>59</v>
      </c>
      <c r="AX163" s="129" t="s">
        <v>60</v>
      </c>
      <c r="AY163" s="130"/>
      <c r="AZ163" s="131" t="s">
        <v>60</v>
      </c>
      <c r="BA163" s="126" t="s">
        <v>59</v>
      </c>
      <c r="BB163" s="127"/>
      <c r="BC163" s="128" t="s">
        <v>59</v>
      </c>
      <c r="BD163" s="229" t="s">
        <v>60</v>
      </c>
      <c r="BE163" s="124"/>
      <c r="BF163" s="131" t="s">
        <v>60</v>
      </c>
      <c r="BG163" s="126" t="s">
        <v>59</v>
      </c>
      <c r="BH163" s="127"/>
      <c r="BI163" s="128" t="s">
        <v>59</v>
      </c>
      <c r="BJ163" s="129" t="s">
        <v>59</v>
      </c>
      <c r="BK163" s="130"/>
      <c r="BL163" s="131" t="s">
        <v>59</v>
      </c>
      <c r="BM163" s="126" t="s">
        <v>59</v>
      </c>
      <c r="BN163" s="127"/>
      <c r="BO163" s="128" t="s">
        <v>59</v>
      </c>
    </row>
    <row r="164" customFormat="false" ht="15" hidden="false" customHeight="true" outlineLevel="0" collapsed="false">
      <c r="B164" s="230" t="s">
        <v>117</v>
      </c>
      <c r="C164" s="174" t="s">
        <v>118</v>
      </c>
      <c r="D164" s="42" t="s">
        <v>119</v>
      </c>
      <c r="E164" s="177"/>
      <c r="F164" s="44" t="s">
        <v>120</v>
      </c>
      <c r="G164" s="216"/>
      <c r="H164" s="58" t="n">
        <v>16</v>
      </c>
      <c r="I164" s="74" t="n">
        <f aca="false">AVERAGEA(H164,J164)</f>
        <v>19</v>
      </c>
      <c r="J164" s="178" t="n">
        <v>22</v>
      </c>
      <c r="K164" s="55" t="s">
        <v>46</v>
      </c>
      <c r="L164" s="56" t="n">
        <f aca="false">AVERAGEA(K164,M164)</f>
        <v>0</v>
      </c>
      <c r="M164" s="57" t="s">
        <v>46</v>
      </c>
      <c r="N164" s="58" t="s">
        <v>46</v>
      </c>
      <c r="O164" s="178" t="n">
        <f aca="false">AVERAGEA(P164, N164)</f>
        <v>0</v>
      </c>
      <c r="P164" s="178" t="s">
        <v>46</v>
      </c>
      <c r="Q164" s="58" t="s">
        <v>46</v>
      </c>
      <c r="R164" s="178" t="n">
        <f aca="false">AVERAGEA(S164, Q164)</f>
        <v>0</v>
      </c>
      <c r="S164" s="178" t="s">
        <v>46</v>
      </c>
      <c r="T164" s="231" t="n">
        <v>8</v>
      </c>
      <c r="U164" s="56" t="n">
        <f aca="false">AVERAGEA(T164,V164)</f>
        <v>15</v>
      </c>
      <c r="V164" s="232" t="n">
        <v>22</v>
      </c>
      <c r="W164" s="108" t="n">
        <v>0</v>
      </c>
      <c r="X164" s="178" t="n">
        <f aca="false">AVERAGEA(Y164, W164)</f>
        <v>0</v>
      </c>
      <c r="Y164" s="87" t="n">
        <v>0</v>
      </c>
      <c r="Z164" s="84" t="n">
        <v>100</v>
      </c>
      <c r="AA164" s="62" t="n">
        <f aca="false">AVERAGEA(AB164, Z164)</f>
        <v>100</v>
      </c>
      <c r="AB164" s="233" t="n">
        <v>100</v>
      </c>
      <c r="AC164" s="108" t="n">
        <v>100</v>
      </c>
      <c r="AD164" s="179" t="n">
        <f aca="false">AVERAGEA(AE164, AC164)</f>
        <v>100</v>
      </c>
      <c r="AE164" s="87" t="n">
        <v>100</v>
      </c>
      <c r="AF164" s="231" t="n">
        <v>0</v>
      </c>
      <c r="AG164" s="62" t="n">
        <f aca="false">AVERAGEA(AH164, AF164)</f>
        <v>0</v>
      </c>
      <c r="AH164" s="232" t="n">
        <v>0</v>
      </c>
      <c r="AI164" s="49" t="n">
        <v>0</v>
      </c>
      <c r="AJ164" s="62" t="n">
        <f aca="false">AVERAGEA(AK164, AI164)</f>
        <v>0</v>
      </c>
      <c r="AK164" s="51" t="n">
        <v>0</v>
      </c>
      <c r="AL164" s="78" t="n">
        <v>1200</v>
      </c>
      <c r="AM164" s="74" t="n">
        <f aca="false">AVERAGEA(AN164, AL164)</f>
        <v>1600</v>
      </c>
      <c r="AN164" s="234" t="n">
        <v>2000</v>
      </c>
      <c r="AO164" s="154" t="n">
        <v>20</v>
      </c>
      <c r="AP164" s="50" t="n">
        <f aca="false">AVERAGEA(AQ164, AO164)</f>
        <v>30</v>
      </c>
      <c r="AQ164" s="232" t="n">
        <v>40</v>
      </c>
      <c r="AR164" s="108" t="n">
        <v>0</v>
      </c>
      <c r="AS164" s="74" t="n">
        <v>0</v>
      </c>
      <c r="AT164" s="87" t="n">
        <v>0</v>
      </c>
      <c r="AU164" s="49" t="n">
        <v>0</v>
      </c>
      <c r="AV164" s="62" t="n">
        <f aca="false">AVERAGEA(AW164, AU164)</f>
        <v>0</v>
      </c>
      <c r="AW164" s="51" t="n">
        <v>0</v>
      </c>
      <c r="AX164" s="108" t="n">
        <v>0</v>
      </c>
      <c r="AY164" s="74" t="n">
        <v>0</v>
      </c>
      <c r="AZ164" s="87" t="n">
        <v>0</v>
      </c>
      <c r="BA164" s="49" t="n">
        <v>0</v>
      </c>
      <c r="BB164" s="62" t="n">
        <f aca="false">AVERAGEA(BC164, BA164)</f>
        <v>0</v>
      </c>
      <c r="BC164" s="51" t="n">
        <v>0</v>
      </c>
      <c r="BD164" s="108" t="n">
        <v>0</v>
      </c>
      <c r="BE164" s="74" t="n">
        <v>0</v>
      </c>
      <c r="BF164" s="87" t="n">
        <v>0</v>
      </c>
      <c r="BG164" s="49" t="n">
        <v>0</v>
      </c>
      <c r="BH164" s="62" t="n">
        <f aca="false">AVERAGEA(BI164, BG164)</f>
        <v>0</v>
      </c>
      <c r="BI164" s="51" t="n">
        <v>0</v>
      </c>
      <c r="BJ164" s="108" t="n">
        <v>0</v>
      </c>
      <c r="BK164" s="74" t="n">
        <v>0</v>
      </c>
      <c r="BL164" s="87" t="n">
        <v>0</v>
      </c>
      <c r="BM164" s="49" t="n">
        <v>0</v>
      </c>
      <c r="BN164" s="62" t="n">
        <f aca="false">AVERAGEA(BO164, BM164)</f>
        <v>0</v>
      </c>
      <c r="BO164" s="51" t="n">
        <v>0</v>
      </c>
    </row>
    <row r="165" customFormat="false" ht="15" hidden="false" customHeight="true" outlineLevel="0" collapsed="false">
      <c r="B165" s="230"/>
      <c r="C165" s="174" t="s">
        <v>121</v>
      </c>
      <c r="D165" s="85" t="s">
        <v>122</v>
      </c>
      <c r="E165" s="202"/>
      <c r="F165" s="44" t="s">
        <v>123</v>
      </c>
      <c r="G165" s="235"/>
      <c r="H165" s="78" t="n">
        <v>17</v>
      </c>
      <c r="I165" s="74" t="n">
        <f aca="false">AVERAGEA(H165,J165)</f>
        <v>20</v>
      </c>
      <c r="J165" s="153" t="n">
        <v>23</v>
      </c>
      <c r="K165" s="49" t="s">
        <v>46</v>
      </c>
      <c r="L165" s="56" t="n">
        <f aca="false">AVERAGEA(K165,M165)</f>
        <v>0</v>
      </c>
      <c r="M165" s="51" t="s">
        <v>46</v>
      </c>
      <c r="N165" s="78" t="s">
        <v>46</v>
      </c>
      <c r="O165" s="153" t="n">
        <f aca="false">AVERAGEA(P165, N165)</f>
        <v>0</v>
      </c>
      <c r="P165" s="153" t="s">
        <v>46</v>
      </c>
      <c r="Q165" s="78" t="s">
        <v>46</v>
      </c>
      <c r="R165" s="153" t="n">
        <f aca="false">AVERAGEA(S165, Q165)</f>
        <v>0</v>
      </c>
      <c r="S165" s="153" t="s">
        <v>46</v>
      </c>
      <c r="T165" s="231" t="n">
        <v>10</v>
      </c>
      <c r="U165" s="56" t="n">
        <f aca="false">AVERAGEA(T165,V165)</f>
        <v>18</v>
      </c>
      <c r="V165" s="232" t="n">
        <v>26</v>
      </c>
      <c r="W165" s="108" t="n">
        <v>0</v>
      </c>
      <c r="X165" s="153" t="n">
        <f aca="false">AVERAGEA(Y165, W165)</f>
        <v>0</v>
      </c>
      <c r="Y165" s="87" t="n">
        <v>0</v>
      </c>
      <c r="Z165" s="84" t="n">
        <v>100</v>
      </c>
      <c r="AA165" s="197" t="n">
        <f aca="false">AVERAGEA(AB165, Z165)</f>
        <v>100</v>
      </c>
      <c r="AB165" s="233" t="n">
        <v>100</v>
      </c>
      <c r="AC165" s="108" t="n">
        <v>100</v>
      </c>
      <c r="AD165" s="103" t="n">
        <f aca="false">AVERAGEA(AE165, AC165)</f>
        <v>100</v>
      </c>
      <c r="AE165" s="87" t="n">
        <v>100</v>
      </c>
      <c r="AF165" s="231" t="n">
        <v>0</v>
      </c>
      <c r="AG165" s="50" t="n">
        <f aca="false">AVERAGEA(AH165, AF165)</f>
        <v>0</v>
      </c>
      <c r="AH165" s="232" t="n">
        <v>0</v>
      </c>
      <c r="AI165" s="49" t="n">
        <v>0</v>
      </c>
      <c r="AJ165" s="50" t="n">
        <f aca="false">AVERAGEA(AK165, AI165)</f>
        <v>0</v>
      </c>
      <c r="AK165" s="51" t="n">
        <v>0</v>
      </c>
      <c r="AL165" s="78" t="n">
        <v>900</v>
      </c>
      <c r="AM165" s="53" t="n">
        <f aca="false">AVERAGEA(AN165, AL165)</f>
        <v>1150</v>
      </c>
      <c r="AN165" s="234" t="n">
        <v>1400</v>
      </c>
      <c r="AO165" s="154" t="n">
        <v>15</v>
      </c>
      <c r="AP165" s="56" t="n">
        <f aca="false">AVERAGEA(AQ165, AO165)</f>
        <v>22.5</v>
      </c>
      <c r="AQ165" s="232" t="n">
        <v>30</v>
      </c>
      <c r="AR165" s="108" t="n">
        <v>0</v>
      </c>
      <c r="AS165" s="74" t="n">
        <v>0</v>
      </c>
      <c r="AT165" s="87" t="n">
        <v>0</v>
      </c>
      <c r="AU165" s="49" t="n">
        <v>0</v>
      </c>
      <c r="AV165" s="50" t="n">
        <f aca="false">AVERAGEA(AW165, AU165)</f>
        <v>0</v>
      </c>
      <c r="AW165" s="51" t="n">
        <v>0</v>
      </c>
      <c r="AX165" s="108" t="n">
        <v>0</v>
      </c>
      <c r="AY165" s="74" t="n">
        <v>0</v>
      </c>
      <c r="AZ165" s="87" t="n">
        <v>0</v>
      </c>
      <c r="BA165" s="49" t="n">
        <v>0</v>
      </c>
      <c r="BB165" s="50" t="n">
        <f aca="false">AVERAGEA(BC165, BA165)</f>
        <v>0</v>
      </c>
      <c r="BC165" s="51" t="n">
        <v>0</v>
      </c>
      <c r="BD165" s="108" t="n">
        <v>0</v>
      </c>
      <c r="BE165" s="74" t="n">
        <v>0</v>
      </c>
      <c r="BF165" s="87" t="n">
        <v>0</v>
      </c>
      <c r="BG165" s="49" t="n">
        <v>0</v>
      </c>
      <c r="BH165" s="50" t="n">
        <f aca="false">AVERAGEA(BI165, BG165)</f>
        <v>0</v>
      </c>
      <c r="BI165" s="51" t="n">
        <v>0</v>
      </c>
      <c r="BJ165" s="108" t="n">
        <v>0</v>
      </c>
      <c r="BK165" s="74" t="n">
        <v>0</v>
      </c>
      <c r="BL165" s="87" t="n">
        <v>0</v>
      </c>
      <c r="BM165" s="49" t="n">
        <v>0</v>
      </c>
      <c r="BN165" s="50" t="n">
        <f aca="false">AVERAGEA(BO165, BM165)</f>
        <v>0</v>
      </c>
      <c r="BO165" s="51" t="n">
        <v>0</v>
      </c>
    </row>
    <row r="166" customFormat="false" ht="15" hidden="false" customHeight="true" outlineLevel="0" collapsed="false">
      <c r="B166" s="230"/>
      <c r="C166" s="174" t="s">
        <v>124</v>
      </c>
      <c r="D166" s="85" t="s">
        <v>125</v>
      </c>
      <c r="E166" s="202"/>
      <c r="F166" s="44" t="s">
        <v>126</v>
      </c>
      <c r="G166" s="235"/>
      <c r="H166" s="78" t="n">
        <v>18</v>
      </c>
      <c r="I166" s="74" t="n">
        <f aca="false">AVERAGEA(H166,J166)</f>
        <v>21</v>
      </c>
      <c r="J166" s="153" t="n">
        <v>24</v>
      </c>
      <c r="K166" s="49" t="s">
        <v>46</v>
      </c>
      <c r="L166" s="56" t="n">
        <f aca="false">AVERAGEA(K166,M166)</f>
        <v>0</v>
      </c>
      <c r="M166" s="51" t="s">
        <v>46</v>
      </c>
      <c r="N166" s="52" t="s">
        <v>46</v>
      </c>
      <c r="O166" s="153" t="n">
        <f aca="false">AVERAGEA(P166, N166)</f>
        <v>0</v>
      </c>
      <c r="P166" s="54" t="s">
        <v>46</v>
      </c>
      <c r="Q166" s="52" t="s">
        <v>46</v>
      </c>
      <c r="R166" s="153" t="n">
        <f aca="false">AVERAGEA(S166, Q166)</f>
        <v>0</v>
      </c>
      <c r="S166" s="54" t="s">
        <v>46</v>
      </c>
      <c r="T166" s="231" t="n">
        <v>12</v>
      </c>
      <c r="U166" s="56" t="n">
        <f aca="false">AVERAGEA(T166,V166)</f>
        <v>22</v>
      </c>
      <c r="V166" s="232" t="n">
        <v>32</v>
      </c>
      <c r="W166" s="108" t="n">
        <v>0</v>
      </c>
      <c r="X166" s="153" t="n">
        <f aca="false">AVERAGEA(Y166, W166)</f>
        <v>0</v>
      </c>
      <c r="Y166" s="87" t="n">
        <v>0</v>
      </c>
      <c r="Z166" s="84" t="n">
        <v>100</v>
      </c>
      <c r="AA166" s="50" t="n">
        <f aca="false">AVERAGEA(AB166, Z166)</f>
        <v>100</v>
      </c>
      <c r="AB166" s="233" t="n">
        <v>100</v>
      </c>
      <c r="AC166" s="108" t="n">
        <v>100</v>
      </c>
      <c r="AD166" s="103" t="n">
        <f aca="false">AVERAGEA(AE166, AC166)</f>
        <v>100</v>
      </c>
      <c r="AE166" s="87" t="n">
        <v>100</v>
      </c>
      <c r="AF166" s="231" t="n">
        <v>0</v>
      </c>
      <c r="AG166" s="50" t="n">
        <f aca="false">AVERAGEA(AH166, AF166)</f>
        <v>0</v>
      </c>
      <c r="AH166" s="232" t="n">
        <v>0</v>
      </c>
      <c r="AI166" s="49" t="n">
        <v>0</v>
      </c>
      <c r="AJ166" s="50" t="n">
        <f aca="false">AVERAGEA(AK166, AI166)</f>
        <v>0</v>
      </c>
      <c r="AK166" s="51" t="n">
        <v>0</v>
      </c>
      <c r="AL166" s="78" t="n">
        <v>10</v>
      </c>
      <c r="AM166" s="53" t="n">
        <f aca="false">AVERAGEA(AN166, AL166)</f>
        <v>15</v>
      </c>
      <c r="AN166" s="234" t="n">
        <v>20</v>
      </c>
      <c r="AO166" s="154" t="n">
        <v>10</v>
      </c>
      <c r="AP166" s="56" t="n">
        <f aca="false">AVERAGEA(AQ166, AO166)</f>
        <v>15</v>
      </c>
      <c r="AQ166" s="232" t="n">
        <v>20</v>
      </c>
      <c r="AR166" s="108" t="n">
        <v>0</v>
      </c>
      <c r="AS166" s="74" t="n">
        <v>0</v>
      </c>
      <c r="AT166" s="87" t="n">
        <v>0</v>
      </c>
      <c r="AU166" s="49" t="n">
        <v>0</v>
      </c>
      <c r="AV166" s="50" t="n">
        <f aca="false">AVERAGEA(AW166, AU166)</f>
        <v>0</v>
      </c>
      <c r="AW166" s="51" t="n">
        <v>0</v>
      </c>
      <c r="AX166" s="108" t="n">
        <v>0</v>
      </c>
      <c r="AY166" s="74" t="n">
        <v>0</v>
      </c>
      <c r="AZ166" s="87" t="n">
        <v>0</v>
      </c>
      <c r="BA166" s="49" t="n">
        <v>0</v>
      </c>
      <c r="BB166" s="50" t="n">
        <f aca="false">AVERAGEA(BC166, BA166)</f>
        <v>0</v>
      </c>
      <c r="BC166" s="51" t="n">
        <v>0</v>
      </c>
      <c r="BD166" s="108" t="n">
        <v>0</v>
      </c>
      <c r="BE166" s="74" t="n">
        <v>0</v>
      </c>
      <c r="BF166" s="87" t="n">
        <v>0</v>
      </c>
      <c r="BG166" s="49" t="n">
        <v>0</v>
      </c>
      <c r="BH166" s="50" t="n">
        <f aca="false">AVERAGEA(BI166, BG166)</f>
        <v>0</v>
      </c>
      <c r="BI166" s="51" t="n">
        <v>0</v>
      </c>
      <c r="BJ166" s="108" t="n">
        <v>0</v>
      </c>
      <c r="BK166" s="74" t="n">
        <v>0</v>
      </c>
      <c r="BL166" s="87" t="n">
        <v>0</v>
      </c>
      <c r="BM166" s="49" t="n">
        <v>0</v>
      </c>
      <c r="BN166" s="50" t="n">
        <f aca="false">AVERAGEA(BO166, BM166)</f>
        <v>0</v>
      </c>
      <c r="BO166" s="51" t="n">
        <v>0</v>
      </c>
    </row>
    <row r="167" customFormat="false" ht="15" hidden="false" customHeight="true" outlineLevel="0" collapsed="false">
      <c r="A167" s="0" t="n">
        <v>19</v>
      </c>
      <c r="B167" s="230"/>
      <c r="C167" s="174" t="s">
        <v>127</v>
      </c>
      <c r="D167" s="236" t="s">
        <v>128</v>
      </c>
      <c r="E167" s="203"/>
      <c r="F167" s="203" t="s">
        <v>129</v>
      </c>
      <c r="G167" s="224"/>
      <c r="H167" s="205" t="n">
        <v>19</v>
      </c>
      <c r="I167" s="124" t="n">
        <f aca="false">AVERAGEA(H167,J167)</f>
        <v>22</v>
      </c>
      <c r="J167" s="119" t="n">
        <v>25</v>
      </c>
      <c r="K167" s="120" t="s">
        <v>46</v>
      </c>
      <c r="L167" s="121" t="n">
        <f aca="false">AVERAGEA(K167,M167)</f>
        <v>0</v>
      </c>
      <c r="M167" s="122" t="s">
        <v>46</v>
      </c>
      <c r="N167" s="205" t="s">
        <v>46</v>
      </c>
      <c r="O167" s="119" t="n">
        <f aca="false">AVERAGEA(P167, N167)</f>
        <v>0</v>
      </c>
      <c r="P167" s="119" t="s">
        <v>46</v>
      </c>
      <c r="Q167" s="205" t="s">
        <v>46</v>
      </c>
      <c r="R167" s="119" t="n">
        <f aca="false">AVERAGEA(S167, Q167)</f>
        <v>0</v>
      </c>
      <c r="S167" s="119" t="s">
        <v>46</v>
      </c>
      <c r="T167" s="120" t="n">
        <v>15</v>
      </c>
      <c r="U167" s="121" t="n">
        <f aca="false">AVERAGEA(T167,V167)</f>
        <v>27.5</v>
      </c>
      <c r="V167" s="122" t="n">
        <v>40</v>
      </c>
      <c r="W167" s="129" t="n">
        <v>0</v>
      </c>
      <c r="X167" s="119" t="n">
        <f aca="false">AVERAGEA(Y167, W167)</f>
        <v>0</v>
      </c>
      <c r="Y167" s="131" t="n">
        <v>0</v>
      </c>
      <c r="Z167" s="237" t="n">
        <v>100</v>
      </c>
      <c r="AA167" s="121" t="n">
        <f aca="false">AVERAGEA(AB167, Z167)</f>
        <v>100</v>
      </c>
      <c r="AB167" s="238" t="n">
        <v>100</v>
      </c>
      <c r="AC167" s="129" t="n">
        <v>100</v>
      </c>
      <c r="AD167" s="119" t="n">
        <f aca="false">AVERAGEA(AE167, AC167)</f>
        <v>100</v>
      </c>
      <c r="AE167" s="131" t="n">
        <v>100</v>
      </c>
      <c r="AF167" s="120" t="n">
        <v>0</v>
      </c>
      <c r="AG167" s="121" t="n">
        <f aca="false">AVERAGEA(AH167, AF167)</f>
        <v>0</v>
      </c>
      <c r="AH167" s="122" t="n">
        <v>0</v>
      </c>
      <c r="AI167" s="120" t="n">
        <v>0</v>
      </c>
      <c r="AJ167" s="121" t="n">
        <f aca="false">AVERAGEA(AK167, AI167)</f>
        <v>0</v>
      </c>
      <c r="AK167" s="122" t="n">
        <v>0</v>
      </c>
      <c r="AL167" s="205" t="n">
        <v>500</v>
      </c>
      <c r="AM167" s="124" t="n">
        <f aca="false">AVERAGEA(AN167, AL167)</f>
        <v>700</v>
      </c>
      <c r="AN167" s="125" t="n">
        <v>900</v>
      </c>
      <c r="AO167" s="165" t="n">
        <v>8</v>
      </c>
      <c r="AP167" s="121" t="n">
        <f aca="false">AVERAGEA(AQ167, AO167)</f>
        <v>13</v>
      </c>
      <c r="AQ167" s="122" t="n">
        <v>18</v>
      </c>
      <c r="AR167" s="129" t="n">
        <v>0</v>
      </c>
      <c r="AS167" s="124" t="n">
        <f aca="false">AVERAGEA(AT167, AR167)</f>
        <v>0</v>
      </c>
      <c r="AT167" s="131" t="n">
        <v>0</v>
      </c>
      <c r="AU167" s="120" t="n">
        <v>0</v>
      </c>
      <c r="AV167" s="121" t="n">
        <f aca="false">AVERAGEA(AW167, AU167)</f>
        <v>0</v>
      </c>
      <c r="AW167" s="122" t="n">
        <v>0</v>
      </c>
      <c r="AX167" s="129" t="n">
        <v>0</v>
      </c>
      <c r="AY167" s="124" t="n">
        <f aca="false">AVERAGEA(AZ167, AX167)</f>
        <v>0</v>
      </c>
      <c r="AZ167" s="131" t="n">
        <v>0</v>
      </c>
      <c r="BA167" s="120" t="n">
        <v>0</v>
      </c>
      <c r="BB167" s="121" t="n">
        <f aca="false">AVERAGEA(BC167, BA167)</f>
        <v>0</v>
      </c>
      <c r="BC167" s="122" t="n">
        <v>0</v>
      </c>
      <c r="BD167" s="129" t="n">
        <v>0</v>
      </c>
      <c r="BE167" s="124" t="n">
        <f aca="false">AVERAGEA(BF167, BD167)</f>
        <v>0</v>
      </c>
      <c r="BF167" s="131" t="n">
        <v>0</v>
      </c>
      <c r="BG167" s="120" t="n">
        <v>0</v>
      </c>
      <c r="BH167" s="121" t="n">
        <f aca="false">AVERAGEA(BI167, BG167)</f>
        <v>0</v>
      </c>
      <c r="BI167" s="122" t="n">
        <v>0</v>
      </c>
      <c r="BJ167" s="129" t="n">
        <v>0</v>
      </c>
      <c r="BK167" s="124" t="n">
        <f aca="false">AVERAGEA(BL167, BJ167)</f>
        <v>0</v>
      </c>
      <c r="BL167" s="131" t="n">
        <v>0</v>
      </c>
      <c r="BM167" s="120" t="n">
        <v>0</v>
      </c>
      <c r="BN167" s="121" t="n">
        <f aca="false">AVERAGEA(BO167, BM167)</f>
        <v>0</v>
      </c>
      <c r="BO167" s="122" t="n">
        <v>0</v>
      </c>
    </row>
    <row r="168" customFormat="false" ht="15" hidden="false" customHeight="true" outlineLevel="0" collapsed="false">
      <c r="B168" s="239" t="s">
        <v>130</v>
      </c>
      <c r="C168" s="240" t="s">
        <v>131</v>
      </c>
      <c r="D168" s="241" t="s">
        <v>132</v>
      </c>
      <c r="E168" s="242"/>
      <c r="F168" s="243" t="s">
        <v>133</v>
      </c>
      <c r="G168" s="244"/>
      <c r="H168" s="78" t="n">
        <v>49</v>
      </c>
      <c r="I168" s="74" t="n">
        <f aca="false">AVERAGEA(H168,J168)</f>
        <v>52</v>
      </c>
      <c r="J168" s="245" t="n">
        <v>55</v>
      </c>
      <c r="K168" s="55" t="s">
        <v>46</v>
      </c>
      <c r="L168" s="56" t="n">
        <f aca="false">AVERAGEA(M168, K168)</f>
        <v>0</v>
      </c>
      <c r="M168" s="57" t="s">
        <v>46</v>
      </c>
      <c r="N168" s="78" t="s">
        <v>46</v>
      </c>
      <c r="O168" s="74" t="n">
        <f aca="false">AVERAGEA(N168,P168)</f>
        <v>0</v>
      </c>
      <c r="P168" s="245" t="s">
        <v>46</v>
      </c>
      <c r="Q168" s="78" t="s">
        <v>46</v>
      </c>
      <c r="R168" s="74" t="n">
        <f aca="false">AVERAGEA(Q168,S168)</f>
        <v>0</v>
      </c>
      <c r="S168" s="245" t="s">
        <v>46</v>
      </c>
      <c r="T168" s="55" t="n">
        <v>40</v>
      </c>
      <c r="U168" s="56" t="n">
        <f aca="false">AVERAGEA(V168, T168)</f>
        <v>47.5</v>
      </c>
      <c r="V168" s="57" t="n">
        <v>55</v>
      </c>
      <c r="W168" s="78" t="n">
        <v>0</v>
      </c>
      <c r="X168" s="74" t="n">
        <f aca="false">AVERAGEA(W168,Y168)</f>
        <v>0</v>
      </c>
      <c r="Y168" s="245" t="n">
        <v>0</v>
      </c>
      <c r="Z168" s="55" t="n">
        <v>20</v>
      </c>
      <c r="AA168" s="56" t="n">
        <f aca="false">AVERAGEA(AB168, Z168)</f>
        <v>35</v>
      </c>
      <c r="AB168" s="57" t="n">
        <v>50</v>
      </c>
      <c r="AC168" s="78" t="n">
        <v>20</v>
      </c>
      <c r="AD168" s="74" t="n">
        <f aca="false">AVERAGEA(AC168,AE168)</f>
        <v>35</v>
      </c>
      <c r="AE168" s="245" t="n">
        <v>50</v>
      </c>
      <c r="AF168" s="55" t="n">
        <v>0</v>
      </c>
      <c r="AG168" s="56" t="n">
        <f aca="false">AVERAGEA(AH168, AF168)</f>
        <v>0</v>
      </c>
      <c r="AH168" s="57" t="n">
        <v>0</v>
      </c>
      <c r="AI168" s="55" t="n">
        <v>0</v>
      </c>
      <c r="AJ168" s="56" t="n">
        <f aca="false">AVERAGEA(AK168, AI168)</f>
        <v>0</v>
      </c>
      <c r="AK168" s="57" t="n">
        <v>0</v>
      </c>
      <c r="AL168" s="78" t="n">
        <v>2000</v>
      </c>
      <c r="AM168" s="74" t="n">
        <f aca="false">AVERAGEA(AL168,AN168)</f>
        <v>2500</v>
      </c>
      <c r="AN168" s="245" t="n">
        <v>3000</v>
      </c>
      <c r="AO168" s="55" t="n">
        <v>60</v>
      </c>
      <c r="AP168" s="56" t="n">
        <f aca="false">AVERAGEA(AQ168, AO168)</f>
        <v>85</v>
      </c>
      <c r="AQ168" s="57" t="n">
        <v>110</v>
      </c>
      <c r="AR168" s="78" t="n">
        <v>3</v>
      </c>
      <c r="AS168" s="74" t="n">
        <f aca="false">AVERAGEA(AR168,AT168)</f>
        <v>6</v>
      </c>
      <c r="AT168" s="245" t="n">
        <v>9</v>
      </c>
      <c r="AU168" s="55" t="n">
        <v>0</v>
      </c>
      <c r="AV168" s="56" t="n">
        <f aca="false">AVERAGEA(AW168, AU168)</f>
        <v>0</v>
      </c>
      <c r="AW168" s="57" t="n">
        <v>0</v>
      </c>
      <c r="AX168" s="78" t="n">
        <v>0</v>
      </c>
      <c r="AY168" s="74" t="n">
        <f aca="false">AVERAGEA(AX168,AZ168)</f>
        <v>0</v>
      </c>
      <c r="AZ168" s="245" t="n">
        <v>0</v>
      </c>
      <c r="BA168" s="55" t="n">
        <v>0</v>
      </c>
      <c r="BB168" s="56" t="n">
        <f aca="false">AVERAGEA(BC168, BA168)</f>
        <v>0</v>
      </c>
      <c r="BC168" s="57" t="n">
        <v>0</v>
      </c>
      <c r="BD168" s="78" t="n">
        <v>0</v>
      </c>
      <c r="BE168" s="74" t="n">
        <f aca="false">AVERAGEA(BD168,BF168)</f>
        <v>0</v>
      </c>
      <c r="BF168" s="245" t="n">
        <v>0</v>
      </c>
      <c r="BG168" s="55" t="n">
        <v>0</v>
      </c>
      <c r="BH168" s="56" t="n">
        <f aca="false">AVERAGEA(BI168, BG168)</f>
        <v>0</v>
      </c>
      <c r="BI168" s="57" t="n">
        <v>0</v>
      </c>
      <c r="BJ168" s="78" t="n">
        <v>0</v>
      </c>
      <c r="BK168" s="74" t="n">
        <f aca="false">AVERAGEA(BJ168,BL168)</f>
        <v>0</v>
      </c>
      <c r="BL168" s="245" t="n">
        <v>0</v>
      </c>
      <c r="BM168" s="55" t="n">
        <v>0</v>
      </c>
      <c r="BN168" s="56" t="n">
        <f aca="false">AVERAGEA(BO168, BM168)</f>
        <v>0</v>
      </c>
      <c r="BO168" s="57" t="n">
        <v>0</v>
      </c>
    </row>
    <row r="169" customFormat="false" ht="15" hidden="false" customHeight="true" outlineLevel="0" collapsed="false">
      <c r="B169" s="239"/>
      <c r="C169" s="240"/>
      <c r="D169" s="241"/>
      <c r="E169" s="242"/>
      <c r="F169" s="243" t="s">
        <v>134</v>
      </c>
      <c r="G169" s="246"/>
      <c r="H169" s="78" t="n">
        <v>47</v>
      </c>
      <c r="I169" s="74" t="n">
        <f aca="false">AVERAGEA(H169,J169)</f>
        <v>50</v>
      </c>
      <c r="J169" s="245" t="n">
        <v>53</v>
      </c>
      <c r="K169" s="49" t="s">
        <v>46</v>
      </c>
      <c r="L169" s="56" t="n">
        <f aca="false">AVERAGEA(M169, K169)</f>
        <v>0</v>
      </c>
      <c r="M169" s="51" t="s">
        <v>46</v>
      </c>
      <c r="N169" s="78" t="s">
        <v>46</v>
      </c>
      <c r="O169" s="74" t="n">
        <f aca="false">AVERAGEA(N169,P169)</f>
        <v>0</v>
      </c>
      <c r="P169" s="245" t="s">
        <v>46</v>
      </c>
      <c r="Q169" s="78" t="s">
        <v>46</v>
      </c>
      <c r="R169" s="74" t="n">
        <f aca="false">AVERAGEA(Q169,S169)</f>
        <v>0</v>
      </c>
      <c r="S169" s="245" t="s">
        <v>46</v>
      </c>
      <c r="T169" s="49" t="n">
        <v>38</v>
      </c>
      <c r="U169" s="56" t="n">
        <f aca="false">AVERAGEA(V169, T169)</f>
        <v>45</v>
      </c>
      <c r="V169" s="51" t="n">
        <v>52</v>
      </c>
      <c r="W169" s="78" t="n">
        <v>0</v>
      </c>
      <c r="X169" s="74" t="n">
        <f aca="false">AVERAGEA(W169,Y169)</f>
        <v>0</v>
      </c>
      <c r="Y169" s="245" t="n">
        <v>0</v>
      </c>
      <c r="Z169" s="49" t="n">
        <v>20</v>
      </c>
      <c r="AA169" s="56" t="n">
        <f aca="false">AVERAGEA(AB169, Z169)</f>
        <v>35</v>
      </c>
      <c r="AB169" s="51" t="n">
        <v>50</v>
      </c>
      <c r="AC169" s="78" t="n">
        <v>20</v>
      </c>
      <c r="AD169" s="74" t="n">
        <f aca="false">AVERAGEA(AC169,AE169)</f>
        <v>35</v>
      </c>
      <c r="AE169" s="245" t="n">
        <v>50</v>
      </c>
      <c r="AF169" s="49" t="n">
        <v>0</v>
      </c>
      <c r="AG169" s="56" t="n">
        <f aca="false">AVERAGEA(AH169, AF169)</f>
        <v>0</v>
      </c>
      <c r="AH169" s="51" t="n">
        <v>0</v>
      </c>
      <c r="AI169" s="49" t="n">
        <v>0</v>
      </c>
      <c r="AJ169" s="56" t="n">
        <f aca="false">AVERAGEA(AK169, AI169)</f>
        <v>0</v>
      </c>
      <c r="AK169" s="51" t="n">
        <v>0</v>
      </c>
      <c r="AL169" s="78" t="n">
        <v>2200</v>
      </c>
      <c r="AM169" s="74" t="n">
        <f aca="false">AVERAGEA(AL169,AN169)</f>
        <v>2850</v>
      </c>
      <c r="AN169" s="245" t="n">
        <v>3500</v>
      </c>
      <c r="AO169" s="49" t="n">
        <v>70</v>
      </c>
      <c r="AP169" s="56" t="n">
        <f aca="false">AVERAGEA(AQ169, AO169)</f>
        <v>95</v>
      </c>
      <c r="AQ169" s="51" t="n">
        <v>120</v>
      </c>
      <c r="AR169" s="78" t="n">
        <v>4</v>
      </c>
      <c r="AS169" s="74" t="n">
        <f aca="false">AVERAGEA(AR169,AT169)</f>
        <v>7</v>
      </c>
      <c r="AT169" s="245" t="n">
        <v>10</v>
      </c>
      <c r="AU169" s="49" t="n">
        <v>0</v>
      </c>
      <c r="AV169" s="56" t="n">
        <f aca="false">AVERAGEA(AW169, AU169)</f>
        <v>0</v>
      </c>
      <c r="AW169" s="51" t="n">
        <v>0</v>
      </c>
      <c r="AX169" s="78" t="n">
        <v>0</v>
      </c>
      <c r="AY169" s="74" t="n">
        <f aca="false">AVERAGEA(AX169,AZ169)</f>
        <v>0</v>
      </c>
      <c r="AZ169" s="245" t="n">
        <v>0</v>
      </c>
      <c r="BA169" s="49" t="n">
        <v>0</v>
      </c>
      <c r="BB169" s="56" t="n">
        <f aca="false">AVERAGEA(BC169, BA169)</f>
        <v>0</v>
      </c>
      <c r="BC169" s="51" t="n">
        <v>0</v>
      </c>
      <c r="BD169" s="78" t="n">
        <v>0</v>
      </c>
      <c r="BE169" s="74" t="n">
        <f aca="false">AVERAGEA(BD169,BF169)</f>
        <v>0</v>
      </c>
      <c r="BF169" s="245" t="n">
        <v>0</v>
      </c>
      <c r="BG169" s="49" t="n">
        <v>0</v>
      </c>
      <c r="BH169" s="56" t="n">
        <f aca="false">AVERAGEA(BI169, BG169)</f>
        <v>0</v>
      </c>
      <c r="BI169" s="51" t="n">
        <v>0</v>
      </c>
      <c r="BJ169" s="78" t="n">
        <v>0</v>
      </c>
      <c r="BK169" s="74" t="n">
        <f aca="false">AVERAGEA(BJ169,BL169)</f>
        <v>0</v>
      </c>
      <c r="BL169" s="245" t="n">
        <v>0</v>
      </c>
      <c r="BM169" s="49" t="n">
        <v>0</v>
      </c>
      <c r="BN169" s="56" t="n">
        <f aca="false">AVERAGEA(BO169, BM169)</f>
        <v>0</v>
      </c>
      <c r="BO169" s="51" t="n">
        <v>0</v>
      </c>
    </row>
    <row r="170" customFormat="false" ht="15" hidden="false" customHeight="true" outlineLevel="0" collapsed="false">
      <c r="B170" s="239"/>
      <c r="C170" s="240"/>
      <c r="D170" s="241"/>
      <c r="E170" s="242"/>
      <c r="F170" s="247" t="s">
        <v>135</v>
      </c>
      <c r="G170" s="248"/>
      <c r="H170" s="205" t="n">
        <v>45</v>
      </c>
      <c r="I170" s="124" t="n">
        <f aca="false">AVERAGEA(H170,J170)</f>
        <v>48</v>
      </c>
      <c r="J170" s="119" t="n">
        <v>51</v>
      </c>
      <c r="K170" s="120" t="s">
        <v>46</v>
      </c>
      <c r="L170" s="121" t="n">
        <f aca="false">AVERAGEA(K170,M170)</f>
        <v>0</v>
      </c>
      <c r="M170" s="122" t="s">
        <v>46</v>
      </c>
      <c r="N170" s="205" t="s">
        <v>46</v>
      </c>
      <c r="O170" s="124" t="n">
        <f aca="false">AVERAGEA(N170,P170)</f>
        <v>0</v>
      </c>
      <c r="P170" s="119" t="s">
        <v>46</v>
      </c>
      <c r="Q170" s="205" t="s">
        <v>46</v>
      </c>
      <c r="R170" s="124" t="n">
        <f aca="false">AVERAGEA(Q170,S170)</f>
        <v>0</v>
      </c>
      <c r="S170" s="119" t="s">
        <v>46</v>
      </c>
      <c r="T170" s="120" t="n">
        <v>35</v>
      </c>
      <c r="U170" s="121" t="n">
        <f aca="false">AVERAGEA(T170,V170)</f>
        <v>42.5</v>
      </c>
      <c r="V170" s="122" t="n">
        <v>50</v>
      </c>
      <c r="W170" s="205" t="n">
        <v>0</v>
      </c>
      <c r="X170" s="124" t="n">
        <f aca="false">AVERAGEA(W170,Y170)</f>
        <v>0</v>
      </c>
      <c r="Y170" s="119" t="n">
        <v>0</v>
      </c>
      <c r="Z170" s="120" t="n">
        <v>20</v>
      </c>
      <c r="AA170" s="121" t="n">
        <f aca="false">AVERAGEA(Z170,AB170)</f>
        <v>35</v>
      </c>
      <c r="AB170" s="122" t="n">
        <v>50</v>
      </c>
      <c r="AC170" s="205" t="n">
        <v>20</v>
      </c>
      <c r="AD170" s="124" t="n">
        <f aca="false">AVERAGEA(AC170,AE170)</f>
        <v>35</v>
      </c>
      <c r="AE170" s="119" t="n">
        <v>50</v>
      </c>
      <c r="AF170" s="120" t="n">
        <v>0</v>
      </c>
      <c r="AG170" s="121" t="n">
        <f aca="false">AVERAGEA(AF170,AH170)</f>
        <v>0</v>
      </c>
      <c r="AH170" s="122" t="n">
        <v>0</v>
      </c>
      <c r="AI170" s="120" t="n">
        <v>0</v>
      </c>
      <c r="AJ170" s="121" t="n">
        <f aca="false">AVERAGEA(AI170,AK170)</f>
        <v>0</v>
      </c>
      <c r="AK170" s="122" t="n">
        <v>0</v>
      </c>
      <c r="AL170" s="205" t="n">
        <v>2500</v>
      </c>
      <c r="AM170" s="124" t="n">
        <f aca="false">AVERAGEA(AL170,AN170)</f>
        <v>3250</v>
      </c>
      <c r="AN170" s="119" t="n">
        <v>4000</v>
      </c>
      <c r="AO170" s="120" t="n">
        <v>80</v>
      </c>
      <c r="AP170" s="121" t="n">
        <f aca="false">AVERAGEA(AO170,AQ170)</f>
        <v>110</v>
      </c>
      <c r="AQ170" s="122" t="n">
        <v>140</v>
      </c>
      <c r="AR170" s="205" t="n">
        <v>5</v>
      </c>
      <c r="AS170" s="124" t="n">
        <f aca="false">AVERAGEA(AR170,AT170)</f>
        <v>8.5</v>
      </c>
      <c r="AT170" s="119" t="n">
        <v>12</v>
      </c>
      <c r="AU170" s="120" t="n">
        <v>0</v>
      </c>
      <c r="AV170" s="121" t="n">
        <f aca="false">AVERAGEA(AU170,AW170)</f>
        <v>0</v>
      </c>
      <c r="AW170" s="122" t="n">
        <v>0</v>
      </c>
      <c r="AX170" s="205" t="n">
        <v>0</v>
      </c>
      <c r="AY170" s="124" t="n">
        <f aca="false">AVERAGEA(AX170,AZ170)</f>
        <v>0</v>
      </c>
      <c r="AZ170" s="119" t="n">
        <v>0</v>
      </c>
      <c r="BA170" s="120" t="n">
        <v>0</v>
      </c>
      <c r="BB170" s="121" t="n">
        <f aca="false">AVERAGEA(BA170,BC170)</f>
        <v>0</v>
      </c>
      <c r="BC170" s="122" t="n">
        <v>0</v>
      </c>
      <c r="BD170" s="205" t="n">
        <v>0</v>
      </c>
      <c r="BE170" s="124" t="n">
        <f aca="false">AVERAGEA(BD170,BF170)</f>
        <v>0</v>
      </c>
      <c r="BF170" s="119" t="n">
        <v>0</v>
      </c>
      <c r="BG170" s="120" t="n">
        <v>0</v>
      </c>
      <c r="BH170" s="121" t="n">
        <f aca="false">AVERAGEA(BG170,BI170)</f>
        <v>0</v>
      </c>
      <c r="BI170" s="122" t="n">
        <v>0</v>
      </c>
      <c r="BJ170" s="205" t="n">
        <v>0</v>
      </c>
      <c r="BK170" s="124" t="n">
        <f aca="false">AVERAGEA(BJ170,BL170)</f>
        <v>0</v>
      </c>
      <c r="BL170" s="119" t="n">
        <v>0</v>
      </c>
      <c r="BM170" s="120" t="n">
        <v>0</v>
      </c>
      <c r="BN170" s="121" t="n">
        <f aca="false">AVERAGEA(BM170,BO170)</f>
        <v>0</v>
      </c>
      <c r="BO170" s="122" t="n">
        <v>0</v>
      </c>
    </row>
    <row r="171" customFormat="false" ht="15" hidden="false" customHeight="true" outlineLevel="0" collapsed="false">
      <c r="B171" s="239"/>
      <c r="C171" s="240"/>
      <c r="D171" s="241" t="s">
        <v>136</v>
      </c>
      <c r="E171" s="242"/>
      <c r="F171" s="243" t="s">
        <v>133</v>
      </c>
      <c r="G171" s="244"/>
      <c r="H171" s="78" t="n">
        <v>49</v>
      </c>
      <c r="I171" s="74" t="n">
        <f aca="false">AVERAGEA(H171,J171)</f>
        <v>52</v>
      </c>
      <c r="J171" s="245" t="n">
        <v>55</v>
      </c>
      <c r="K171" s="55" t="s">
        <v>46</v>
      </c>
      <c r="L171" s="56" t="n">
        <f aca="false">AVERAGEA(M171, K171)</f>
        <v>0</v>
      </c>
      <c r="M171" s="57" t="s">
        <v>46</v>
      </c>
      <c r="N171" s="78" t="s">
        <v>46</v>
      </c>
      <c r="O171" s="74" t="n">
        <f aca="false">AVERAGEA(N171,P171)</f>
        <v>0</v>
      </c>
      <c r="P171" s="245" t="s">
        <v>46</v>
      </c>
      <c r="Q171" s="78" t="s">
        <v>46</v>
      </c>
      <c r="R171" s="74" t="n">
        <f aca="false">AVERAGEA(Q171,S171)</f>
        <v>0</v>
      </c>
      <c r="S171" s="245" t="s">
        <v>46</v>
      </c>
      <c r="T171" s="55" t="n">
        <v>40</v>
      </c>
      <c r="U171" s="56" t="n">
        <f aca="false">AVERAGEA(V171, T171)</f>
        <v>47.5</v>
      </c>
      <c r="V171" s="57" t="n">
        <v>55</v>
      </c>
      <c r="W171" s="78" t="n">
        <v>0</v>
      </c>
      <c r="X171" s="74" t="n">
        <f aca="false">AVERAGEA(W171,Y171)</f>
        <v>0</v>
      </c>
      <c r="Y171" s="245" t="n">
        <v>0</v>
      </c>
      <c r="Z171" s="55" t="n">
        <v>20</v>
      </c>
      <c r="AA171" s="56" t="n">
        <f aca="false">AVERAGEA(AB171, Z171)</f>
        <v>35</v>
      </c>
      <c r="AB171" s="57" t="n">
        <v>50</v>
      </c>
      <c r="AC171" s="78" t="n">
        <v>20</v>
      </c>
      <c r="AD171" s="74" t="n">
        <f aca="false">AVERAGEA(AC171,AE171)</f>
        <v>35</v>
      </c>
      <c r="AE171" s="245" t="n">
        <v>50</v>
      </c>
      <c r="AF171" s="55" t="n">
        <v>0</v>
      </c>
      <c r="AG171" s="56" t="n">
        <f aca="false">AVERAGEA(AH171, AF171)</f>
        <v>0</v>
      </c>
      <c r="AH171" s="57" t="n">
        <v>0</v>
      </c>
      <c r="AI171" s="55" t="n">
        <v>0</v>
      </c>
      <c r="AJ171" s="56" t="n">
        <f aca="false">AVERAGEA(AK171, AI171)</f>
        <v>0</v>
      </c>
      <c r="AK171" s="57" t="n">
        <v>0</v>
      </c>
      <c r="AL171" s="78" t="n">
        <f aca="false">AL168*1.25</f>
        <v>2500</v>
      </c>
      <c r="AM171" s="74" t="n">
        <f aca="false">AVERAGEA(AL171,AN171)</f>
        <v>3500</v>
      </c>
      <c r="AN171" s="245" t="n">
        <f aca="false">AN168*1.5</f>
        <v>4500</v>
      </c>
      <c r="AO171" s="55" t="n">
        <f aca="false">AO168*1.2</f>
        <v>72</v>
      </c>
      <c r="AP171" s="56" t="n">
        <f aca="false">AVERAGEA(AQ171, AO171)</f>
        <v>113</v>
      </c>
      <c r="AQ171" s="57" t="n">
        <f aca="false">AQ168*1.4</f>
        <v>154</v>
      </c>
      <c r="AR171" s="78" t="n">
        <f aca="false">AR168*1.2</f>
        <v>3.6</v>
      </c>
      <c r="AS171" s="74" t="n">
        <f aca="false">AVERAGEA(AR171,AT171)</f>
        <v>8.1</v>
      </c>
      <c r="AT171" s="245" t="n">
        <f aca="false">AT168*1.4</f>
        <v>12.6</v>
      </c>
      <c r="AU171" s="55" t="n">
        <v>0</v>
      </c>
      <c r="AV171" s="56" t="n">
        <f aca="false">AVERAGEA(AW171, AU171)</f>
        <v>0</v>
      </c>
      <c r="AW171" s="57" t="n">
        <v>0</v>
      </c>
      <c r="AX171" s="78" t="n">
        <v>0</v>
      </c>
      <c r="AY171" s="74" t="n">
        <f aca="false">AVERAGEA(AX171,AZ171)</f>
        <v>0</v>
      </c>
      <c r="AZ171" s="245" t="n">
        <v>0</v>
      </c>
      <c r="BA171" s="55" t="n">
        <v>0</v>
      </c>
      <c r="BB171" s="56" t="n">
        <f aca="false">AVERAGEA(BC171, BA171)</f>
        <v>0</v>
      </c>
      <c r="BC171" s="57" t="n">
        <v>0</v>
      </c>
      <c r="BD171" s="78" t="n">
        <v>0</v>
      </c>
      <c r="BE171" s="74" t="n">
        <f aca="false">AVERAGEA(BD171,BF171)</f>
        <v>0</v>
      </c>
      <c r="BF171" s="245" t="n">
        <v>0</v>
      </c>
      <c r="BG171" s="55" t="n">
        <v>0</v>
      </c>
      <c r="BH171" s="56" t="n">
        <f aca="false">AVERAGEA(BI171, BG171)</f>
        <v>0</v>
      </c>
      <c r="BI171" s="57" t="n">
        <v>0</v>
      </c>
      <c r="BJ171" s="78" t="n">
        <v>0</v>
      </c>
      <c r="BK171" s="74" t="n">
        <f aca="false">AVERAGEA(BJ171,BL171)</f>
        <v>0</v>
      </c>
      <c r="BL171" s="245" t="n">
        <v>0</v>
      </c>
      <c r="BM171" s="55" t="n">
        <v>0</v>
      </c>
      <c r="BN171" s="56" t="n">
        <f aca="false">AVERAGEA(BO171, BM171)</f>
        <v>0</v>
      </c>
      <c r="BO171" s="57" t="n">
        <v>0</v>
      </c>
    </row>
    <row r="172" customFormat="false" ht="15" hidden="false" customHeight="true" outlineLevel="0" collapsed="false">
      <c r="B172" s="239"/>
      <c r="C172" s="240"/>
      <c r="D172" s="241"/>
      <c r="E172" s="242"/>
      <c r="F172" s="243" t="s">
        <v>134</v>
      </c>
      <c r="G172" s="246"/>
      <c r="H172" s="78" t="n">
        <v>47</v>
      </c>
      <c r="I172" s="74" t="n">
        <f aca="false">AVERAGEA(H172,J172)</f>
        <v>50</v>
      </c>
      <c r="J172" s="245" t="n">
        <v>53</v>
      </c>
      <c r="K172" s="49" t="s">
        <v>46</v>
      </c>
      <c r="L172" s="56" t="n">
        <f aca="false">AVERAGEA(M172, K172)</f>
        <v>0</v>
      </c>
      <c r="M172" s="51" t="s">
        <v>46</v>
      </c>
      <c r="N172" s="78" t="s">
        <v>46</v>
      </c>
      <c r="O172" s="74" t="n">
        <f aca="false">AVERAGEA(N172,P172)</f>
        <v>0</v>
      </c>
      <c r="P172" s="245" t="s">
        <v>46</v>
      </c>
      <c r="Q172" s="78" t="s">
        <v>46</v>
      </c>
      <c r="R172" s="74" t="n">
        <f aca="false">AVERAGEA(Q172,S172)</f>
        <v>0</v>
      </c>
      <c r="S172" s="245" t="s">
        <v>46</v>
      </c>
      <c r="T172" s="49" t="n">
        <v>38</v>
      </c>
      <c r="U172" s="56" t="n">
        <f aca="false">AVERAGEA(V172, T172)</f>
        <v>45</v>
      </c>
      <c r="V172" s="51" t="n">
        <v>52</v>
      </c>
      <c r="W172" s="78" t="n">
        <v>0</v>
      </c>
      <c r="X172" s="74" t="n">
        <f aca="false">AVERAGEA(W172,Y172)</f>
        <v>0</v>
      </c>
      <c r="Y172" s="245" t="n">
        <v>0</v>
      </c>
      <c r="Z172" s="49" t="n">
        <v>20</v>
      </c>
      <c r="AA172" s="56" t="n">
        <f aca="false">AVERAGEA(AB172, Z172)</f>
        <v>35</v>
      </c>
      <c r="AB172" s="51" t="n">
        <v>50</v>
      </c>
      <c r="AC172" s="78" t="n">
        <v>20</v>
      </c>
      <c r="AD172" s="74" t="n">
        <f aca="false">AVERAGEA(AC172,AE172)</f>
        <v>35</v>
      </c>
      <c r="AE172" s="245" t="n">
        <v>50</v>
      </c>
      <c r="AF172" s="49" t="n">
        <v>0</v>
      </c>
      <c r="AG172" s="56" t="n">
        <f aca="false">AVERAGEA(AH172, AF172)</f>
        <v>0</v>
      </c>
      <c r="AH172" s="51" t="n">
        <v>0</v>
      </c>
      <c r="AI172" s="49" t="n">
        <v>0</v>
      </c>
      <c r="AJ172" s="56" t="n">
        <f aca="false">AVERAGEA(AK172, AI172)</f>
        <v>0</v>
      </c>
      <c r="AK172" s="51" t="n">
        <v>0</v>
      </c>
      <c r="AL172" s="78" t="n">
        <f aca="false">AL169*1.25</f>
        <v>2750</v>
      </c>
      <c r="AM172" s="74" t="n">
        <f aca="false">AVERAGEA(AL172,AN172)</f>
        <v>4000</v>
      </c>
      <c r="AN172" s="245" t="n">
        <f aca="false">AN169*1.5</f>
        <v>5250</v>
      </c>
      <c r="AO172" s="49" t="n">
        <f aca="false">AO169*1.2</f>
        <v>84</v>
      </c>
      <c r="AP172" s="56" t="n">
        <f aca="false">AVERAGEA(AQ172, AO172)</f>
        <v>126</v>
      </c>
      <c r="AQ172" s="51" t="n">
        <f aca="false">AQ169*1.4</f>
        <v>168</v>
      </c>
      <c r="AR172" s="78" t="n">
        <f aca="false">AR169*1.2</f>
        <v>4.8</v>
      </c>
      <c r="AS172" s="74" t="n">
        <f aca="false">AVERAGEA(AR172,AT172)</f>
        <v>9.4</v>
      </c>
      <c r="AT172" s="245" t="n">
        <f aca="false">AT169*1.4</f>
        <v>14</v>
      </c>
      <c r="AU172" s="49" t="n">
        <v>0</v>
      </c>
      <c r="AV172" s="56" t="n">
        <f aca="false">AVERAGEA(AW172, AU172)</f>
        <v>0</v>
      </c>
      <c r="AW172" s="51" t="n">
        <v>0</v>
      </c>
      <c r="AX172" s="78" t="n">
        <v>0</v>
      </c>
      <c r="AY172" s="74" t="n">
        <f aca="false">AVERAGEA(AX172,AZ172)</f>
        <v>0</v>
      </c>
      <c r="AZ172" s="245" t="n">
        <v>0</v>
      </c>
      <c r="BA172" s="49" t="n">
        <v>0</v>
      </c>
      <c r="BB172" s="56" t="n">
        <f aca="false">AVERAGEA(BC172, BA172)</f>
        <v>0</v>
      </c>
      <c r="BC172" s="51" t="n">
        <v>0</v>
      </c>
      <c r="BD172" s="78" t="n">
        <v>0</v>
      </c>
      <c r="BE172" s="74" t="n">
        <f aca="false">AVERAGEA(BD172,BF172)</f>
        <v>0</v>
      </c>
      <c r="BF172" s="245" t="n">
        <v>0</v>
      </c>
      <c r="BG172" s="49" t="n">
        <v>0</v>
      </c>
      <c r="BH172" s="56" t="n">
        <f aca="false">AVERAGEA(BI172, BG172)</f>
        <v>0</v>
      </c>
      <c r="BI172" s="51" t="n">
        <v>0</v>
      </c>
      <c r="BJ172" s="78" t="n">
        <v>0</v>
      </c>
      <c r="BK172" s="74" t="n">
        <f aca="false">AVERAGEA(BJ172,BL172)</f>
        <v>0</v>
      </c>
      <c r="BL172" s="245" t="n">
        <v>0</v>
      </c>
      <c r="BM172" s="49" t="n">
        <v>0</v>
      </c>
      <c r="BN172" s="56" t="n">
        <f aca="false">AVERAGEA(BO172, BM172)</f>
        <v>0</v>
      </c>
      <c r="BO172" s="51" t="n">
        <v>0</v>
      </c>
    </row>
    <row r="173" customFormat="false" ht="15" hidden="false" customHeight="true" outlineLevel="0" collapsed="false">
      <c r="B173" s="239"/>
      <c r="C173" s="240"/>
      <c r="D173" s="241"/>
      <c r="E173" s="242"/>
      <c r="F173" s="247" t="s">
        <v>135</v>
      </c>
      <c r="G173" s="248"/>
      <c r="H173" s="205" t="n">
        <v>45</v>
      </c>
      <c r="I173" s="124" t="n">
        <f aca="false">AVERAGEA(H173,J173)</f>
        <v>48</v>
      </c>
      <c r="J173" s="119" t="n">
        <v>51</v>
      </c>
      <c r="K173" s="120" t="s">
        <v>46</v>
      </c>
      <c r="L173" s="121" t="n">
        <f aca="false">AVERAGEA(K173,M173)</f>
        <v>0</v>
      </c>
      <c r="M173" s="122" t="s">
        <v>46</v>
      </c>
      <c r="N173" s="205" t="s">
        <v>46</v>
      </c>
      <c r="O173" s="124" t="n">
        <f aca="false">AVERAGEA(N173,P173)</f>
        <v>0</v>
      </c>
      <c r="P173" s="119" t="s">
        <v>46</v>
      </c>
      <c r="Q173" s="205" t="s">
        <v>46</v>
      </c>
      <c r="R173" s="124" t="n">
        <f aca="false">AVERAGEA(Q173,S173)</f>
        <v>0</v>
      </c>
      <c r="S173" s="119" t="s">
        <v>46</v>
      </c>
      <c r="T173" s="120" t="n">
        <v>35</v>
      </c>
      <c r="U173" s="121" t="n">
        <f aca="false">AVERAGEA(T173,V173)</f>
        <v>42.5</v>
      </c>
      <c r="V173" s="122" t="n">
        <v>50</v>
      </c>
      <c r="W173" s="205" t="n">
        <v>0</v>
      </c>
      <c r="X173" s="124" t="n">
        <f aca="false">AVERAGEA(W173,Y173)</f>
        <v>0</v>
      </c>
      <c r="Y173" s="119" t="n">
        <v>0</v>
      </c>
      <c r="Z173" s="120" t="n">
        <v>20</v>
      </c>
      <c r="AA173" s="121" t="n">
        <f aca="false">AVERAGEA(Z173,AB173)</f>
        <v>35</v>
      </c>
      <c r="AB173" s="122" t="n">
        <v>50</v>
      </c>
      <c r="AC173" s="205" t="n">
        <v>20</v>
      </c>
      <c r="AD173" s="124" t="n">
        <f aca="false">AVERAGEA(AC173,AE173)</f>
        <v>35</v>
      </c>
      <c r="AE173" s="119" t="n">
        <v>50</v>
      </c>
      <c r="AF173" s="120" t="n">
        <v>0</v>
      </c>
      <c r="AG173" s="121" t="n">
        <f aca="false">AVERAGEA(AF173,AH173)</f>
        <v>0</v>
      </c>
      <c r="AH173" s="122" t="n">
        <v>0</v>
      </c>
      <c r="AI173" s="120" t="n">
        <v>0</v>
      </c>
      <c r="AJ173" s="121" t="n">
        <f aca="false">AVERAGEA(AI173,AK173)</f>
        <v>0</v>
      </c>
      <c r="AK173" s="122" t="n">
        <v>0</v>
      </c>
      <c r="AL173" s="205" t="n">
        <f aca="false">AL170*1.25</f>
        <v>3125</v>
      </c>
      <c r="AM173" s="124" t="n">
        <f aca="false">AVERAGEA(AL173,AN173)</f>
        <v>4562.5</v>
      </c>
      <c r="AN173" s="119" t="n">
        <f aca="false">AN170*1.5</f>
        <v>6000</v>
      </c>
      <c r="AO173" s="120" t="n">
        <f aca="false">AO170*1.2</f>
        <v>96</v>
      </c>
      <c r="AP173" s="121" t="n">
        <f aca="false">AVERAGEA(AO173,AQ173)</f>
        <v>146</v>
      </c>
      <c r="AQ173" s="122" t="n">
        <f aca="false">AQ170*1.4</f>
        <v>196</v>
      </c>
      <c r="AR173" s="205" t="n">
        <f aca="false">AR170*1.2</f>
        <v>6</v>
      </c>
      <c r="AS173" s="124" t="n">
        <f aca="false">AVERAGEA(AR173,AT173)</f>
        <v>11.4</v>
      </c>
      <c r="AT173" s="119" t="n">
        <f aca="false">AT170*1.4</f>
        <v>16.8</v>
      </c>
      <c r="AU173" s="120" t="n">
        <v>0</v>
      </c>
      <c r="AV173" s="121" t="n">
        <f aca="false">AVERAGEA(AU173,AW173)</f>
        <v>0</v>
      </c>
      <c r="AW173" s="122" t="n">
        <v>0</v>
      </c>
      <c r="AX173" s="205" t="n">
        <v>0</v>
      </c>
      <c r="AY173" s="124" t="n">
        <f aca="false">AVERAGEA(AX173,AZ173)</f>
        <v>0</v>
      </c>
      <c r="AZ173" s="119" t="n">
        <v>0</v>
      </c>
      <c r="BA173" s="120" t="n">
        <v>0</v>
      </c>
      <c r="BB173" s="121" t="n">
        <f aca="false">AVERAGEA(BA173,BC173)</f>
        <v>0</v>
      </c>
      <c r="BC173" s="122" t="n">
        <v>0</v>
      </c>
      <c r="BD173" s="205" t="n">
        <v>0</v>
      </c>
      <c r="BE173" s="124" t="n">
        <f aca="false">AVERAGEA(BD173,BF173)</f>
        <v>0</v>
      </c>
      <c r="BF173" s="119" t="n">
        <v>0</v>
      </c>
      <c r="BG173" s="120" t="n">
        <v>0</v>
      </c>
      <c r="BH173" s="121" t="n">
        <f aca="false">AVERAGEA(BG173,BI173)</f>
        <v>0</v>
      </c>
      <c r="BI173" s="122" t="n">
        <v>0</v>
      </c>
      <c r="BJ173" s="205" t="n">
        <v>0</v>
      </c>
      <c r="BK173" s="124" t="n">
        <f aca="false">AVERAGEA(BJ173,BL173)</f>
        <v>0</v>
      </c>
      <c r="BL173" s="119" t="n">
        <v>0</v>
      </c>
      <c r="BM173" s="120" t="n">
        <v>0</v>
      </c>
      <c r="BN173" s="121" t="n">
        <f aca="false">AVERAGEA(BM173,BO173)</f>
        <v>0</v>
      </c>
      <c r="BO173" s="122" t="n">
        <v>0</v>
      </c>
    </row>
    <row r="174" customFormat="false" ht="15" hidden="false" customHeight="true" outlineLevel="0" collapsed="false">
      <c r="B174" s="239"/>
      <c r="C174" s="240" t="s">
        <v>137</v>
      </c>
      <c r="D174" s="240" t="s">
        <v>138</v>
      </c>
      <c r="E174" s="242"/>
      <c r="F174" s="243" t="s">
        <v>139</v>
      </c>
      <c r="G174" s="249" t="s">
        <v>140</v>
      </c>
      <c r="H174" s="78" t="n">
        <v>35</v>
      </c>
      <c r="I174" s="74" t="n">
        <f aca="false">AVERAGEA(H174,J174)</f>
        <v>42.5</v>
      </c>
      <c r="J174" s="245" t="n">
        <v>50</v>
      </c>
      <c r="K174" s="49" t="s">
        <v>46</v>
      </c>
      <c r="L174" s="56" t="n">
        <f aca="false">AVERAGEA(M174, K174)</f>
        <v>0</v>
      </c>
      <c r="M174" s="51" t="s">
        <v>46</v>
      </c>
      <c r="N174" s="78" t="s">
        <v>46</v>
      </c>
      <c r="O174" s="74" t="n">
        <f aca="false">AVERAGEA(N174,P174)</f>
        <v>0</v>
      </c>
      <c r="P174" s="245" t="s">
        <v>46</v>
      </c>
      <c r="Q174" s="78" t="s">
        <v>46</v>
      </c>
      <c r="R174" s="74" t="n">
        <f aca="false">AVERAGEA(Q174,S174)</f>
        <v>0</v>
      </c>
      <c r="S174" s="245" t="s">
        <v>46</v>
      </c>
      <c r="T174" s="231" t="n">
        <v>26</v>
      </c>
      <c r="U174" s="56" t="n">
        <f aca="false">AVERAGEA(V174, T174)</f>
        <v>37</v>
      </c>
      <c r="V174" s="232" t="n">
        <v>48</v>
      </c>
      <c r="W174" s="78" t="n">
        <v>0</v>
      </c>
      <c r="X174" s="74" t="n">
        <f aca="false">AVERAGEA(W174,Y174)</f>
        <v>0</v>
      </c>
      <c r="Y174" s="245" t="n">
        <v>0</v>
      </c>
      <c r="Z174" s="231" t="n">
        <v>15</v>
      </c>
      <c r="AA174" s="56" t="n">
        <f aca="false">AVERAGEA(AB174, Z174)</f>
        <v>27.5</v>
      </c>
      <c r="AB174" s="232" t="n">
        <v>40</v>
      </c>
      <c r="AC174" s="78" t="n">
        <v>15</v>
      </c>
      <c r="AD174" s="74" t="n">
        <f aca="false">AVERAGEA(AC174,AE174)</f>
        <v>27.5</v>
      </c>
      <c r="AE174" s="245" t="n">
        <v>40</v>
      </c>
      <c r="AF174" s="231" t="n">
        <v>0</v>
      </c>
      <c r="AG174" s="56" t="n">
        <f aca="false">AVERAGEA(AH174, AF174)</f>
        <v>0</v>
      </c>
      <c r="AH174" s="231" t="n">
        <v>0</v>
      </c>
      <c r="AI174" s="231" t="n">
        <v>0</v>
      </c>
      <c r="AJ174" s="56" t="n">
        <f aca="false">AVERAGEA(AK174, AI174)</f>
        <v>0</v>
      </c>
      <c r="AK174" s="231" t="n">
        <v>0</v>
      </c>
      <c r="AL174" s="78" t="n">
        <v>800</v>
      </c>
      <c r="AM174" s="74" t="n">
        <f aca="false">AVERAGEA(AL174,AN174)</f>
        <v>1050</v>
      </c>
      <c r="AN174" s="245" t="n">
        <v>1300</v>
      </c>
      <c r="AO174" s="231" t="n">
        <v>18</v>
      </c>
      <c r="AP174" s="56" t="n">
        <f aca="false">AVERAGEA(AQ174, AO174)</f>
        <v>29</v>
      </c>
      <c r="AQ174" s="232" t="n">
        <v>40</v>
      </c>
      <c r="AR174" s="78" t="n">
        <v>5</v>
      </c>
      <c r="AS174" s="74" t="n">
        <f aca="false">AVERAGEA(AR174,AT174)</f>
        <v>9.5</v>
      </c>
      <c r="AT174" s="245" t="n">
        <v>14</v>
      </c>
      <c r="AU174" s="231" t="n">
        <v>0</v>
      </c>
      <c r="AV174" s="56" t="n">
        <f aca="false">AVERAGEA(AW174, AU174)</f>
        <v>0</v>
      </c>
      <c r="AW174" s="231" t="n">
        <v>0</v>
      </c>
      <c r="AX174" s="78" t="n">
        <v>0</v>
      </c>
      <c r="AY174" s="74" t="n">
        <f aca="false">AVERAGEA(AX174,AZ174)</f>
        <v>0</v>
      </c>
      <c r="AZ174" s="78" t="n">
        <v>0</v>
      </c>
      <c r="BA174" s="231" t="n">
        <v>0</v>
      </c>
      <c r="BB174" s="56" t="n">
        <f aca="false">AVERAGEA(BC174, BA174)</f>
        <v>0</v>
      </c>
      <c r="BC174" s="231" t="n">
        <v>0</v>
      </c>
      <c r="BD174" s="78" t="n">
        <v>0</v>
      </c>
      <c r="BE174" s="74" t="n">
        <f aca="false">AVERAGEA(BD174,BF174)</f>
        <v>0</v>
      </c>
      <c r="BF174" s="78" t="n">
        <v>0</v>
      </c>
      <c r="BG174" s="231" t="n">
        <v>0</v>
      </c>
      <c r="BH174" s="56" t="n">
        <f aca="false">AVERAGEA(BI174, BG174)</f>
        <v>0</v>
      </c>
      <c r="BI174" s="231" t="n">
        <v>0</v>
      </c>
      <c r="BJ174" s="78" t="n">
        <v>0</v>
      </c>
      <c r="BK174" s="74" t="n">
        <f aca="false">AVERAGEA(BJ174,BL174)</f>
        <v>0</v>
      </c>
      <c r="BL174" s="78" t="n">
        <v>0</v>
      </c>
      <c r="BM174" s="231" t="n">
        <v>0</v>
      </c>
      <c r="BN174" s="56" t="n">
        <f aca="false">AVERAGEA(BO174, BM174)</f>
        <v>0</v>
      </c>
      <c r="BO174" s="231" t="n">
        <v>0</v>
      </c>
    </row>
    <row r="175" customFormat="false" ht="15" hidden="false" customHeight="true" outlineLevel="0" collapsed="false">
      <c r="B175" s="239"/>
      <c r="C175" s="240"/>
      <c r="D175" s="240"/>
      <c r="E175" s="242"/>
      <c r="F175" s="243" t="s">
        <v>141</v>
      </c>
      <c r="G175" s="249"/>
      <c r="H175" s="78" t="n">
        <v>30</v>
      </c>
      <c r="I175" s="74" t="n">
        <f aca="false">AVERAGEA(H175,J175)</f>
        <v>36</v>
      </c>
      <c r="J175" s="245" t="n">
        <v>42</v>
      </c>
      <c r="K175" s="49" t="s">
        <v>46</v>
      </c>
      <c r="L175" s="56" t="n">
        <f aca="false">AVERAGEA(M175, K175)</f>
        <v>0</v>
      </c>
      <c r="M175" s="51" t="s">
        <v>46</v>
      </c>
      <c r="N175" s="78" t="s">
        <v>46</v>
      </c>
      <c r="O175" s="74" t="n">
        <f aca="false">AVERAGEA(N175,P175)</f>
        <v>0</v>
      </c>
      <c r="P175" s="245" t="s">
        <v>46</v>
      </c>
      <c r="Q175" s="78" t="s">
        <v>46</v>
      </c>
      <c r="R175" s="74" t="n">
        <f aca="false">AVERAGEA(Q175,S175)</f>
        <v>0</v>
      </c>
      <c r="S175" s="245" t="s">
        <v>46</v>
      </c>
      <c r="T175" s="231" t="n">
        <v>22</v>
      </c>
      <c r="U175" s="56" t="n">
        <f aca="false">AVERAGEA(V175, T175)</f>
        <v>31</v>
      </c>
      <c r="V175" s="232" t="n">
        <v>40</v>
      </c>
      <c r="W175" s="78" t="n">
        <v>0</v>
      </c>
      <c r="X175" s="74" t="n">
        <f aca="false">AVERAGEA(W175,Y175)</f>
        <v>0</v>
      </c>
      <c r="Y175" s="245" t="n">
        <v>0</v>
      </c>
      <c r="Z175" s="231" t="n">
        <v>15</v>
      </c>
      <c r="AA175" s="56" t="n">
        <f aca="false">AVERAGEA(AB175, Z175)</f>
        <v>27.5</v>
      </c>
      <c r="AB175" s="232" t="n">
        <v>40</v>
      </c>
      <c r="AC175" s="78" t="n">
        <v>15</v>
      </c>
      <c r="AD175" s="74" t="n">
        <f aca="false">AVERAGEA(AC175,AE175)</f>
        <v>27.5</v>
      </c>
      <c r="AE175" s="245" t="n">
        <v>40</v>
      </c>
      <c r="AF175" s="231" t="n">
        <v>0</v>
      </c>
      <c r="AG175" s="56" t="n">
        <f aca="false">AVERAGEA(AH175, AF175)</f>
        <v>0</v>
      </c>
      <c r="AH175" s="231" t="n">
        <v>0</v>
      </c>
      <c r="AI175" s="231" t="n">
        <v>0</v>
      </c>
      <c r="AJ175" s="56" t="n">
        <f aca="false">AVERAGEA(AK175, AI175)</f>
        <v>0</v>
      </c>
      <c r="AK175" s="231" t="n">
        <v>0</v>
      </c>
      <c r="AL175" s="78" t="n">
        <v>900</v>
      </c>
      <c r="AM175" s="74" t="n">
        <f aca="false">AVERAGEA(AL175,AN175)</f>
        <v>1150</v>
      </c>
      <c r="AN175" s="245" t="n">
        <v>1400</v>
      </c>
      <c r="AO175" s="231" t="n">
        <v>20</v>
      </c>
      <c r="AP175" s="56" t="n">
        <f aca="false">AVERAGEA(AQ175, AO175)</f>
        <v>31</v>
      </c>
      <c r="AQ175" s="232" t="n">
        <v>42</v>
      </c>
      <c r="AR175" s="78" t="n">
        <v>6</v>
      </c>
      <c r="AS175" s="74" t="n">
        <f aca="false">AVERAGEA(AR175,AT175)</f>
        <v>10.5</v>
      </c>
      <c r="AT175" s="245" t="n">
        <v>15</v>
      </c>
      <c r="AU175" s="231" t="n">
        <v>0</v>
      </c>
      <c r="AV175" s="56" t="n">
        <f aca="false">AVERAGEA(AW175, AU175)</f>
        <v>0</v>
      </c>
      <c r="AW175" s="231" t="n">
        <v>0</v>
      </c>
      <c r="AX175" s="78" t="n">
        <v>0</v>
      </c>
      <c r="AY175" s="74" t="n">
        <f aca="false">AVERAGEA(AX175,AZ175)</f>
        <v>0</v>
      </c>
      <c r="AZ175" s="78" t="n">
        <v>0</v>
      </c>
      <c r="BA175" s="231" t="n">
        <v>0</v>
      </c>
      <c r="BB175" s="56" t="n">
        <f aca="false">AVERAGEA(BC175, BA175)</f>
        <v>0</v>
      </c>
      <c r="BC175" s="231" t="n">
        <v>0</v>
      </c>
      <c r="BD175" s="78" t="n">
        <v>0</v>
      </c>
      <c r="BE175" s="74" t="n">
        <f aca="false">AVERAGEA(BD175,BF175)</f>
        <v>0</v>
      </c>
      <c r="BF175" s="78" t="n">
        <v>0</v>
      </c>
      <c r="BG175" s="231" t="n">
        <v>0</v>
      </c>
      <c r="BH175" s="56" t="n">
        <f aca="false">AVERAGEA(BI175, BG175)</f>
        <v>0</v>
      </c>
      <c r="BI175" s="231" t="n">
        <v>0</v>
      </c>
      <c r="BJ175" s="78" t="n">
        <v>0</v>
      </c>
      <c r="BK175" s="74" t="n">
        <f aca="false">AVERAGEA(BJ175,BL175)</f>
        <v>0</v>
      </c>
      <c r="BL175" s="78" t="n">
        <v>0</v>
      </c>
      <c r="BM175" s="231" t="n">
        <v>0</v>
      </c>
      <c r="BN175" s="56" t="n">
        <f aca="false">AVERAGEA(BO175, BM175)</f>
        <v>0</v>
      </c>
      <c r="BO175" s="231" t="n">
        <v>0</v>
      </c>
    </row>
    <row r="176" customFormat="false" ht="15" hidden="false" customHeight="true" outlineLevel="0" collapsed="false">
      <c r="B176" s="239"/>
      <c r="C176" s="240"/>
      <c r="D176" s="240"/>
      <c r="E176" s="242"/>
      <c r="F176" s="243" t="s">
        <v>142</v>
      </c>
      <c r="G176" s="249"/>
      <c r="H176" s="78" t="n">
        <v>28</v>
      </c>
      <c r="I176" s="74" t="n">
        <f aca="false">AVERAGEA(H176,J176)</f>
        <v>33</v>
      </c>
      <c r="J176" s="245" t="n">
        <v>38</v>
      </c>
      <c r="K176" s="231" t="s">
        <v>46</v>
      </c>
      <c r="L176" s="56" t="n">
        <f aca="false">AVERAGEA(M176, K176)</f>
        <v>0</v>
      </c>
      <c r="M176" s="232" t="s">
        <v>46</v>
      </c>
      <c r="N176" s="78" t="s">
        <v>46</v>
      </c>
      <c r="O176" s="74" t="n">
        <f aca="false">AVERAGEA(N176,P176)</f>
        <v>0</v>
      </c>
      <c r="P176" s="245" t="s">
        <v>46</v>
      </c>
      <c r="Q176" s="78" t="s">
        <v>46</v>
      </c>
      <c r="R176" s="74" t="n">
        <f aca="false">AVERAGEA(Q176,S176)</f>
        <v>0</v>
      </c>
      <c r="S176" s="245" t="s">
        <v>46</v>
      </c>
      <c r="T176" s="231" t="n">
        <v>20</v>
      </c>
      <c r="U176" s="56" t="n">
        <f aca="false">AVERAGEA(V176, T176)</f>
        <v>27.5</v>
      </c>
      <c r="V176" s="232" t="n">
        <v>35</v>
      </c>
      <c r="W176" s="78" t="n">
        <v>0</v>
      </c>
      <c r="X176" s="74" t="n">
        <f aca="false">AVERAGEA(W176,Y176)</f>
        <v>0</v>
      </c>
      <c r="Y176" s="245" t="n">
        <v>0</v>
      </c>
      <c r="Z176" s="231" t="n">
        <v>15</v>
      </c>
      <c r="AA176" s="56" t="n">
        <f aca="false">AVERAGEA(AB176, Z176)</f>
        <v>27.5</v>
      </c>
      <c r="AB176" s="232" t="n">
        <v>40</v>
      </c>
      <c r="AC176" s="78" t="n">
        <v>15</v>
      </c>
      <c r="AD176" s="74" t="n">
        <f aca="false">AVERAGEA(AC176,AE176)</f>
        <v>27.5</v>
      </c>
      <c r="AE176" s="245" t="n">
        <v>40</v>
      </c>
      <c r="AF176" s="231" t="n">
        <v>0</v>
      </c>
      <c r="AG176" s="56" t="n">
        <f aca="false">AVERAGEA(AH176, AF176)</f>
        <v>0</v>
      </c>
      <c r="AH176" s="231" t="n">
        <v>0</v>
      </c>
      <c r="AI176" s="231" t="n">
        <v>0</v>
      </c>
      <c r="AJ176" s="56" t="n">
        <f aca="false">AVERAGEA(AK176, AI176)</f>
        <v>0</v>
      </c>
      <c r="AK176" s="231" t="n">
        <v>0</v>
      </c>
      <c r="AL176" s="78" t="n">
        <v>1000</v>
      </c>
      <c r="AM176" s="74" t="n">
        <f aca="false">AVERAGEA(AL176,AN176)</f>
        <v>1250</v>
      </c>
      <c r="AN176" s="245" t="n">
        <v>1500</v>
      </c>
      <c r="AO176" s="231" t="n">
        <v>22</v>
      </c>
      <c r="AP176" s="56" t="n">
        <f aca="false">AVERAGEA(AQ176, AO176)</f>
        <v>33.5</v>
      </c>
      <c r="AQ176" s="232" t="n">
        <v>45</v>
      </c>
      <c r="AR176" s="78" t="n">
        <v>7</v>
      </c>
      <c r="AS176" s="74" t="n">
        <f aca="false">AVERAGEA(AR176,AT176)</f>
        <v>11.5</v>
      </c>
      <c r="AT176" s="245" t="n">
        <v>16</v>
      </c>
      <c r="AU176" s="231" t="n">
        <v>0</v>
      </c>
      <c r="AV176" s="56" t="n">
        <f aca="false">AVERAGEA(AW176, AU176)</f>
        <v>0</v>
      </c>
      <c r="AW176" s="231" t="n">
        <v>0</v>
      </c>
      <c r="AX176" s="78" t="n">
        <v>0</v>
      </c>
      <c r="AY176" s="74" t="n">
        <f aca="false">AVERAGEA(AX176,AZ176)</f>
        <v>0</v>
      </c>
      <c r="AZ176" s="78" t="n">
        <v>0</v>
      </c>
      <c r="BA176" s="231" t="n">
        <v>0</v>
      </c>
      <c r="BB176" s="56" t="n">
        <f aca="false">AVERAGEA(BC176, BA176)</f>
        <v>0</v>
      </c>
      <c r="BC176" s="231" t="n">
        <v>0</v>
      </c>
      <c r="BD176" s="78" t="n">
        <v>0</v>
      </c>
      <c r="BE176" s="74" t="n">
        <f aca="false">AVERAGEA(BD176,BF176)</f>
        <v>0</v>
      </c>
      <c r="BF176" s="78" t="n">
        <v>0</v>
      </c>
      <c r="BG176" s="231" t="n">
        <v>0</v>
      </c>
      <c r="BH176" s="56" t="n">
        <f aca="false">AVERAGEA(BI176, BG176)</f>
        <v>0</v>
      </c>
      <c r="BI176" s="231" t="n">
        <v>0</v>
      </c>
      <c r="BJ176" s="78" t="n">
        <v>0</v>
      </c>
      <c r="BK176" s="74" t="n">
        <f aca="false">AVERAGEA(BJ176,BL176)</f>
        <v>0</v>
      </c>
      <c r="BL176" s="78" t="n">
        <v>0</v>
      </c>
      <c r="BM176" s="231" t="n">
        <v>0</v>
      </c>
      <c r="BN176" s="56" t="n">
        <f aca="false">AVERAGEA(BO176, BM176)</f>
        <v>0</v>
      </c>
      <c r="BO176" s="231" t="n">
        <v>0</v>
      </c>
    </row>
    <row r="177" customFormat="false" ht="15" hidden="false" customHeight="true" outlineLevel="0" collapsed="false">
      <c r="B177" s="239"/>
      <c r="C177" s="240"/>
      <c r="D177" s="240"/>
      <c r="E177" s="242"/>
      <c r="F177" s="247" t="s">
        <v>143</v>
      </c>
      <c r="G177" s="249"/>
      <c r="H177" s="205" t="n">
        <v>25</v>
      </c>
      <c r="I177" s="124" t="n">
        <f aca="false">AVERAGEA(H177,J177)</f>
        <v>30</v>
      </c>
      <c r="J177" s="119" t="n">
        <v>35</v>
      </c>
      <c r="K177" s="120" t="s">
        <v>46</v>
      </c>
      <c r="L177" s="121" t="n">
        <f aca="false">AVERAGEA(K177,M177)</f>
        <v>0</v>
      </c>
      <c r="M177" s="122" t="s">
        <v>46</v>
      </c>
      <c r="N177" s="205" t="s">
        <v>46</v>
      </c>
      <c r="O177" s="124" t="n">
        <f aca="false">AVERAGEA(N177,P177)</f>
        <v>0</v>
      </c>
      <c r="P177" s="119" t="s">
        <v>46</v>
      </c>
      <c r="Q177" s="205" t="s">
        <v>46</v>
      </c>
      <c r="R177" s="124" t="n">
        <f aca="false">AVERAGEA(Q177,S177)</f>
        <v>0</v>
      </c>
      <c r="S177" s="119" t="s">
        <v>46</v>
      </c>
      <c r="T177" s="120" t="n">
        <v>18</v>
      </c>
      <c r="U177" s="121" t="n">
        <f aca="false">AVERAGEA(T177,V177)</f>
        <v>25</v>
      </c>
      <c r="V177" s="122" t="n">
        <v>32</v>
      </c>
      <c r="W177" s="205" t="n">
        <v>0</v>
      </c>
      <c r="X177" s="124" t="n">
        <f aca="false">AVERAGEA(W177,Y177)</f>
        <v>0</v>
      </c>
      <c r="Y177" s="119" t="n">
        <v>0</v>
      </c>
      <c r="Z177" s="120" t="n">
        <v>15</v>
      </c>
      <c r="AA177" s="121" t="n">
        <f aca="false">AVERAGEA(Z177,AB177)</f>
        <v>27.5</v>
      </c>
      <c r="AB177" s="122" t="n">
        <v>40</v>
      </c>
      <c r="AC177" s="205" t="n">
        <v>15</v>
      </c>
      <c r="AD177" s="124" t="n">
        <f aca="false">AVERAGEA(AC177,AE177)</f>
        <v>27.5</v>
      </c>
      <c r="AE177" s="119" t="n">
        <v>40</v>
      </c>
      <c r="AF177" s="120" t="n">
        <v>0</v>
      </c>
      <c r="AG177" s="121" t="n">
        <f aca="false">AVERAGEA(AF177,AH177)</f>
        <v>0</v>
      </c>
      <c r="AH177" s="120" t="n">
        <v>0</v>
      </c>
      <c r="AI177" s="120" t="n">
        <v>0</v>
      </c>
      <c r="AJ177" s="121" t="n">
        <f aca="false">AVERAGEA(AI177,AK177)</f>
        <v>0</v>
      </c>
      <c r="AK177" s="120" t="n">
        <v>0</v>
      </c>
      <c r="AL177" s="205" t="n">
        <v>1100</v>
      </c>
      <c r="AM177" s="124" t="n">
        <f aca="false">AVERAGEA(AL177,AN177)</f>
        <v>1350</v>
      </c>
      <c r="AN177" s="119" t="n">
        <v>1600</v>
      </c>
      <c r="AO177" s="120" t="n">
        <v>25</v>
      </c>
      <c r="AP177" s="121" t="n">
        <f aca="false">AVERAGEA(AO177,AQ177)</f>
        <v>37.5</v>
      </c>
      <c r="AQ177" s="122" t="n">
        <v>50</v>
      </c>
      <c r="AR177" s="205" t="n">
        <v>8</v>
      </c>
      <c r="AS177" s="124" t="n">
        <f aca="false">AVERAGEA(AR177,AT177)</f>
        <v>13</v>
      </c>
      <c r="AT177" s="119" t="n">
        <v>18</v>
      </c>
      <c r="AU177" s="120" t="n">
        <v>0</v>
      </c>
      <c r="AV177" s="121" t="n">
        <f aca="false">AVERAGEA(AU177,AW177)</f>
        <v>0</v>
      </c>
      <c r="AW177" s="120" t="n">
        <v>0</v>
      </c>
      <c r="AX177" s="205" t="n">
        <v>0</v>
      </c>
      <c r="AY177" s="124" t="n">
        <f aca="false">AVERAGEA(AX177,AZ177)</f>
        <v>0</v>
      </c>
      <c r="AZ177" s="205" t="n">
        <v>0</v>
      </c>
      <c r="BA177" s="120" t="n">
        <v>0</v>
      </c>
      <c r="BB177" s="121" t="n">
        <f aca="false">AVERAGEA(BA177,BC177)</f>
        <v>0</v>
      </c>
      <c r="BC177" s="120" t="n">
        <v>0</v>
      </c>
      <c r="BD177" s="205" t="n">
        <v>0</v>
      </c>
      <c r="BE177" s="124" t="n">
        <f aca="false">AVERAGEA(BD177,BF177)</f>
        <v>0</v>
      </c>
      <c r="BF177" s="205" t="n">
        <v>0</v>
      </c>
      <c r="BG177" s="120" t="n">
        <v>0</v>
      </c>
      <c r="BH177" s="121" t="n">
        <f aca="false">AVERAGEA(BG177,BI177)</f>
        <v>0</v>
      </c>
      <c r="BI177" s="120" t="n">
        <v>0</v>
      </c>
      <c r="BJ177" s="205" t="n">
        <v>0</v>
      </c>
      <c r="BK177" s="124" t="n">
        <f aca="false">AVERAGEA(BJ177,BL177)</f>
        <v>0</v>
      </c>
      <c r="BL177" s="205" t="n">
        <v>0</v>
      </c>
      <c r="BM177" s="120" t="n">
        <v>0</v>
      </c>
      <c r="BN177" s="121" t="n">
        <f aca="false">AVERAGEA(BM177,BO177)</f>
        <v>0</v>
      </c>
      <c r="BO177" s="120" t="n">
        <v>0</v>
      </c>
    </row>
    <row r="178" customFormat="false" ht="15" hidden="false" customHeight="true" outlineLevel="0" collapsed="false">
      <c r="B178" s="239"/>
      <c r="C178" s="240" t="s">
        <v>137</v>
      </c>
      <c r="D178" s="240" t="s">
        <v>138</v>
      </c>
      <c r="E178" s="242"/>
      <c r="F178" s="243" t="s">
        <v>139</v>
      </c>
      <c r="G178" s="249" t="s">
        <v>144</v>
      </c>
      <c r="H178" s="78" t="n">
        <v>35</v>
      </c>
      <c r="I178" s="74" t="n">
        <f aca="false">AVERAGEA(H178,J178)</f>
        <v>42.5</v>
      </c>
      <c r="J178" s="245" t="n">
        <v>50</v>
      </c>
      <c r="K178" s="231" t="s">
        <v>46</v>
      </c>
      <c r="L178" s="56" t="n">
        <f aca="false">AVERAGEA(M178, K178)</f>
        <v>0</v>
      </c>
      <c r="M178" s="232" t="s">
        <v>46</v>
      </c>
      <c r="N178" s="78" t="s">
        <v>46</v>
      </c>
      <c r="O178" s="74" t="n">
        <f aca="false">AVERAGEA(N178,P178)</f>
        <v>0</v>
      </c>
      <c r="P178" s="245" t="s">
        <v>46</v>
      </c>
      <c r="Q178" s="78" t="s">
        <v>46</v>
      </c>
      <c r="R178" s="74" t="n">
        <f aca="false">AVERAGEA(Q178,S178)</f>
        <v>0</v>
      </c>
      <c r="S178" s="245" t="s">
        <v>46</v>
      </c>
      <c r="T178" s="231" t="n">
        <f aca="false">T174*1.23</f>
        <v>31.98</v>
      </c>
      <c r="U178" s="56" t="n">
        <f aca="false">AVERAGEA(V178, T178)</f>
        <v>45.51</v>
      </c>
      <c r="V178" s="231" t="n">
        <f aca="false">V174*1.23</f>
        <v>59.04</v>
      </c>
      <c r="W178" s="78" t="n">
        <v>0</v>
      </c>
      <c r="X178" s="74" t="n">
        <f aca="false">AVERAGEA(W178,Y178)</f>
        <v>0</v>
      </c>
      <c r="Y178" s="245" t="n">
        <v>0</v>
      </c>
      <c r="Z178" s="231" t="n">
        <v>15</v>
      </c>
      <c r="AA178" s="56" t="n">
        <f aca="false">AVERAGEA(AB178, Z178)</f>
        <v>27.5</v>
      </c>
      <c r="AB178" s="232" t="n">
        <v>40</v>
      </c>
      <c r="AC178" s="78" t="n">
        <v>15</v>
      </c>
      <c r="AD178" s="74" t="n">
        <f aca="false">AVERAGEA(AC178,AE178)</f>
        <v>27.5</v>
      </c>
      <c r="AE178" s="245" t="n">
        <v>40</v>
      </c>
      <c r="AF178" s="231" t="n">
        <v>0</v>
      </c>
      <c r="AG178" s="56" t="n">
        <f aca="false">AVERAGEA(AH178, AF178)</f>
        <v>0</v>
      </c>
      <c r="AH178" s="231" t="n">
        <v>0</v>
      </c>
      <c r="AI178" s="231" t="n">
        <v>0</v>
      </c>
      <c r="AJ178" s="56" t="n">
        <f aca="false">AVERAGEA(AK178, AI178)</f>
        <v>0</v>
      </c>
      <c r="AK178" s="231" t="n">
        <v>0</v>
      </c>
      <c r="AL178" s="78" t="n">
        <v>800</v>
      </c>
      <c r="AM178" s="74" t="n">
        <f aca="false">AVERAGEA(AL178,AN178)</f>
        <v>1050</v>
      </c>
      <c r="AN178" s="245" t="n">
        <v>1300</v>
      </c>
      <c r="AO178" s="231" t="n">
        <v>18</v>
      </c>
      <c r="AP178" s="56" t="n">
        <f aca="false">AVERAGEA(AQ178, AO178)</f>
        <v>29</v>
      </c>
      <c r="AQ178" s="232" t="n">
        <v>40</v>
      </c>
      <c r="AR178" s="78" t="n">
        <v>5</v>
      </c>
      <c r="AS178" s="74" t="n">
        <f aca="false">AVERAGEA(AR178,AT178)</f>
        <v>9.5</v>
      </c>
      <c r="AT178" s="245" t="n">
        <v>14</v>
      </c>
      <c r="AU178" s="231" t="n">
        <v>0</v>
      </c>
      <c r="AV178" s="56" t="n">
        <f aca="false">AVERAGEA(AW178, AU178)</f>
        <v>0</v>
      </c>
      <c r="AW178" s="231" t="n">
        <v>0</v>
      </c>
      <c r="AX178" s="78" t="n">
        <v>0</v>
      </c>
      <c r="AY178" s="74" t="n">
        <f aca="false">AVERAGEA(AX178,AZ178)</f>
        <v>0</v>
      </c>
      <c r="AZ178" s="78" t="n">
        <v>0</v>
      </c>
      <c r="BA178" s="231" t="n">
        <v>0</v>
      </c>
      <c r="BB178" s="56" t="n">
        <f aca="false">AVERAGEA(BC178, BA178)</f>
        <v>0</v>
      </c>
      <c r="BC178" s="231" t="n">
        <v>0</v>
      </c>
      <c r="BD178" s="78" t="n">
        <v>0</v>
      </c>
      <c r="BE178" s="74" t="n">
        <f aca="false">AVERAGEA(BD178,BF178)</f>
        <v>0</v>
      </c>
      <c r="BF178" s="78" t="n">
        <v>0</v>
      </c>
      <c r="BG178" s="231" t="n">
        <v>0</v>
      </c>
      <c r="BH178" s="56" t="n">
        <f aca="false">AVERAGEA(BI178, BG178)</f>
        <v>0</v>
      </c>
      <c r="BI178" s="231" t="n">
        <v>0</v>
      </c>
      <c r="BJ178" s="78" t="n">
        <v>0</v>
      </c>
      <c r="BK178" s="74" t="n">
        <f aca="false">AVERAGEA(BJ178,BL178)</f>
        <v>0</v>
      </c>
      <c r="BL178" s="78" t="n">
        <v>0</v>
      </c>
      <c r="BM178" s="231" t="n">
        <v>0</v>
      </c>
      <c r="BN178" s="56" t="n">
        <f aca="false">AVERAGEA(BO178, BM178)</f>
        <v>0</v>
      </c>
      <c r="BO178" s="231" t="n">
        <v>0</v>
      </c>
    </row>
    <row r="179" customFormat="false" ht="15" hidden="false" customHeight="true" outlineLevel="0" collapsed="false">
      <c r="B179" s="239"/>
      <c r="C179" s="240"/>
      <c r="D179" s="240"/>
      <c r="E179" s="242"/>
      <c r="F179" s="243" t="s">
        <v>141</v>
      </c>
      <c r="G179" s="249"/>
      <c r="H179" s="78" t="n">
        <v>30</v>
      </c>
      <c r="I179" s="74" t="n">
        <f aca="false">AVERAGEA(H179,J179)</f>
        <v>36</v>
      </c>
      <c r="J179" s="245" t="n">
        <v>42</v>
      </c>
      <c r="K179" s="231" t="s">
        <v>46</v>
      </c>
      <c r="L179" s="56" t="n">
        <f aca="false">AVERAGEA(M179, K179)</f>
        <v>0</v>
      </c>
      <c r="M179" s="232" t="s">
        <v>46</v>
      </c>
      <c r="N179" s="78" t="s">
        <v>46</v>
      </c>
      <c r="O179" s="74" t="n">
        <f aca="false">AVERAGEA(N179,P179)</f>
        <v>0</v>
      </c>
      <c r="P179" s="245" t="s">
        <v>46</v>
      </c>
      <c r="Q179" s="78" t="s">
        <v>46</v>
      </c>
      <c r="R179" s="74" t="n">
        <f aca="false">AVERAGEA(Q179,S179)</f>
        <v>0</v>
      </c>
      <c r="S179" s="245" t="s">
        <v>46</v>
      </c>
      <c r="T179" s="231" t="n">
        <f aca="false">T175*1.23</f>
        <v>27.06</v>
      </c>
      <c r="U179" s="56" t="n">
        <f aca="false">AVERAGEA(V179, T179)</f>
        <v>38.13</v>
      </c>
      <c r="V179" s="231" t="n">
        <f aca="false">V175*1.23</f>
        <v>49.2</v>
      </c>
      <c r="W179" s="78" t="n">
        <v>0</v>
      </c>
      <c r="X179" s="74" t="n">
        <f aca="false">AVERAGEA(W179,Y179)</f>
        <v>0</v>
      </c>
      <c r="Y179" s="245" t="n">
        <v>0</v>
      </c>
      <c r="Z179" s="231" t="n">
        <v>15</v>
      </c>
      <c r="AA179" s="56" t="n">
        <f aca="false">AVERAGEA(AB179, Z179)</f>
        <v>27.5</v>
      </c>
      <c r="AB179" s="232" t="n">
        <v>40</v>
      </c>
      <c r="AC179" s="78" t="n">
        <v>15</v>
      </c>
      <c r="AD179" s="74" t="n">
        <f aca="false">AVERAGEA(AC179,AE179)</f>
        <v>27.5</v>
      </c>
      <c r="AE179" s="245" t="n">
        <v>40</v>
      </c>
      <c r="AF179" s="231" t="n">
        <v>0</v>
      </c>
      <c r="AG179" s="56" t="n">
        <f aca="false">AVERAGEA(AH179, AF179)</f>
        <v>0</v>
      </c>
      <c r="AH179" s="231" t="n">
        <v>0</v>
      </c>
      <c r="AI179" s="231" t="n">
        <v>0</v>
      </c>
      <c r="AJ179" s="56" t="n">
        <f aca="false">AVERAGEA(AK179, AI179)</f>
        <v>0</v>
      </c>
      <c r="AK179" s="231" t="n">
        <v>0</v>
      </c>
      <c r="AL179" s="78" t="n">
        <v>900</v>
      </c>
      <c r="AM179" s="74" t="n">
        <f aca="false">AVERAGEA(AL179,AN179)</f>
        <v>1150</v>
      </c>
      <c r="AN179" s="245" t="n">
        <v>1400</v>
      </c>
      <c r="AO179" s="231" t="n">
        <v>20</v>
      </c>
      <c r="AP179" s="56" t="n">
        <f aca="false">AVERAGEA(AQ179, AO179)</f>
        <v>31</v>
      </c>
      <c r="AQ179" s="232" t="n">
        <v>42</v>
      </c>
      <c r="AR179" s="78" t="n">
        <v>6</v>
      </c>
      <c r="AS179" s="74" t="n">
        <f aca="false">AVERAGEA(AR179,AT179)</f>
        <v>10.5</v>
      </c>
      <c r="AT179" s="245" t="n">
        <v>15</v>
      </c>
      <c r="AU179" s="231" t="n">
        <v>0</v>
      </c>
      <c r="AV179" s="56" t="n">
        <f aca="false">AVERAGEA(AW179, AU179)</f>
        <v>0</v>
      </c>
      <c r="AW179" s="231" t="n">
        <v>0</v>
      </c>
      <c r="AX179" s="78" t="n">
        <v>0</v>
      </c>
      <c r="AY179" s="74" t="n">
        <f aca="false">AVERAGEA(AX179,AZ179)</f>
        <v>0</v>
      </c>
      <c r="AZ179" s="78" t="n">
        <v>0</v>
      </c>
      <c r="BA179" s="231" t="n">
        <v>0</v>
      </c>
      <c r="BB179" s="56" t="n">
        <f aca="false">AVERAGEA(BC179, BA179)</f>
        <v>0</v>
      </c>
      <c r="BC179" s="231" t="n">
        <v>0</v>
      </c>
      <c r="BD179" s="78" t="n">
        <v>0</v>
      </c>
      <c r="BE179" s="74" t="n">
        <f aca="false">AVERAGEA(BD179,BF179)</f>
        <v>0</v>
      </c>
      <c r="BF179" s="78" t="n">
        <v>0</v>
      </c>
      <c r="BG179" s="231" t="n">
        <v>0</v>
      </c>
      <c r="BH179" s="56" t="n">
        <f aca="false">AVERAGEA(BI179, BG179)</f>
        <v>0</v>
      </c>
      <c r="BI179" s="231" t="n">
        <v>0</v>
      </c>
      <c r="BJ179" s="78" t="n">
        <v>0</v>
      </c>
      <c r="BK179" s="74" t="n">
        <f aca="false">AVERAGEA(BJ179,BL179)</f>
        <v>0</v>
      </c>
      <c r="BL179" s="78" t="n">
        <v>0</v>
      </c>
      <c r="BM179" s="231" t="n">
        <v>0</v>
      </c>
      <c r="BN179" s="56" t="n">
        <f aca="false">AVERAGEA(BO179, BM179)</f>
        <v>0</v>
      </c>
      <c r="BO179" s="231" t="n">
        <v>0</v>
      </c>
    </row>
    <row r="180" customFormat="false" ht="15" hidden="false" customHeight="true" outlineLevel="0" collapsed="false">
      <c r="B180" s="239"/>
      <c r="C180" s="240"/>
      <c r="D180" s="240"/>
      <c r="E180" s="242"/>
      <c r="F180" s="243" t="s">
        <v>142</v>
      </c>
      <c r="G180" s="249"/>
      <c r="H180" s="78" t="n">
        <v>28</v>
      </c>
      <c r="I180" s="74" t="n">
        <f aca="false">AVERAGEA(H180,J180)</f>
        <v>33</v>
      </c>
      <c r="J180" s="245" t="n">
        <v>38</v>
      </c>
      <c r="K180" s="231" t="s">
        <v>46</v>
      </c>
      <c r="L180" s="56" t="n">
        <f aca="false">AVERAGEA(M180, K180)</f>
        <v>0</v>
      </c>
      <c r="M180" s="232" t="s">
        <v>46</v>
      </c>
      <c r="N180" s="78" t="s">
        <v>46</v>
      </c>
      <c r="O180" s="74" t="n">
        <f aca="false">AVERAGEA(N180,P180)</f>
        <v>0</v>
      </c>
      <c r="P180" s="245" t="s">
        <v>46</v>
      </c>
      <c r="Q180" s="78" t="s">
        <v>46</v>
      </c>
      <c r="R180" s="74" t="n">
        <f aca="false">AVERAGEA(Q180,S180)</f>
        <v>0</v>
      </c>
      <c r="S180" s="245" t="s">
        <v>46</v>
      </c>
      <c r="T180" s="231" t="n">
        <f aca="false">T176*1.23</f>
        <v>24.6</v>
      </c>
      <c r="U180" s="56" t="n">
        <f aca="false">AVERAGEA(V180, T180)</f>
        <v>33.825</v>
      </c>
      <c r="V180" s="231" t="n">
        <f aca="false">V176*1.23</f>
        <v>43.05</v>
      </c>
      <c r="W180" s="78" t="n">
        <v>0</v>
      </c>
      <c r="X180" s="74" t="n">
        <f aca="false">AVERAGEA(W180,Y180)</f>
        <v>0</v>
      </c>
      <c r="Y180" s="245" t="n">
        <v>0</v>
      </c>
      <c r="Z180" s="231" t="n">
        <v>15</v>
      </c>
      <c r="AA180" s="56" t="n">
        <f aca="false">AVERAGEA(AB180, Z180)</f>
        <v>27.5</v>
      </c>
      <c r="AB180" s="232" t="n">
        <v>40</v>
      </c>
      <c r="AC180" s="78" t="n">
        <v>15</v>
      </c>
      <c r="AD180" s="74" t="n">
        <f aca="false">AVERAGEA(AC180,AE180)</f>
        <v>27.5</v>
      </c>
      <c r="AE180" s="245" t="n">
        <v>40</v>
      </c>
      <c r="AF180" s="231" t="n">
        <v>0</v>
      </c>
      <c r="AG180" s="56" t="n">
        <f aca="false">AVERAGEA(AH180, AF180)</f>
        <v>0</v>
      </c>
      <c r="AH180" s="231" t="n">
        <v>0</v>
      </c>
      <c r="AI180" s="231" t="n">
        <v>0</v>
      </c>
      <c r="AJ180" s="56" t="n">
        <f aca="false">AVERAGEA(AK180, AI180)</f>
        <v>0</v>
      </c>
      <c r="AK180" s="231" t="n">
        <v>0</v>
      </c>
      <c r="AL180" s="78" t="n">
        <v>1000</v>
      </c>
      <c r="AM180" s="74" t="n">
        <f aca="false">AVERAGEA(AL180,AN180)</f>
        <v>1250</v>
      </c>
      <c r="AN180" s="245" t="n">
        <v>1500</v>
      </c>
      <c r="AO180" s="231" t="n">
        <v>22</v>
      </c>
      <c r="AP180" s="56" t="n">
        <f aca="false">AVERAGEA(AQ180, AO180)</f>
        <v>33.5</v>
      </c>
      <c r="AQ180" s="232" t="n">
        <v>45</v>
      </c>
      <c r="AR180" s="78" t="n">
        <v>7</v>
      </c>
      <c r="AS180" s="74" t="n">
        <f aca="false">AVERAGEA(AR180,AT180)</f>
        <v>11.5</v>
      </c>
      <c r="AT180" s="245" t="n">
        <v>16</v>
      </c>
      <c r="AU180" s="231" t="n">
        <v>0</v>
      </c>
      <c r="AV180" s="56" t="n">
        <f aca="false">AVERAGEA(AW180, AU180)</f>
        <v>0</v>
      </c>
      <c r="AW180" s="231" t="n">
        <v>0</v>
      </c>
      <c r="AX180" s="78" t="n">
        <v>0</v>
      </c>
      <c r="AY180" s="74" t="n">
        <f aca="false">AVERAGEA(AX180,AZ180)</f>
        <v>0</v>
      </c>
      <c r="AZ180" s="78" t="n">
        <v>0</v>
      </c>
      <c r="BA180" s="231" t="n">
        <v>0</v>
      </c>
      <c r="BB180" s="56" t="n">
        <f aca="false">AVERAGEA(BC180, BA180)</f>
        <v>0</v>
      </c>
      <c r="BC180" s="231" t="n">
        <v>0</v>
      </c>
      <c r="BD180" s="78" t="n">
        <v>0</v>
      </c>
      <c r="BE180" s="74" t="n">
        <f aca="false">AVERAGEA(BD180,BF180)</f>
        <v>0</v>
      </c>
      <c r="BF180" s="78" t="n">
        <v>0</v>
      </c>
      <c r="BG180" s="231" t="n">
        <v>0</v>
      </c>
      <c r="BH180" s="56" t="n">
        <f aca="false">AVERAGEA(BI180, BG180)</f>
        <v>0</v>
      </c>
      <c r="BI180" s="231" t="n">
        <v>0</v>
      </c>
      <c r="BJ180" s="78" t="n">
        <v>0</v>
      </c>
      <c r="BK180" s="74" t="n">
        <f aca="false">AVERAGEA(BJ180,BL180)</f>
        <v>0</v>
      </c>
      <c r="BL180" s="78" t="n">
        <v>0</v>
      </c>
      <c r="BM180" s="231" t="n">
        <v>0</v>
      </c>
      <c r="BN180" s="56" t="n">
        <f aca="false">AVERAGEA(BO180, BM180)</f>
        <v>0</v>
      </c>
      <c r="BO180" s="231" t="n">
        <v>0</v>
      </c>
    </row>
    <row r="181" customFormat="false" ht="15" hidden="false" customHeight="true" outlineLevel="0" collapsed="false">
      <c r="B181" s="239"/>
      <c r="C181" s="240"/>
      <c r="D181" s="240"/>
      <c r="E181" s="242"/>
      <c r="F181" s="247" t="s">
        <v>143</v>
      </c>
      <c r="G181" s="249"/>
      <c r="H181" s="205" t="n">
        <v>25</v>
      </c>
      <c r="I181" s="124" t="n">
        <f aca="false">AVERAGEA(H181,J181)</f>
        <v>30</v>
      </c>
      <c r="J181" s="119" t="n">
        <v>35</v>
      </c>
      <c r="K181" s="120" t="s">
        <v>46</v>
      </c>
      <c r="L181" s="121" t="n">
        <f aca="false">AVERAGEA(K181,M181)</f>
        <v>0</v>
      </c>
      <c r="M181" s="122" t="s">
        <v>46</v>
      </c>
      <c r="N181" s="205" t="s">
        <v>46</v>
      </c>
      <c r="O181" s="124" t="n">
        <f aca="false">AVERAGEA(N181,P181)</f>
        <v>0</v>
      </c>
      <c r="P181" s="119" t="s">
        <v>46</v>
      </c>
      <c r="Q181" s="205" t="s">
        <v>46</v>
      </c>
      <c r="R181" s="124" t="n">
        <f aca="false">AVERAGEA(Q181,S181)</f>
        <v>0</v>
      </c>
      <c r="S181" s="119" t="s">
        <v>46</v>
      </c>
      <c r="T181" s="120" t="n">
        <f aca="false">T177*1.23</f>
        <v>22.14</v>
      </c>
      <c r="U181" s="121" t="n">
        <f aca="false">AVERAGEA(T181,V181)</f>
        <v>30.75</v>
      </c>
      <c r="V181" s="120" t="n">
        <f aca="false">V177*1.23</f>
        <v>39.36</v>
      </c>
      <c r="W181" s="205" t="n">
        <v>0</v>
      </c>
      <c r="X181" s="124" t="n">
        <f aca="false">AVERAGEA(W181,Y181)</f>
        <v>0</v>
      </c>
      <c r="Y181" s="119" t="n">
        <v>0</v>
      </c>
      <c r="Z181" s="120" t="n">
        <v>15</v>
      </c>
      <c r="AA181" s="121" t="n">
        <f aca="false">AVERAGEA(Z181,AB181)</f>
        <v>27.5</v>
      </c>
      <c r="AB181" s="122" t="n">
        <v>40</v>
      </c>
      <c r="AC181" s="205" t="n">
        <v>15</v>
      </c>
      <c r="AD181" s="124" t="n">
        <f aca="false">AVERAGEA(AC181,AE181)</f>
        <v>27.5</v>
      </c>
      <c r="AE181" s="119" t="n">
        <v>40</v>
      </c>
      <c r="AF181" s="120" t="n">
        <v>0</v>
      </c>
      <c r="AG181" s="121" t="n">
        <f aca="false">AVERAGEA(AF181,AH181)</f>
        <v>0</v>
      </c>
      <c r="AH181" s="120" t="n">
        <v>0</v>
      </c>
      <c r="AI181" s="120" t="n">
        <v>0</v>
      </c>
      <c r="AJ181" s="121" t="n">
        <f aca="false">AVERAGEA(AI181,AK181)</f>
        <v>0</v>
      </c>
      <c r="AK181" s="120" t="n">
        <v>0</v>
      </c>
      <c r="AL181" s="205" t="n">
        <v>1100</v>
      </c>
      <c r="AM181" s="124" t="n">
        <f aca="false">AVERAGEA(AL181,AN181)</f>
        <v>1350</v>
      </c>
      <c r="AN181" s="119" t="n">
        <v>1600</v>
      </c>
      <c r="AO181" s="120" t="n">
        <v>25</v>
      </c>
      <c r="AP181" s="121" t="n">
        <f aca="false">AVERAGEA(AO181,AQ181)</f>
        <v>37.5</v>
      </c>
      <c r="AQ181" s="122" t="n">
        <v>50</v>
      </c>
      <c r="AR181" s="205" t="n">
        <v>8</v>
      </c>
      <c r="AS181" s="124" t="n">
        <f aca="false">AVERAGEA(AR181,AT181)</f>
        <v>13</v>
      </c>
      <c r="AT181" s="119" t="n">
        <v>18</v>
      </c>
      <c r="AU181" s="120" t="n">
        <v>0</v>
      </c>
      <c r="AV181" s="121" t="n">
        <f aca="false">AVERAGEA(AU181,AW181)</f>
        <v>0</v>
      </c>
      <c r="AW181" s="120" t="n">
        <v>0</v>
      </c>
      <c r="AX181" s="205" t="n">
        <v>0</v>
      </c>
      <c r="AY181" s="124" t="n">
        <f aca="false">AVERAGEA(AX181,AZ181)</f>
        <v>0</v>
      </c>
      <c r="AZ181" s="205" t="n">
        <v>0</v>
      </c>
      <c r="BA181" s="120" t="n">
        <v>0</v>
      </c>
      <c r="BB181" s="121" t="n">
        <f aca="false">AVERAGEA(BA181,BC181)</f>
        <v>0</v>
      </c>
      <c r="BC181" s="120" t="n">
        <v>0</v>
      </c>
      <c r="BD181" s="205" t="n">
        <v>0</v>
      </c>
      <c r="BE181" s="124" t="n">
        <f aca="false">AVERAGEA(BD181,BF181)</f>
        <v>0</v>
      </c>
      <c r="BF181" s="205" t="n">
        <v>0</v>
      </c>
      <c r="BG181" s="120" t="n">
        <v>0</v>
      </c>
      <c r="BH181" s="121" t="n">
        <f aca="false">AVERAGEA(BG181,BI181)</f>
        <v>0</v>
      </c>
      <c r="BI181" s="120" t="n">
        <v>0</v>
      </c>
      <c r="BJ181" s="205" t="n">
        <v>0</v>
      </c>
      <c r="BK181" s="124" t="n">
        <f aca="false">AVERAGEA(BJ181,BL181)</f>
        <v>0</v>
      </c>
      <c r="BL181" s="205" t="n">
        <v>0</v>
      </c>
      <c r="BM181" s="120" t="n">
        <v>0</v>
      </c>
      <c r="BN181" s="121" t="n">
        <f aca="false">AVERAGEA(BM181,BO181)</f>
        <v>0</v>
      </c>
      <c r="BO181" s="120" t="n">
        <v>0</v>
      </c>
    </row>
    <row r="182" customFormat="false" ht="15" hidden="false" customHeight="true" outlineLevel="0" collapsed="false">
      <c r="B182" s="239"/>
      <c r="C182" s="240" t="s">
        <v>137</v>
      </c>
      <c r="D182" s="240" t="s">
        <v>138</v>
      </c>
      <c r="E182" s="242"/>
      <c r="F182" s="243" t="s">
        <v>139</v>
      </c>
      <c r="G182" s="249" t="s">
        <v>145</v>
      </c>
      <c r="H182" s="78" t="n">
        <v>35</v>
      </c>
      <c r="I182" s="74" t="n">
        <f aca="false">AVERAGEA(H182,J182)</f>
        <v>42.5</v>
      </c>
      <c r="J182" s="245" t="n">
        <v>50</v>
      </c>
      <c r="K182" s="231" t="s">
        <v>46</v>
      </c>
      <c r="L182" s="56" t="n">
        <f aca="false">AVERAGEA(M182, K182)</f>
        <v>0</v>
      </c>
      <c r="M182" s="232" t="s">
        <v>46</v>
      </c>
      <c r="N182" s="78" t="s">
        <v>46</v>
      </c>
      <c r="O182" s="74" t="n">
        <f aca="false">AVERAGEA(N182,P182)</f>
        <v>0</v>
      </c>
      <c r="P182" s="245" t="s">
        <v>46</v>
      </c>
      <c r="Q182" s="78" t="s">
        <v>46</v>
      </c>
      <c r="R182" s="74" t="n">
        <f aca="false">AVERAGEA(Q182,S182)</f>
        <v>0</v>
      </c>
      <c r="S182" s="245" t="s">
        <v>46</v>
      </c>
      <c r="T182" s="231" t="n">
        <f aca="false">T174*1.66</f>
        <v>43.16</v>
      </c>
      <c r="U182" s="56" t="n">
        <f aca="false">AVERAGEA(V182, T182)</f>
        <v>61.42</v>
      </c>
      <c r="V182" s="231" t="n">
        <f aca="false">V174*1.66</f>
        <v>79.68</v>
      </c>
      <c r="W182" s="78" t="n">
        <v>0</v>
      </c>
      <c r="X182" s="74" t="n">
        <f aca="false">AVERAGEA(W182,Y182)</f>
        <v>0</v>
      </c>
      <c r="Y182" s="245" t="n">
        <v>0</v>
      </c>
      <c r="Z182" s="231" t="n">
        <v>15</v>
      </c>
      <c r="AA182" s="56" t="n">
        <f aca="false">AVERAGEA(AB182, Z182)</f>
        <v>27.5</v>
      </c>
      <c r="AB182" s="232" t="n">
        <v>40</v>
      </c>
      <c r="AC182" s="78" t="n">
        <v>15</v>
      </c>
      <c r="AD182" s="74" t="n">
        <f aca="false">AVERAGEA(AC182,AE182)</f>
        <v>27.5</v>
      </c>
      <c r="AE182" s="245" t="n">
        <v>40</v>
      </c>
      <c r="AF182" s="231" t="n">
        <v>0</v>
      </c>
      <c r="AG182" s="56" t="n">
        <f aca="false">AVERAGEA(AH182, AF182)</f>
        <v>0</v>
      </c>
      <c r="AH182" s="231" t="n">
        <v>0</v>
      </c>
      <c r="AI182" s="231" t="n">
        <v>0</v>
      </c>
      <c r="AJ182" s="56" t="n">
        <f aca="false">AVERAGEA(AK182, AI182)</f>
        <v>0</v>
      </c>
      <c r="AK182" s="231" t="n">
        <v>0</v>
      </c>
      <c r="AL182" s="78" t="n">
        <v>800</v>
      </c>
      <c r="AM182" s="74" t="n">
        <f aca="false">AVERAGEA(AL182,AN182)</f>
        <v>1050</v>
      </c>
      <c r="AN182" s="245" t="n">
        <v>1300</v>
      </c>
      <c r="AO182" s="231" t="n">
        <v>18</v>
      </c>
      <c r="AP182" s="56" t="n">
        <f aca="false">AVERAGEA(AQ182, AO182)</f>
        <v>29</v>
      </c>
      <c r="AQ182" s="232" t="n">
        <v>40</v>
      </c>
      <c r="AR182" s="78" t="n">
        <v>5</v>
      </c>
      <c r="AS182" s="74" t="n">
        <f aca="false">AVERAGEA(AR182,AT182)</f>
        <v>9.5</v>
      </c>
      <c r="AT182" s="245" t="n">
        <v>14</v>
      </c>
      <c r="AU182" s="231" t="n">
        <v>0</v>
      </c>
      <c r="AV182" s="56" t="n">
        <f aca="false">AVERAGEA(AW182, AU182)</f>
        <v>0</v>
      </c>
      <c r="AW182" s="231" t="n">
        <v>0</v>
      </c>
      <c r="AX182" s="78" t="n">
        <v>0</v>
      </c>
      <c r="AY182" s="74" t="n">
        <f aca="false">AVERAGEA(AX182,AZ182)</f>
        <v>0</v>
      </c>
      <c r="AZ182" s="78" t="n">
        <v>0</v>
      </c>
      <c r="BA182" s="231" t="n">
        <v>0</v>
      </c>
      <c r="BB182" s="56" t="n">
        <f aca="false">AVERAGEA(BC182, BA182)</f>
        <v>0</v>
      </c>
      <c r="BC182" s="231" t="n">
        <v>0</v>
      </c>
      <c r="BD182" s="78" t="n">
        <v>0</v>
      </c>
      <c r="BE182" s="74" t="n">
        <f aca="false">AVERAGEA(BD182,BF182)</f>
        <v>0</v>
      </c>
      <c r="BF182" s="78" t="n">
        <v>0</v>
      </c>
      <c r="BG182" s="231" t="n">
        <v>0</v>
      </c>
      <c r="BH182" s="56" t="n">
        <f aca="false">AVERAGEA(BI182, BG182)</f>
        <v>0</v>
      </c>
      <c r="BI182" s="231" t="n">
        <v>0</v>
      </c>
      <c r="BJ182" s="78" t="n">
        <v>0</v>
      </c>
      <c r="BK182" s="74" t="n">
        <f aca="false">AVERAGEA(BJ182,BL182)</f>
        <v>0</v>
      </c>
      <c r="BL182" s="78" t="n">
        <v>0</v>
      </c>
      <c r="BM182" s="231" t="n">
        <v>0</v>
      </c>
      <c r="BN182" s="56" t="n">
        <f aca="false">AVERAGEA(BO182, BM182)</f>
        <v>0</v>
      </c>
      <c r="BO182" s="231" t="n">
        <v>0</v>
      </c>
    </row>
    <row r="183" customFormat="false" ht="15" hidden="false" customHeight="true" outlineLevel="0" collapsed="false">
      <c r="B183" s="239"/>
      <c r="C183" s="240"/>
      <c r="D183" s="240"/>
      <c r="E183" s="242"/>
      <c r="F183" s="243" t="s">
        <v>141</v>
      </c>
      <c r="G183" s="249"/>
      <c r="H183" s="78" t="n">
        <v>30</v>
      </c>
      <c r="I183" s="74" t="n">
        <f aca="false">AVERAGEA(H183,J183)</f>
        <v>36</v>
      </c>
      <c r="J183" s="245" t="n">
        <v>42</v>
      </c>
      <c r="K183" s="231" t="s">
        <v>46</v>
      </c>
      <c r="L183" s="56" t="n">
        <f aca="false">AVERAGEA(M183, K183)</f>
        <v>0</v>
      </c>
      <c r="M183" s="232" t="s">
        <v>46</v>
      </c>
      <c r="N183" s="78" t="s">
        <v>46</v>
      </c>
      <c r="O183" s="74" t="n">
        <f aca="false">AVERAGEA(N183,P183)</f>
        <v>0</v>
      </c>
      <c r="P183" s="245" t="s">
        <v>46</v>
      </c>
      <c r="Q183" s="78" t="s">
        <v>46</v>
      </c>
      <c r="R183" s="74" t="n">
        <f aca="false">AVERAGEA(Q183,S183)</f>
        <v>0</v>
      </c>
      <c r="S183" s="245" t="s">
        <v>46</v>
      </c>
      <c r="T183" s="231" t="n">
        <f aca="false">T175*1.66</f>
        <v>36.52</v>
      </c>
      <c r="U183" s="56" t="n">
        <f aca="false">AVERAGEA(V183, T183)</f>
        <v>51.46</v>
      </c>
      <c r="V183" s="231" t="n">
        <f aca="false">V175*1.66</f>
        <v>66.4</v>
      </c>
      <c r="W183" s="78" t="n">
        <v>0</v>
      </c>
      <c r="X183" s="74" t="n">
        <f aca="false">AVERAGEA(W183,Y183)</f>
        <v>0</v>
      </c>
      <c r="Y183" s="245" t="n">
        <v>0</v>
      </c>
      <c r="Z183" s="231" t="n">
        <v>15</v>
      </c>
      <c r="AA183" s="56" t="n">
        <f aca="false">AVERAGEA(AB183, Z183)</f>
        <v>27.5</v>
      </c>
      <c r="AB183" s="232" t="n">
        <v>40</v>
      </c>
      <c r="AC183" s="78" t="n">
        <v>15</v>
      </c>
      <c r="AD183" s="74" t="n">
        <f aca="false">AVERAGEA(AC183,AE183)</f>
        <v>27.5</v>
      </c>
      <c r="AE183" s="245" t="n">
        <v>40</v>
      </c>
      <c r="AF183" s="231" t="n">
        <v>0</v>
      </c>
      <c r="AG183" s="56" t="n">
        <f aca="false">AVERAGEA(AH183, AF183)</f>
        <v>0</v>
      </c>
      <c r="AH183" s="231" t="n">
        <v>0</v>
      </c>
      <c r="AI183" s="231" t="n">
        <v>0</v>
      </c>
      <c r="AJ183" s="56" t="n">
        <f aca="false">AVERAGEA(AK183, AI183)</f>
        <v>0</v>
      </c>
      <c r="AK183" s="231" t="n">
        <v>0</v>
      </c>
      <c r="AL183" s="78" t="n">
        <v>900</v>
      </c>
      <c r="AM183" s="74" t="n">
        <f aca="false">AVERAGEA(AL183,AN183)</f>
        <v>1150</v>
      </c>
      <c r="AN183" s="245" t="n">
        <v>1400</v>
      </c>
      <c r="AO183" s="231" t="n">
        <v>20</v>
      </c>
      <c r="AP183" s="56" t="n">
        <f aca="false">AVERAGEA(AQ183, AO183)</f>
        <v>31</v>
      </c>
      <c r="AQ183" s="232" t="n">
        <v>42</v>
      </c>
      <c r="AR183" s="78" t="n">
        <v>6</v>
      </c>
      <c r="AS183" s="74" t="n">
        <f aca="false">AVERAGEA(AR183,AT183)</f>
        <v>10.5</v>
      </c>
      <c r="AT183" s="245" t="n">
        <v>15</v>
      </c>
      <c r="AU183" s="231" t="n">
        <v>0</v>
      </c>
      <c r="AV183" s="56" t="n">
        <f aca="false">AVERAGEA(AW183, AU183)</f>
        <v>0</v>
      </c>
      <c r="AW183" s="231" t="n">
        <v>0</v>
      </c>
      <c r="AX183" s="78" t="n">
        <v>0</v>
      </c>
      <c r="AY183" s="74" t="n">
        <f aca="false">AVERAGEA(AX183,AZ183)</f>
        <v>0</v>
      </c>
      <c r="AZ183" s="78" t="n">
        <v>0</v>
      </c>
      <c r="BA183" s="231" t="n">
        <v>0</v>
      </c>
      <c r="BB183" s="56" t="n">
        <f aca="false">AVERAGEA(BC183, BA183)</f>
        <v>0</v>
      </c>
      <c r="BC183" s="231" t="n">
        <v>0</v>
      </c>
      <c r="BD183" s="78" t="n">
        <v>0</v>
      </c>
      <c r="BE183" s="74" t="n">
        <f aca="false">AVERAGEA(BD183,BF183)</f>
        <v>0</v>
      </c>
      <c r="BF183" s="78" t="n">
        <v>0</v>
      </c>
      <c r="BG183" s="231" t="n">
        <v>0</v>
      </c>
      <c r="BH183" s="56" t="n">
        <f aca="false">AVERAGEA(BI183, BG183)</f>
        <v>0</v>
      </c>
      <c r="BI183" s="231" t="n">
        <v>0</v>
      </c>
      <c r="BJ183" s="78" t="n">
        <v>0</v>
      </c>
      <c r="BK183" s="74" t="n">
        <f aca="false">AVERAGEA(BJ183,BL183)</f>
        <v>0</v>
      </c>
      <c r="BL183" s="78" t="n">
        <v>0</v>
      </c>
      <c r="BM183" s="231" t="n">
        <v>0</v>
      </c>
      <c r="BN183" s="56" t="n">
        <f aca="false">AVERAGEA(BO183, BM183)</f>
        <v>0</v>
      </c>
      <c r="BO183" s="231" t="n">
        <v>0</v>
      </c>
    </row>
    <row r="184" customFormat="false" ht="15" hidden="false" customHeight="true" outlineLevel="0" collapsed="false">
      <c r="B184" s="239"/>
      <c r="C184" s="240"/>
      <c r="D184" s="240"/>
      <c r="E184" s="242"/>
      <c r="F184" s="243" t="s">
        <v>142</v>
      </c>
      <c r="G184" s="249"/>
      <c r="H184" s="78" t="n">
        <v>28</v>
      </c>
      <c r="I184" s="74" t="n">
        <f aca="false">AVERAGEA(H184,J184)</f>
        <v>33</v>
      </c>
      <c r="J184" s="245" t="n">
        <v>38</v>
      </c>
      <c r="K184" s="231" t="s">
        <v>46</v>
      </c>
      <c r="L184" s="56" t="n">
        <f aca="false">AVERAGEA(M184, K184)</f>
        <v>0</v>
      </c>
      <c r="M184" s="232" t="s">
        <v>46</v>
      </c>
      <c r="N184" s="78" t="s">
        <v>46</v>
      </c>
      <c r="O184" s="74" t="n">
        <f aca="false">AVERAGEA(N184,P184)</f>
        <v>0</v>
      </c>
      <c r="P184" s="245" t="s">
        <v>46</v>
      </c>
      <c r="Q184" s="78" t="s">
        <v>46</v>
      </c>
      <c r="R184" s="74" t="n">
        <f aca="false">AVERAGEA(Q184,S184)</f>
        <v>0</v>
      </c>
      <c r="S184" s="245" t="s">
        <v>46</v>
      </c>
      <c r="T184" s="231" t="n">
        <f aca="false">T176*1.66</f>
        <v>33.2</v>
      </c>
      <c r="U184" s="56" t="n">
        <f aca="false">AVERAGEA(V184, T184)</f>
        <v>45.65</v>
      </c>
      <c r="V184" s="231" t="n">
        <f aca="false">V176*1.66</f>
        <v>58.1</v>
      </c>
      <c r="W184" s="78" t="n">
        <v>0</v>
      </c>
      <c r="X184" s="74" t="n">
        <f aca="false">AVERAGEA(W184,Y184)</f>
        <v>0</v>
      </c>
      <c r="Y184" s="245" t="n">
        <v>0</v>
      </c>
      <c r="Z184" s="231" t="n">
        <v>15</v>
      </c>
      <c r="AA184" s="56" t="n">
        <f aca="false">AVERAGEA(AB184, Z184)</f>
        <v>27.5</v>
      </c>
      <c r="AB184" s="232" t="n">
        <v>40</v>
      </c>
      <c r="AC184" s="78" t="n">
        <v>15</v>
      </c>
      <c r="AD184" s="74" t="n">
        <f aca="false">AVERAGEA(AC184,AE184)</f>
        <v>27.5</v>
      </c>
      <c r="AE184" s="245" t="n">
        <v>40</v>
      </c>
      <c r="AF184" s="231" t="n">
        <v>0</v>
      </c>
      <c r="AG184" s="56" t="n">
        <f aca="false">AVERAGEA(AH184, AF184)</f>
        <v>0</v>
      </c>
      <c r="AH184" s="231" t="n">
        <v>0</v>
      </c>
      <c r="AI184" s="231" t="n">
        <v>0</v>
      </c>
      <c r="AJ184" s="56" t="n">
        <f aca="false">AVERAGEA(AK184, AI184)</f>
        <v>0</v>
      </c>
      <c r="AK184" s="231" t="n">
        <v>0</v>
      </c>
      <c r="AL184" s="78" t="n">
        <v>1000</v>
      </c>
      <c r="AM184" s="74" t="n">
        <f aca="false">AVERAGEA(AL184,AN184)</f>
        <v>1250</v>
      </c>
      <c r="AN184" s="245" t="n">
        <v>1500</v>
      </c>
      <c r="AO184" s="231" t="n">
        <v>22</v>
      </c>
      <c r="AP184" s="56" t="n">
        <f aca="false">AVERAGEA(AQ184, AO184)</f>
        <v>33.5</v>
      </c>
      <c r="AQ184" s="232" t="n">
        <v>45</v>
      </c>
      <c r="AR184" s="78" t="n">
        <v>7</v>
      </c>
      <c r="AS184" s="74" t="n">
        <f aca="false">AVERAGEA(AR184,AT184)</f>
        <v>11.5</v>
      </c>
      <c r="AT184" s="245" t="n">
        <v>16</v>
      </c>
      <c r="AU184" s="231" t="n">
        <v>0</v>
      </c>
      <c r="AV184" s="56" t="n">
        <f aca="false">AVERAGEA(AW184, AU184)</f>
        <v>0</v>
      </c>
      <c r="AW184" s="231" t="n">
        <v>0</v>
      </c>
      <c r="AX184" s="78" t="n">
        <v>0</v>
      </c>
      <c r="AY184" s="74" t="n">
        <f aca="false">AVERAGEA(AX184,AZ184)</f>
        <v>0</v>
      </c>
      <c r="AZ184" s="78" t="n">
        <v>0</v>
      </c>
      <c r="BA184" s="231" t="n">
        <v>0</v>
      </c>
      <c r="BB184" s="56" t="n">
        <f aca="false">AVERAGEA(BC184, BA184)</f>
        <v>0</v>
      </c>
      <c r="BC184" s="231" t="n">
        <v>0</v>
      </c>
      <c r="BD184" s="78" t="n">
        <v>0</v>
      </c>
      <c r="BE184" s="74" t="n">
        <f aca="false">AVERAGEA(BD184,BF184)</f>
        <v>0</v>
      </c>
      <c r="BF184" s="78" t="n">
        <v>0</v>
      </c>
      <c r="BG184" s="231" t="n">
        <v>0</v>
      </c>
      <c r="BH184" s="56" t="n">
        <f aca="false">AVERAGEA(BI184, BG184)</f>
        <v>0</v>
      </c>
      <c r="BI184" s="231" t="n">
        <v>0</v>
      </c>
      <c r="BJ184" s="78" t="n">
        <v>0</v>
      </c>
      <c r="BK184" s="74" t="n">
        <f aca="false">AVERAGEA(BJ184,BL184)</f>
        <v>0</v>
      </c>
      <c r="BL184" s="78" t="n">
        <v>0</v>
      </c>
      <c r="BM184" s="231" t="n">
        <v>0</v>
      </c>
      <c r="BN184" s="56" t="n">
        <f aca="false">AVERAGEA(BO184, BM184)</f>
        <v>0</v>
      </c>
      <c r="BO184" s="231" t="n">
        <v>0</v>
      </c>
    </row>
    <row r="185" customFormat="false" ht="15" hidden="false" customHeight="true" outlineLevel="0" collapsed="false">
      <c r="B185" s="239"/>
      <c r="C185" s="240"/>
      <c r="D185" s="240"/>
      <c r="E185" s="242"/>
      <c r="F185" s="247" t="s">
        <v>143</v>
      </c>
      <c r="G185" s="249"/>
      <c r="H185" s="205" t="n">
        <v>25</v>
      </c>
      <c r="I185" s="124" t="n">
        <f aca="false">AVERAGEA(H185,J185)</f>
        <v>30</v>
      </c>
      <c r="J185" s="119" t="n">
        <v>35</v>
      </c>
      <c r="K185" s="120" t="s">
        <v>46</v>
      </c>
      <c r="L185" s="121" t="n">
        <f aca="false">AVERAGEA(K185,M185)</f>
        <v>0</v>
      </c>
      <c r="M185" s="122" t="s">
        <v>46</v>
      </c>
      <c r="N185" s="205" t="s">
        <v>46</v>
      </c>
      <c r="O185" s="124" t="n">
        <f aca="false">AVERAGEA(N185,P185)</f>
        <v>0</v>
      </c>
      <c r="P185" s="119" t="s">
        <v>46</v>
      </c>
      <c r="Q185" s="205" t="s">
        <v>46</v>
      </c>
      <c r="R185" s="124" t="n">
        <f aca="false">AVERAGEA(Q185,S185)</f>
        <v>0</v>
      </c>
      <c r="S185" s="119" t="s">
        <v>46</v>
      </c>
      <c r="T185" s="120" t="n">
        <f aca="false">T177*1.66</f>
        <v>29.88</v>
      </c>
      <c r="U185" s="121" t="n">
        <f aca="false">AVERAGEA(T185,V185)</f>
        <v>41.5</v>
      </c>
      <c r="V185" s="120" t="n">
        <f aca="false">V177*1.66</f>
        <v>53.12</v>
      </c>
      <c r="W185" s="205" t="n">
        <v>0</v>
      </c>
      <c r="X185" s="124" t="n">
        <f aca="false">AVERAGEA(W185,Y185)</f>
        <v>0</v>
      </c>
      <c r="Y185" s="119" t="n">
        <v>0</v>
      </c>
      <c r="Z185" s="120" t="n">
        <v>15</v>
      </c>
      <c r="AA185" s="121" t="n">
        <f aca="false">AVERAGEA(Z185,AB185)</f>
        <v>27.5</v>
      </c>
      <c r="AB185" s="122" t="n">
        <v>40</v>
      </c>
      <c r="AC185" s="205" t="n">
        <v>15</v>
      </c>
      <c r="AD185" s="124" t="n">
        <f aca="false">AVERAGEA(AC185,AE185)</f>
        <v>27.5</v>
      </c>
      <c r="AE185" s="119" t="n">
        <v>40</v>
      </c>
      <c r="AF185" s="120" t="n">
        <v>0</v>
      </c>
      <c r="AG185" s="121" t="n">
        <f aca="false">AVERAGEA(AF185,AH185)</f>
        <v>0</v>
      </c>
      <c r="AH185" s="120" t="n">
        <v>0</v>
      </c>
      <c r="AI185" s="120" t="n">
        <v>0</v>
      </c>
      <c r="AJ185" s="121" t="n">
        <f aca="false">AVERAGEA(AI185,AK185)</f>
        <v>0</v>
      </c>
      <c r="AK185" s="120" t="n">
        <v>0</v>
      </c>
      <c r="AL185" s="205" t="n">
        <v>1100</v>
      </c>
      <c r="AM185" s="124" t="n">
        <f aca="false">AVERAGEA(AL185,AN185)</f>
        <v>1350</v>
      </c>
      <c r="AN185" s="119" t="n">
        <v>1600</v>
      </c>
      <c r="AO185" s="120" t="n">
        <v>25</v>
      </c>
      <c r="AP185" s="121" t="n">
        <f aca="false">AVERAGEA(AO185,AQ185)</f>
        <v>37.5</v>
      </c>
      <c r="AQ185" s="122" t="n">
        <v>50</v>
      </c>
      <c r="AR185" s="205" t="n">
        <v>8</v>
      </c>
      <c r="AS185" s="124" t="n">
        <f aca="false">AVERAGEA(AR185,AT185)</f>
        <v>13</v>
      </c>
      <c r="AT185" s="119" t="n">
        <v>18</v>
      </c>
      <c r="AU185" s="120" t="n">
        <v>0</v>
      </c>
      <c r="AV185" s="121" t="n">
        <f aca="false">AVERAGEA(AU185,AW185)</f>
        <v>0</v>
      </c>
      <c r="AW185" s="120" t="n">
        <v>0</v>
      </c>
      <c r="AX185" s="205" t="n">
        <v>0</v>
      </c>
      <c r="AY185" s="124" t="n">
        <f aca="false">AVERAGEA(AX185,AZ185)</f>
        <v>0</v>
      </c>
      <c r="AZ185" s="205" t="n">
        <v>0</v>
      </c>
      <c r="BA185" s="120" t="n">
        <v>0</v>
      </c>
      <c r="BB185" s="121" t="n">
        <f aca="false">AVERAGEA(BA185,BC185)</f>
        <v>0</v>
      </c>
      <c r="BC185" s="120" t="n">
        <v>0</v>
      </c>
      <c r="BD185" s="205" t="n">
        <v>0</v>
      </c>
      <c r="BE185" s="124" t="n">
        <f aca="false">AVERAGEA(BD185,BF185)</f>
        <v>0</v>
      </c>
      <c r="BF185" s="205" t="n">
        <v>0</v>
      </c>
      <c r="BG185" s="120" t="n">
        <v>0</v>
      </c>
      <c r="BH185" s="121" t="n">
        <f aca="false">AVERAGEA(BG185,BI185)</f>
        <v>0</v>
      </c>
      <c r="BI185" s="120" t="n">
        <v>0</v>
      </c>
      <c r="BJ185" s="205" t="n">
        <v>0</v>
      </c>
      <c r="BK185" s="124" t="n">
        <f aca="false">AVERAGEA(BJ185,BL185)</f>
        <v>0</v>
      </c>
      <c r="BL185" s="205" t="n">
        <v>0</v>
      </c>
      <c r="BM185" s="120" t="n">
        <v>0</v>
      </c>
      <c r="BN185" s="121" t="n">
        <f aca="false">AVERAGEA(BM185,BO185)</f>
        <v>0</v>
      </c>
      <c r="BO185" s="120" t="n">
        <v>0</v>
      </c>
    </row>
    <row r="186" customFormat="false" ht="15" hidden="false" customHeight="true" outlineLevel="0" collapsed="false">
      <c r="B186" s="239"/>
      <c r="C186" s="240"/>
      <c r="D186" s="250" t="s">
        <v>146</v>
      </c>
      <c r="E186" s="242"/>
      <c r="F186" s="243" t="s">
        <v>139</v>
      </c>
      <c r="G186" s="249" t="s">
        <v>140</v>
      </c>
      <c r="H186" s="78" t="n">
        <v>35</v>
      </c>
      <c r="I186" s="74" t="n">
        <f aca="false">AVERAGEA(H186,J186)</f>
        <v>42.5</v>
      </c>
      <c r="J186" s="245" t="n">
        <v>50</v>
      </c>
      <c r="K186" s="231" t="s">
        <v>46</v>
      </c>
      <c r="L186" s="56" t="n">
        <f aca="false">AVERAGEA(M186, K186)</f>
        <v>0</v>
      </c>
      <c r="M186" s="232" t="s">
        <v>46</v>
      </c>
      <c r="N186" s="78" t="s">
        <v>46</v>
      </c>
      <c r="O186" s="74" t="n">
        <f aca="false">AVERAGEA(N186,P186)</f>
        <v>0</v>
      </c>
      <c r="P186" s="245" t="s">
        <v>46</v>
      </c>
      <c r="Q186" s="78" t="s">
        <v>46</v>
      </c>
      <c r="R186" s="74" t="n">
        <f aca="false">AVERAGEA(Q186,S186)</f>
        <v>0</v>
      </c>
      <c r="S186" s="245" t="s">
        <v>46</v>
      </c>
      <c r="T186" s="231" t="n">
        <v>26</v>
      </c>
      <c r="U186" s="56" t="n">
        <f aca="false">AVERAGEA(V186, T186)</f>
        <v>37</v>
      </c>
      <c r="V186" s="232" t="n">
        <v>48</v>
      </c>
      <c r="W186" s="78" t="n">
        <v>0</v>
      </c>
      <c r="X186" s="74" t="n">
        <f aca="false">AVERAGEA(W186,Y186)</f>
        <v>0</v>
      </c>
      <c r="Y186" s="245" t="n">
        <v>0</v>
      </c>
      <c r="Z186" s="231" t="n">
        <v>15</v>
      </c>
      <c r="AA186" s="56" t="n">
        <f aca="false">AVERAGEA(AB186, Z186)</f>
        <v>27.5</v>
      </c>
      <c r="AB186" s="232" t="n">
        <v>40</v>
      </c>
      <c r="AC186" s="78" t="n">
        <v>15</v>
      </c>
      <c r="AD186" s="74" t="n">
        <f aca="false">AVERAGEA(AC186,AE186)</f>
        <v>27.5</v>
      </c>
      <c r="AE186" s="245" t="n">
        <v>40</v>
      </c>
      <c r="AF186" s="231" t="n">
        <v>0</v>
      </c>
      <c r="AG186" s="56" t="n">
        <f aca="false">AVERAGEA(AH186, AF186)</f>
        <v>0</v>
      </c>
      <c r="AH186" s="231" t="n">
        <v>0</v>
      </c>
      <c r="AI186" s="231" t="n">
        <v>0</v>
      </c>
      <c r="AJ186" s="56" t="n">
        <f aca="false">AVERAGEA(AK186, AI186)</f>
        <v>0</v>
      </c>
      <c r="AK186" s="231" t="n">
        <v>0</v>
      </c>
      <c r="AL186" s="78" t="n">
        <f aca="false">AL174*0.9</f>
        <v>720</v>
      </c>
      <c r="AM186" s="74" t="n">
        <f aca="false">AVERAGEA(AL186,AN186)</f>
        <v>945</v>
      </c>
      <c r="AN186" s="78" t="n">
        <f aca="false">AN174*0.9</f>
        <v>1170</v>
      </c>
      <c r="AO186" s="231" t="n">
        <v>18</v>
      </c>
      <c r="AP186" s="56" t="n">
        <f aca="false">AVERAGEA(AQ186, AO186)</f>
        <v>29</v>
      </c>
      <c r="AQ186" s="232" t="n">
        <v>40</v>
      </c>
      <c r="AR186" s="78" t="n">
        <v>5</v>
      </c>
      <c r="AS186" s="74" t="n">
        <f aca="false">AVERAGEA(AR186,AT186)</f>
        <v>9.5</v>
      </c>
      <c r="AT186" s="245" t="n">
        <v>14</v>
      </c>
      <c r="AU186" s="231" t="n">
        <v>0</v>
      </c>
      <c r="AV186" s="56" t="n">
        <f aca="false">AVERAGEA(AW186, AU186)</f>
        <v>0</v>
      </c>
      <c r="AW186" s="231" t="n">
        <v>0</v>
      </c>
      <c r="AX186" s="78" t="n">
        <v>0</v>
      </c>
      <c r="AY186" s="74" t="n">
        <f aca="false">AVERAGEA(AX186,AZ186)</f>
        <v>0</v>
      </c>
      <c r="AZ186" s="78" t="n">
        <v>0</v>
      </c>
      <c r="BA186" s="231" t="n">
        <v>0</v>
      </c>
      <c r="BB186" s="56" t="n">
        <f aca="false">AVERAGEA(BC186, BA186)</f>
        <v>0</v>
      </c>
      <c r="BC186" s="231" t="n">
        <v>0</v>
      </c>
      <c r="BD186" s="78" t="n">
        <v>0</v>
      </c>
      <c r="BE186" s="74" t="n">
        <f aca="false">AVERAGEA(BD186,BF186)</f>
        <v>0</v>
      </c>
      <c r="BF186" s="78" t="n">
        <v>0</v>
      </c>
      <c r="BG186" s="231" t="n">
        <v>0</v>
      </c>
      <c r="BH186" s="56" t="n">
        <f aca="false">AVERAGEA(BI186, BG186)</f>
        <v>0</v>
      </c>
      <c r="BI186" s="231" t="n">
        <v>0</v>
      </c>
      <c r="BJ186" s="78" t="n">
        <v>0</v>
      </c>
      <c r="BK186" s="74" t="n">
        <f aca="false">AVERAGEA(BJ186,BL186)</f>
        <v>0</v>
      </c>
      <c r="BL186" s="78" t="n">
        <v>0</v>
      </c>
      <c r="BM186" s="231" t="n">
        <v>0</v>
      </c>
      <c r="BN186" s="56" t="n">
        <f aca="false">AVERAGEA(BO186, BM186)</f>
        <v>0</v>
      </c>
      <c r="BO186" s="231" t="n">
        <v>0</v>
      </c>
    </row>
    <row r="187" customFormat="false" ht="15" hidden="false" customHeight="true" outlineLevel="0" collapsed="false">
      <c r="B187" s="239"/>
      <c r="C187" s="240"/>
      <c r="D187" s="240"/>
      <c r="E187" s="242"/>
      <c r="F187" s="243" t="s">
        <v>141</v>
      </c>
      <c r="G187" s="249"/>
      <c r="H187" s="78" t="n">
        <v>30</v>
      </c>
      <c r="I187" s="74" t="n">
        <f aca="false">AVERAGEA(H187,J187)</f>
        <v>36</v>
      </c>
      <c r="J187" s="245" t="n">
        <v>42</v>
      </c>
      <c r="K187" s="231" t="s">
        <v>46</v>
      </c>
      <c r="L187" s="56" t="n">
        <f aca="false">AVERAGEA(M187, K187)</f>
        <v>0</v>
      </c>
      <c r="M187" s="232" t="s">
        <v>46</v>
      </c>
      <c r="N187" s="78" t="s">
        <v>46</v>
      </c>
      <c r="O187" s="74" t="n">
        <f aca="false">AVERAGEA(N187,P187)</f>
        <v>0</v>
      </c>
      <c r="P187" s="245" t="s">
        <v>46</v>
      </c>
      <c r="Q187" s="78" t="s">
        <v>46</v>
      </c>
      <c r="R187" s="74" t="n">
        <f aca="false">AVERAGEA(Q187,S187)</f>
        <v>0</v>
      </c>
      <c r="S187" s="245" t="s">
        <v>46</v>
      </c>
      <c r="T187" s="231" t="n">
        <v>22</v>
      </c>
      <c r="U187" s="56" t="n">
        <f aca="false">AVERAGEA(V187, T187)</f>
        <v>31</v>
      </c>
      <c r="V187" s="232" t="n">
        <v>40</v>
      </c>
      <c r="W187" s="78" t="n">
        <v>0</v>
      </c>
      <c r="X187" s="74" t="n">
        <f aca="false">AVERAGEA(W187,Y187)</f>
        <v>0</v>
      </c>
      <c r="Y187" s="245" t="n">
        <v>0</v>
      </c>
      <c r="Z187" s="231" t="n">
        <v>15</v>
      </c>
      <c r="AA187" s="56" t="n">
        <f aca="false">AVERAGEA(AB187, Z187)</f>
        <v>27.5</v>
      </c>
      <c r="AB187" s="232" t="n">
        <v>40</v>
      </c>
      <c r="AC187" s="78" t="n">
        <v>15</v>
      </c>
      <c r="AD187" s="74" t="n">
        <f aca="false">AVERAGEA(AC187,AE187)</f>
        <v>27.5</v>
      </c>
      <c r="AE187" s="245" t="n">
        <v>40</v>
      </c>
      <c r="AF187" s="231" t="n">
        <v>0</v>
      </c>
      <c r="AG187" s="56" t="n">
        <f aca="false">AVERAGEA(AH187, AF187)</f>
        <v>0</v>
      </c>
      <c r="AH187" s="231" t="n">
        <v>0</v>
      </c>
      <c r="AI187" s="231" t="n">
        <v>0</v>
      </c>
      <c r="AJ187" s="56" t="n">
        <f aca="false">AVERAGEA(AK187, AI187)</f>
        <v>0</v>
      </c>
      <c r="AK187" s="231" t="n">
        <v>0</v>
      </c>
      <c r="AL187" s="78" t="n">
        <f aca="false">AL175*0.9</f>
        <v>810</v>
      </c>
      <c r="AM187" s="74" t="n">
        <f aca="false">AVERAGEA(AL187,AN187)</f>
        <v>1035</v>
      </c>
      <c r="AN187" s="78" t="n">
        <f aca="false">AN175*0.9</f>
        <v>1260</v>
      </c>
      <c r="AO187" s="231" t="n">
        <v>20</v>
      </c>
      <c r="AP187" s="56" t="n">
        <f aca="false">AVERAGEA(AQ187, AO187)</f>
        <v>31</v>
      </c>
      <c r="AQ187" s="232" t="n">
        <v>42</v>
      </c>
      <c r="AR187" s="78" t="n">
        <v>6</v>
      </c>
      <c r="AS187" s="74" t="n">
        <f aca="false">AVERAGEA(AR187,AT187)</f>
        <v>10.5</v>
      </c>
      <c r="AT187" s="245" t="n">
        <v>15</v>
      </c>
      <c r="AU187" s="231" t="n">
        <v>0</v>
      </c>
      <c r="AV187" s="56" t="n">
        <f aca="false">AVERAGEA(AW187, AU187)</f>
        <v>0</v>
      </c>
      <c r="AW187" s="231" t="n">
        <v>0</v>
      </c>
      <c r="AX187" s="78" t="n">
        <v>0</v>
      </c>
      <c r="AY187" s="74" t="n">
        <f aca="false">AVERAGEA(AX187,AZ187)</f>
        <v>0</v>
      </c>
      <c r="AZ187" s="78" t="n">
        <v>0</v>
      </c>
      <c r="BA187" s="231" t="n">
        <v>0</v>
      </c>
      <c r="BB187" s="56" t="n">
        <f aca="false">AVERAGEA(BC187, BA187)</f>
        <v>0</v>
      </c>
      <c r="BC187" s="231" t="n">
        <v>0</v>
      </c>
      <c r="BD187" s="78" t="n">
        <v>0</v>
      </c>
      <c r="BE187" s="74" t="n">
        <f aca="false">AVERAGEA(BD187,BF187)</f>
        <v>0</v>
      </c>
      <c r="BF187" s="78" t="n">
        <v>0</v>
      </c>
      <c r="BG187" s="231" t="n">
        <v>0</v>
      </c>
      <c r="BH187" s="56" t="n">
        <f aca="false">AVERAGEA(BI187, BG187)</f>
        <v>0</v>
      </c>
      <c r="BI187" s="231" t="n">
        <v>0</v>
      </c>
      <c r="BJ187" s="78" t="n">
        <v>0</v>
      </c>
      <c r="BK187" s="74" t="n">
        <f aca="false">AVERAGEA(BJ187,BL187)</f>
        <v>0</v>
      </c>
      <c r="BL187" s="78" t="n">
        <v>0</v>
      </c>
      <c r="BM187" s="231" t="n">
        <v>0</v>
      </c>
      <c r="BN187" s="56" t="n">
        <f aca="false">AVERAGEA(BO187, BM187)</f>
        <v>0</v>
      </c>
      <c r="BO187" s="231" t="n">
        <v>0</v>
      </c>
    </row>
    <row r="188" customFormat="false" ht="15" hidden="false" customHeight="true" outlineLevel="0" collapsed="false">
      <c r="B188" s="239"/>
      <c r="C188" s="240"/>
      <c r="D188" s="240"/>
      <c r="E188" s="242"/>
      <c r="F188" s="243" t="s">
        <v>142</v>
      </c>
      <c r="G188" s="249"/>
      <c r="H188" s="78" t="n">
        <v>28</v>
      </c>
      <c r="I188" s="74" t="n">
        <f aca="false">AVERAGEA(H188,J188)</f>
        <v>33</v>
      </c>
      <c r="J188" s="245" t="n">
        <v>38</v>
      </c>
      <c r="K188" s="231" t="s">
        <v>46</v>
      </c>
      <c r="L188" s="56" t="n">
        <f aca="false">AVERAGEA(M188, K188)</f>
        <v>0</v>
      </c>
      <c r="M188" s="232" t="s">
        <v>46</v>
      </c>
      <c r="N188" s="78" t="s">
        <v>46</v>
      </c>
      <c r="O188" s="74" t="n">
        <f aca="false">AVERAGEA(N188,P188)</f>
        <v>0</v>
      </c>
      <c r="P188" s="245" t="s">
        <v>46</v>
      </c>
      <c r="Q188" s="78" t="s">
        <v>46</v>
      </c>
      <c r="R188" s="74" t="n">
        <f aca="false">AVERAGEA(Q188,S188)</f>
        <v>0</v>
      </c>
      <c r="S188" s="245" t="s">
        <v>46</v>
      </c>
      <c r="T188" s="231" t="n">
        <v>20</v>
      </c>
      <c r="U188" s="56" t="n">
        <f aca="false">AVERAGEA(V188, T188)</f>
        <v>27.5</v>
      </c>
      <c r="V188" s="232" t="n">
        <v>35</v>
      </c>
      <c r="W188" s="78" t="n">
        <v>0</v>
      </c>
      <c r="X188" s="74" t="n">
        <f aca="false">AVERAGEA(W188,Y188)</f>
        <v>0</v>
      </c>
      <c r="Y188" s="245" t="n">
        <v>0</v>
      </c>
      <c r="Z188" s="231" t="n">
        <v>15</v>
      </c>
      <c r="AA188" s="56" t="n">
        <f aca="false">AVERAGEA(AB188, Z188)</f>
        <v>27.5</v>
      </c>
      <c r="AB188" s="232" t="n">
        <v>40</v>
      </c>
      <c r="AC188" s="78" t="n">
        <v>15</v>
      </c>
      <c r="AD188" s="74" t="n">
        <f aca="false">AVERAGEA(AC188,AE188)</f>
        <v>27.5</v>
      </c>
      <c r="AE188" s="245" t="n">
        <v>40</v>
      </c>
      <c r="AF188" s="231" t="n">
        <v>0</v>
      </c>
      <c r="AG188" s="56" t="n">
        <f aca="false">AVERAGEA(AH188, AF188)</f>
        <v>0</v>
      </c>
      <c r="AH188" s="231" t="n">
        <v>0</v>
      </c>
      <c r="AI188" s="231" t="n">
        <v>0</v>
      </c>
      <c r="AJ188" s="56" t="n">
        <f aca="false">AVERAGEA(AK188, AI188)</f>
        <v>0</v>
      </c>
      <c r="AK188" s="231" t="n">
        <v>0</v>
      </c>
      <c r="AL188" s="78" t="n">
        <f aca="false">AL176*0.9</f>
        <v>900</v>
      </c>
      <c r="AM188" s="74" t="n">
        <f aca="false">AVERAGEA(AL188,AN188)</f>
        <v>1125</v>
      </c>
      <c r="AN188" s="78" t="n">
        <f aca="false">AN176*0.9</f>
        <v>1350</v>
      </c>
      <c r="AO188" s="231" t="n">
        <v>22</v>
      </c>
      <c r="AP188" s="56" t="n">
        <f aca="false">AVERAGEA(AQ188, AO188)</f>
        <v>33.5</v>
      </c>
      <c r="AQ188" s="232" t="n">
        <v>45</v>
      </c>
      <c r="AR188" s="78" t="n">
        <v>7</v>
      </c>
      <c r="AS188" s="74" t="n">
        <f aca="false">AVERAGEA(AR188,AT188)</f>
        <v>11.5</v>
      </c>
      <c r="AT188" s="245" t="n">
        <v>16</v>
      </c>
      <c r="AU188" s="231" t="n">
        <v>0</v>
      </c>
      <c r="AV188" s="56" t="n">
        <f aca="false">AVERAGEA(AW188, AU188)</f>
        <v>0</v>
      </c>
      <c r="AW188" s="231" t="n">
        <v>0</v>
      </c>
      <c r="AX188" s="78" t="n">
        <v>0</v>
      </c>
      <c r="AY188" s="74" t="n">
        <f aca="false">AVERAGEA(AX188,AZ188)</f>
        <v>0</v>
      </c>
      <c r="AZ188" s="78" t="n">
        <v>0</v>
      </c>
      <c r="BA188" s="231" t="n">
        <v>0</v>
      </c>
      <c r="BB188" s="56" t="n">
        <f aca="false">AVERAGEA(BC188, BA188)</f>
        <v>0</v>
      </c>
      <c r="BC188" s="231" t="n">
        <v>0</v>
      </c>
      <c r="BD188" s="78" t="n">
        <v>0</v>
      </c>
      <c r="BE188" s="74" t="n">
        <f aca="false">AVERAGEA(BD188,BF188)</f>
        <v>0</v>
      </c>
      <c r="BF188" s="78" t="n">
        <v>0</v>
      </c>
      <c r="BG188" s="231" t="n">
        <v>0</v>
      </c>
      <c r="BH188" s="56" t="n">
        <f aca="false">AVERAGEA(BI188, BG188)</f>
        <v>0</v>
      </c>
      <c r="BI188" s="231" t="n">
        <v>0</v>
      </c>
      <c r="BJ188" s="78" t="n">
        <v>0</v>
      </c>
      <c r="BK188" s="74" t="n">
        <f aca="false">AVERAGEA(BJ188,BL188)</f>
        <v>0</v>
      </c>
      <c r="BL188" s="78" t="n">
        <v>0</v>
      </c>
      <c r="BM188" s="231" t="n">
        <v>0</v>
      </c>
      <c r="BN188" s="56" t="n">
        <f aca="false">AVERAGEA(BO188, BM188)</f>
        <v>0</v>
      </c>
      <c r="BO188" s="231" t="n">
        <v>0</v>
      </c>
    </row>
    <row r="189" customFormat="false" ht="15" hidden="false" customHeight="true" outlineLevel="0" collapsed="false">
      <c r="B189" s="239"/>
      <c r="C189" s="240"/>
      <c r="D189" s="240"/>
      <c r="E189" s="242"/>
      <c r="F189" s="247" t="s">
        <v>143</v>
      </c>
      <c r="G189" s="249"/>
      <c r="H189" s="205" t="n">
        <v>25</v>
      </c>
      <c r="I189" s="124" t="n">
        <f aca="false">AVERAGEA(H189,J189)</f>
        <v>30</v>
      </c>
      <c r="J189" s="119" t="n">
        <v>35</v>
      </c>
      <c r="K189" s="120" t="s">
        <v>46</v>
      </c>
      <c r="L189" s="121" t="n">
        <f aca="false">AVERAGEA(K189,M189)</f>
        <v>0</v>
      </c>
      <c r="M189" s="122" t="s">
        <v>46</v>
      </c>
      <c r="N189" s="205" t="s">
        <v>46</v>
      </c>
      <c r="O189" s="124" t="n">
        <f aca="false">AVERAGEA(N189,P189)</f>
        <v>0</v>
      </c>
      <c r="P189" s="119" t="s">
        <v>46</v>
      </c>
      <c r="Q189" s="205" t="s">
        <v>46</v>
      </c>
      <c r="R189" s="124" t="n">
        <f aca="false">AVERAGEA(Q189,S189)</f>
        <v>0</v>
      </c>
      <c r="S189" s="119" t="s">
        <v>46</v>
      </c>
      <c r="T189" s="120" t="n">
        <v>18</v>
      </c>
      <c r="U189" s="121" t="n">
        <f aca="false">AVERAGEA(T189,V189)</f>
        <v>25</v>
      </c>
      <c r="V189" s="122" t="n">
        <v>32</v>
      </c>
      <c r="W189" s="205" t="n">
        <v>0</v>
      </c>
      <c r="X189" s="124" t="n">
        <f aca="false">AVERAGEA(W189,Y189)</f>
        <v>0</v>
      </c>
      <c r="Y189" s="119" t="n">
        <v>0</v>
      </c>
      <c r="Z189" s="120" t="n">
        <v>15</v>
      </c>
      <c r="AA189" s="121" t="n">
        <f aca="false">AVERAGEA(Z189,AB189)</f>
        <v>27.5</v>
      </c>
      <c r="AB189" s="122" t="n">
        <v>40</v>
      </c>
      <c r="AC189" s="205" t="n">
        <v>15</v>
      </c>
      <c r="AD189" s="124" t="n">
        <f aca="false">AVERAGEA(AC189,AE189)</f>
        <v>27.5</v>
      </c>
      <c r="AE189" s="119" t="n">
        <v>40</v>
      </c>
      <c r="AF189" s="120" t="n">
        <v>0</v>
      </c>
      <c r="AG189" s="121" t="n">
        <f aca="false">AVERAGEA(AF189,AH189)</f>
        <v>0</v>
      </c>
      <c r="AH189" s="120" t="n">
        <v>0</v>
      </c>
      <c r="AI189" s="120" t="n">
        <v>0</v>
      </c>
      <c r="AJ189" s="121" t="n">
        <f aca="false">AVERAGEA(AI189,AK189)</f>
        <v>0</v>
      </c>
      <c r="AK189" s="120" t="n">
        <v>0</v>
      </c>
      <c r="AL189" s="205" t="n">
        <f aca="false">AL177*0.9</f>
        <v>990</v>
      </c>
      <c r="AM189" s="124" t="n">
        <f aca="false">AVERAGEA(AL189,AN189)</f>
        <v>1215</v>
      </c>
      <c r="AN189" s="119" t="n">
        <f aca="false">AN177*0.9</f>
        <v>1440</v>
      </c>
      <c r="AO189" s="120" t="n">
        <v>25</v>
      </c>
      <c r="AP189" s="121" t="n">
        <f aca="false">AVERAGEA(AO189,AQ189)</f>
        <v>37.5</v>
      </c>
      <c r="AQ189" s="122" t="n">
        <v>50</v>
      </c>
      <c r="AR189" s="205" t="n">
        <v>8</v>
      </c>
      <c r="AS189" s="124" t="n">
        <f aca="false">AVERAGEA(AR189,AT189)</f>
        <v>13</v>
      </c>
      <c r="AT189" s="119" t="n">
        <v>18</v>
      </c>
      <c r="AU189" s="120" t="n">
        <v>0</v>
      </c>
      <c r="AV189" s="121" t="n">
        <f aca="false">AVERAGEA(AU189,AW189)</f>
        <v>0</v>
      </c>
      <c r="AW189" s="120" t="n">
        <v>0</v>
      </c>
      <c r="AX189" s="205" t="n">
        <v>0</v>
      </c>
      <c r="AY189" s="124" t="n">
        <f aca="false">AVERAGEA(AX189,AZ189)</f>
        <v>0</v>
      </c>
      <c r="AZ189" s="205" t="n">
        <v>0</v>
      </c>
      <c r="BA189" s="120" t="n">
        <v>0</v>
      </c>
      <c r="BB189" s="121" t="n">
        <f aca="false">AVERAGEA(BA189,BC189)</f>
        <v>0</v>
      </c>
      <c r="BC189" s="120" t="n">
        <v>0</v>
      </c>
      <c r="BD189" s="205" t="n">
        <v>0</v>
      </c>
      <c r="BE189" s="124" t="n">
        <f aca="false">AVERAGEA(BD189,BF189)</f>
        <v>0</v>
      </c>
      <c r="BF189" s="205" t="n">
        <v>0</v>
      </c>
      <c r="BG189" s="120" t="n">
        <v>0</v>
      </c>
      <c r="BH189" s="121" t="n">
        <f aca="false">AVERAGEA(BG189,BI189)</f>
        <v>0</v>
      </c>
      <c r="BI189" s="120" t="n">
        <v>0</v>
      </c>
      <c r="BJ189" s="205" t="n">
        <v>0</v>
      </c>
      <c r="BK189" s="124" t="n">
        <f aca="false">AVERAGEA(BJ189,BL189)</f>
        <v>0</v>
      </c>
      <c r="BL189" s="205" t="n">
        <v>0</v>
      </c>
      <c r="BM189" s="120" t="n">
        <v>0</v>
      </c>
      <c r="BN189" s="121" t="n">
        <f aca="false">AVERAGEA(BM189,BO189)</f>
        <v>0</v>
      </c>
      <c r="BO189" s="120" t="n">
        <v>0</v>
      </c>
    </row>
    <row r="190" customFormat="false" ht="15" hidden="false" customHeight="true" outlineLevel="0" collapsed="false">
      <c r="B190" s="239"/>
      <c r="C190" s="240"/>
      <c r="D190" s="250" t="s">
        <v>138</v>
      </c>
      <c r="E190" s="242"/>
      <c r="F190" s="243" t="s">
        <v>139</v>
      </c>
      <c r="G190" s="249" t="s">
        <v>144</v>
      </c>
      <c r="H190" s="78" t="n">
        <v>35</v>
      </c>
      <c r="I190" s="74" t="n">
        <f aca="false">AVERAGEA(H190,J190)</f>
        <v>42.5</v>
      </c>
      <c r="J190" s="245" t="n">
        <v>50</v>
      </c>
      <c r="K190" s="231" t="s">
        <v>46</v>
      </c>
      <c r="L190" s="56" t="n">
        <f aca="false">AVERAGEA(M190, K190)</f>
        <v>0</v>
      </c>
      <c r="M190" s="232" t="s">
        <v>46</v>
      </c>
      <c r="N190" s="78" t="s">
        <v>46</v>
      </c>
      <c r="O190" s="74" t="n">
        <f aca="false">AVERAGEA(N190,P190)</f>
        <v>0</v>
      </c>
      <c r="P190" s="245" t="s">
        <v>46</v>
      </c>
      <c r="Q190" s="78" t="s">
        <v>46</v>
      </c>
      <c r="R190" s="74" t="n">
        <f aca="false">AVERAGEA(Q190,S190)</f>
        <v>0</v>
      </c>
      <c r="S190" s="245" t="s">
        <v>46</v>
      </c>
      <c r="T190" s="231" t="n">
        <f aca="false">T186*1.23</f>
        <v>31.98</v>
      </c>
      <c r="U190" s="56" t="n">
        <f aca="false">AVERAGEA(V190, T190)</f>
        <v>45.51</v>
      </c>
      <c r="V190" s="231" t="n">
        <f aca="false">V186*1.23</f>
        <v>59.04</v>
      </c>
      <c r="W190" s="78" t="n">
        <v>0</v>
      </c>
      <c r="X190" s="74" t="n">
        <f aca="false">AVERAGEA(W190,Y190)</f>
        <v>0</v>
      </c>
      <c r="Y190" s="245" t="n">
        <v>0</v>
      </c>
      <c r="Z190" s="231" t="n">
        <v>15</v>
      </c>
      <c r="AA190" s="56" t="n">
        <f aca="false">AVERAGEA(AB190, Z190)</f>
        <v>27.5</v>
      </c>
      <c r="AB190" s="232" t="n">
        <v>40</v>
      </c>
      <c r="AC190" s="78" t="n">
        <v>15</v>
      </c>
      <c r="AD190" s="74" t="n">
        <f aca="false">AVERAGEA(AC190,AE190)</f>
        <v>27.5</v>
      </c>
      <c r="AE190" s="245" t="n">
        <v>40</v>
      </c>
      <c r="AF190" s="231" t="n">
        <v>0</v>
      </c>
      <c r="AG190" s="56" t="n">
        <f aca="false">AVERAGEA(AH190, AF190)</f>
        <v>0</v>
      </c>
      <c r="AH190" s="231" t="n">
        <v>0</v>
      </c>
      <c r="AI190" s="231" t="n">
        <v>0</v>
      </c>
      <c r="AJ190" s="56" t="n">
        <f aca="false">AVERAGEA(AK190, AI190)</f>
        <v>0</v>
      </c>
      <c r="AK190" s="231" t="n">
        <v>0</v>
      </c>
      <c r="AL190" s="78" t="n">
        <f aca="false">AL178*0.9</f>
        <v>720</v>
      </c>
      <c r="AM190" s="74" t="n">
        <f aca="false">AVERAGEA(AL190,AN190)</f>
        <v>945</v>
      </c>
      <c r="AN190" s="78" t="n">
        <f aca="false">AN178*0.9</f>
        <v>1170</v>
      </c>
      <c r="AO190" s="231" t="n">
        <v>18</v>
      </c>
      <c r="AP190" s="56" t="n">
        <f aca="false">AVERAGEA(AQ190, AO190)</f>
        <v>29</v>
      </c>
      <c r="AQ190" s="232" t="n">
        <v>40</v>
      </c>
      <c r="AR190" s="78" t="n">
        <v>5</v>
      </c>
      <c r="AS190" s="74" t="n">
        <f aca="false">AVERAGEA(AR190,AT190)</f>
        <v>9.5</v>
      </c>
      <c r="AT190" s="245" t="n">
        <v>14</v>
      </c>
      <c r="AU190" s="231" t="n">
        <v>0</v>
      </c>
      <c r="AV190" s="56" t="n">
        <f aca="false">AVERAGEA(AW190, AU190)</f>
        <v>0</v>
      </c>
      <c r="AW190" s="231" t="n">
        <v>0</v>
      </c>
      <c r="AX190" s="78" t="n">
        <v>0</v>
      </c>
      <c r="AY190" s="74" t="n">
        <f aca="false">AVERAGEA(AX190,AZ190)</f>
        <v>0</v>
      </c>
      <c r="AZ190" s="78" t="n">
        <v>0</v>
      </c>
      <c r="BA190" s="231" t="n">
        <v>0</v>
      </c>
      <c r="BB190" s="56" t="n">
        <f aca="false">AVERAGEA(BC190, BA190)</f>
        <v>0</v>
      </c>
      <c r="BC190" s="231" t="n">
        <v>0</v>
      </c>
      <c r="BD190" s="78" t="n">
        <v>0</v>
      </c>
      <c r="BE190" s="74" t="n">
        <f aca="false">AVERAGEA(BD190,BF190)</f>
        <v>0</v>
      </c>
      <c r="BF190" s="78" t="n">
        <v>0</v>
      </c>
      <c r="BG190" s="231" t="n">
        <v>0</v>
      </c>
      <c r="BH190" s="56" t="n">
        <f aca="false">AVERAGEA(BI190, BG190)</f>
        <v>0</v>
      </c>
      <c r="BI190" s="231" t="n">
        <v>0</v>
      </c>
      <c r="BJ190" s="78" t="n">
        <v>0</v>
      </c>
      <c r="BK190" s="74" t="n">
        <f aca="false">AVERAGEA(BJ190,BL190)</f>
        <v>0</v>
      </c>
      <c r="BL190" s="78" t="n">
        <v>0</v>
      </c>
      <c r="BM190" s="231" t="n">
        <v>0</v>
      </c>
      <c r="BN190" s="56" t="n">
        <f aca="false">AVERAGEA(BO190, BM190)</f>
        <v>0</v>
      </c>
      <c r="BO190" s="231" t="n">
        <v>0</v>
      </c>
    </row>
    <row r="191" customFormat="false" ht="15" hidden="false" customHeight="true" outlineLevel="0" collapsed="false">
      <c r="B191" s="239"/>
      <c r="C191" s="240"/>
      <c r="D191" s="240"/>
      <c r="E191" s="242"/>
      <c r="F191" s="243" t="s">
        <v>141</v>
      </c>
      <c r="G191" s="249"/>
      <c r="H191" s="78" t="n">
        <v>30</v>
      </c>
      <c r="I191" s="74" t="n">
        <f aca="false">AVERAGEA(H191,J191)</f>
        <v>36</v>
      </c>
      <c r="J191" s="245" t="n">
        <v>42</v>
      </c>
      <c r="K191" s="231" t="s">
        <v>46</v>
      </c>
      <c r="L191" s="56" t="n">
        <f aca="false">AVERAGEA(M191, K191)</f>
        <v>0</v>
      </c>
      <c r="M191" s="232" t="s">
        <v>46</v>
      </c>
      <c r="N191" s="78" t="s">
        <v>46</v>
      </c>
      <c r="O191" s="74" t="n">
        <f aca="false">AVERAGEA(N191,P191)</f>
        <v>0</v>
      </c>
      <c r="P191" s="245" t="s">
        <v>46</v>
      </c>
      <c r="Q191" s="78" t="s">
        <v>46</v>
      </c>
      <c r="R191" s="74" t="n">
        <f aca="false">AVERAGEA(Q191,S191)</f>
        <v>0</v>
      </c>
      <c r="S191" s="245" t="s">
        <v>46</v>
      </c>
      <c r="T191" s="231" t="n">
        <f aca="false">T187*1.23</f>
        <v>27.06</v>
      </c>
      <c r="U191" s="56" t="n">
        <f aca="false">AVERAGEA(V191, T191)</f>
        <v>38.13</v>
      </c>
      <c r="V191" s="231" t="n">
        <f aca="false">V187*1.23</f>
        <v>49.2</v>
      </c>
      <c r="W191" s="78" t="n">
        <v>0</v>
      </c>
      <c r="X191" s="74" t="n">
        <f aca="false">AVERAGEA(W191,Y191)</f>
        <v>0</v>
      </c>
      <c r="Y191" s="245" t="n">
        <v>0</v>
      </c>
      <c r="Z191" s="231" t="n">
        <v>15</v>
      </c>
      <c r="AA191" s="56" t="n">
        <f aca="false">AVERAGEA(AB191, Z191)</f>
        <v>27.5</v>
      </c>
      <c r="AB191" s="232" t="n">
        <v>40</v>
      </c>
      <c r="AC191" s="78" t="n">
        <v>15</v>
      </c>
      <c r="AD191" s="74" t="n">
        <f aca="false">AVERAGEA(AC191,AE191)</f>
        <v>27.5</v>
      </c>
      <c r="AE191" s="245" t="n">
        <v>40</v>
      </c>
      <c r="AF191" s="231" t="n">
        <v>0</v>
      </c>
      <c r="AG191" s="56" t="n">
        <f aca="false">AVERAGEA(AH191, AF191)</f>
        <v>0</v>
      </c>
      <c r="AH191" s="231" t="n">
        <v>0</v>
      </c>
      <c r="AI191" s="231" t="n">
        <v>0</v>
      </c>
      <c r="AJ191" s="56" t="n">
        <f aca="false">AVERAGEA(AK191, AI191)</f>
        <v>0</v>
      </c>
      <c r="AK191" s="231" t="n">
        <v>0</v>
      </c>
      <c r="AL191" s="78" t="n">
        <f aca="false">AL179*0.9</f>
        <v>810</v>
      </c>
      <c r="AM191" s="74" t="n">
        <f aca="false">AVERAGEA(AL191,AN191)</f>
        <v>1035</v>
      </c>
      <c r="AN191" s="78" t="n">
        <f aca="false">AN179*0.9</f>
        <v>1260</v>
      </c>
      <c r="AO191" s="231" t="n">
        <v>20</v>
      </c>
      <c r="AP191" s="56" t="n">
        <f aca="false">AVERAGEA(AQ191, AO191)</f>
        <v>31</v>
      </c>
      <c r="AQ191" s="232" t="n">
        <v>42</v>
      </c>
      <c r="AR191" s="78" t="n">
        <v>6</v>
      </c>
      <c r="AS191" s="74" t="n">
        <f aca="false">AVERAGEA(AR191,AT191)</f>
        <v>10.5</v>
      </c>
      <c r="AT191" s="245" t="n">
        <v>15</v>
      </c>
      <c r="AU191" s="231" t="n">
        <v>0</v>
      </c>
      <c r="AV191" s="56" t="n">
        <f aca="false">AVERAGEA(AW191, AU191)</f>
        <v>0</v>
      </c>
      <c r="AW191" s="231" t="n">
        <v>0</v>
      </c>
      <c r="AX191" s="78" t="n">
        <v>0</v>
      </c>
      <c r="AY191" s="74" t="n">
        <f aca="false">AVERAGEA(AX191,AZ191)</f>
        <v>0</v>
      </c>
      <c r="AZ191" s="78" t="n">
        <v>0</v>
      </c>
      <c r="BA191" s="231" t="n">
        <v>0</v>
      </c>
      <c r="BB191" s="56" t="n">
        <f aca="false">AVERAGEA(BC191, BA191)</f>
        <v>0</v>
      </c>
      <c r="BC191" s="231" t="n">
        <v>0</v>
      </c>
      <c r="BD191" s="78" t="n">
        <v>0</v>
      </c>
      <c r="BE191" s="74" t="n">
        <f aca="false">AVERAGEA(BD191,BF191)</f>
        <v>0</v>
      </c>
      <c r="BF191" s="78" t="n">
        <v>0</v>
      </c>
      <c r="BG191" s="231" t="n">
        <v>0</v>
      </c>
      <c r="BH191" s="56" t="n">
        <f aca="false">AVERAGEA(BI191, BG191)</f>
        <v>0</v>
      </c>
      <c r="BI191" s="231" t="n">
        <v>0</v>
      </c>
      <c r="BJ191" s="78" t="n">
        <v>0</v>
      </c>
      <c r="BK191" s="74" t="n">
        <f aca="false">AVERAGEA(BJ191,BL191)</f>
        <v>0</v>
      </c>
      <c r="BL191" s="78" t="n">
        <v>0</v>
      </c>
      <c r="BM191" s="231" t="n">
        <v>0</v>
      </c>
      <c r="BN191" s="56" t="n">
        <f aca="false">AVERAGEA(BO191, BM191)</f>
        <v>0</v>
      </c>
      <c r="BO191" s="231" t="n">
        <v>0</v>
      </c>
    </row>
    <row r="192" customFormat="false" ht="15" hidden="false" customHeight="true" outlineLevel="0" collapsed="false">
      <c r="B192" s="239"/>
      <c r="C192" s="240"/>
      <c r="D192" s="240"/>
      <c r="E192" s="242"/>
      <c r="F192" s="243" t="s">
        <v>142</v>
      </c>
      <c r="G192" s="249"/>
      <c r="H192" s="78" t="n">
        <v>28</v>
      </c>
      <c r="I192" s="74" t="n">
        <f aca="false">AVERAGEA(H192,J192)</f>
        <v>33</v>
      </c>
      <c r="J192" s="245" t="n">
        <v>38</v>
      </c>
      <c r="K192" s="231" t="s">
        <v>46</v>
      </c>
      <c r="L192" s="56" t="n">
        <f aca="false">AVERAGEA(M192, K192)</f>
        <v>0</v>
      </c>
      <c r="M192" s="232" t="s">
        <v>46</v>
      </c>
      <c r="N192" s="78" t="s">
        <v>46</v>
      </c>
      <c r="O192" s="74" t="n">
        <f aca="false">AVERAGEA(N192,P192)</f>
        <v>0</v>
      </c>
      <c r="P192" s="245" t="s">
        <v>46</v>
      </c>
      <c r="Q192" s="78" t="s">
        <v>46</v>
      </c>
      <c r="R192" s="74" t="n">
        <f aca="false">AVERAGEA(Q192,S192)</f>
        <v>0</v>
      </c>
      <c r="S192" s="245" t="s">
        <v>46</v>
      </c>
      <c r="T192" s="231" t="n">
        <f aca="false">T188*1.23</f>
        <v>24.6</v>
      </c>
      <c r="U192" s="56" t="n">
        <f aca="false">AVERAGEA(V192, T192)</f>
        <v>33.825</v>
      </c>
      <c r="V192" s="231" t="n">
        <f aca="false">V188*1.23</f>
        <v>43.05</v>
      </c>
      <c r="W192" s="78" t="n">
        <v>0</v>
      </c>
      <c r="X192" s="74" t="n">
        <f aca="false">AVERAGEA(W192,Y192)</f>
        <v>0</v>
      </c>
      <c r="Y192" s="245" t="n">
        <v>0</v>
      </c>
      <c r="Z192" s="231" t="n">
        <v>15</v>
      </c>
      <c r="AA192" s="56" t="n">
        <f aca="false">AVERAGEA(AB192, Z192)</f>
        <v>27.5</v>
      </c>
      <c r="AB192" s="232" t="n">
        <v>40</v>
      </c>
      <c r="AC192" s="78" t="n">
        <v>15</v>
      </c>
      <c r="AD192" s="74" t="n">
        <f aca="false">AVERAGEA(AC192,AE192)</f>
        <v>27.5</v>
      </c>
      <c r="AE192" s="245" t="n">
        <v>40</v>
      </c>
      <c r="AF192" s="231" t="n">
        <v>0</v>
      </c>
      <c r="AG192" s="56" t="n">
        <f aca="false">AVERAGEA(AH192, AF192)</f>
        <v>0</v>
      </c>
      <c r="AH192" s="231" t="n">
        <v>0</v>
      </c>
      <c r="AI192" s="231" t="n">
        <v>0</v>
      </c>
      <c r="AJ192" s="56" t="n">
        <f aca="false">AVERAGEA(AK192, AI192)</f>
        <v>0</v>
      </c>
      <c r="AK192" s="231" t="n">
        <v>0</v>
      </c>
      <c r="AL192" s="78" t="n">
        <f aca="false">AL180*0.9</f>
        <v>900</v>
      </c>
      <c r="AM192" s="74" t="n">
        <f aca="false">AVERAGEA(AL192,AN192)</f>
        <v>1125</v>
      </c>
      <c r="AN192" s="78" t="n">
        <f aca="false">AN180*0.9</f>
        <v>1350</v>
      </c>
      <c r="AO192" s="231" t="n">
        <v>22</v>
      </c>
      <c r="AP192" s="56" t="n">
        <f aca="false">AVERAGEA(AQ192, AO192)</f>
        <v>33.5</v>
      </c>
      <c r="AQ192" s="232" t="n">
        <v>45</v>
      </c>
      <c r="AR192" s="78" t="n">
        <v>7</v>
      </c>
      <c r="AS192" s="74" t="n">
        <f aca="false">AVERAGEA(AR192,AT192)</f>
        <v>11.5</v>
      </c>
      <c r="AT192" s="245" t="n">
        <v>16</v>
      </c>
      <c r="AU192" s="231" t="n">
        <v>0</v>
      </c>
      <c r="AV192" s="56" t="n">
        <f aca="false">AVERAGEA(AW192, AU192)</f>
        <v>0</v>
      </c>
      <c r="AW192" s="231" t="n">
        <v>0</v>
      </c>
      <c r="AX192" s="78" t="n">
        <v>0</v>
      </c>
      <c r="AY192" s="74" t="n">
        <f aca="false">AVERAGEA(AX192,AZ192)</f>
        <v>0</v>
      </c>
      <c r="AZ192" s="78" t="n">
        <v>0</v>
      </c>
      <c r="BA192" s="231" t="n">
        <v>0</v>
      </c>
      <c r="BB192" s="56" t="n">
        <f aca="false">AVERAGEA(BC192, BA192)</f>
        <v>0</v>
      </c>
      <c r="BC192" s="231" t="n">
        <v>0</v>
      </c>
      <c r="BD192" s="78" t="n">
        <v>0</v>
      </c>
      <c r="BE192" s="74" t="n">
        <f aca="false">AVERAGEA(BD192,BF192)</f>
        <v>0</v>
      </c>
      <c r="BF192" s="78" t="n">
        <v>0</v>
      </c>
      <c r="BG192" s="231" t="n">
        <v>0</v>
      </c>
      <c r="BH192" s="56" t="n">
        <f aca="false">AVERAGEA(BI192, BG192)</f>
        <v>0</v>
      </c>
      <c r="BI192" s="231" t="n">
        <v>0</v>
      </c>
      <c r="BJ192" s="78" t="n">
        <v>0</v>
      </c>
      <c r="BK192" s="74" t="n">
        <f aca="false">AVERAGEA(BJ192,BL192)</f>
        <v>0</v>
      </c>
      <c r="BL192" s="78" t="n">
        <v>0</v>
      </c>
      <c r="BM192" s="231" t="n">
        <v>0</v>
      </c>
      <c r="BN192" s="56" t="n">
        <f aca="false">AVERAGEA(BO192, BM192)</f>
        <v>0</v>
      </c>
      <c r="BO192" s="231" t="n">
        <v>0</v>
      </c>
    </row>
    <row r="193" customFormat="false" ht="15" hidden="false" customHeight="true" outlineLevel="0" collapsed="false">
      <c r="B193" s="239"/>
      <c r="C193" s="240"/>
      <c r="D193" s="240"/>
      <c r="E193" s="242"/>
      <c r="F193" s="247" t="s">
        <v>143</v>
      </c>
      <c r="G193" s="249"/>
      <c r="H193" s="205" t="n">
        <v>25</v>
      </c>
      <c r="I193" s="124" t="n">
        <f aca="false">AVERAGEA(H193,J193)</f>
        <v>30</v>
      </c>
      <c r="J193" s="119" t="n">
        <v>35</v>
      </c>
      <c r="K193" s="120" t="s">
        <v>46</v>
      </c>
      <c r="L193" s="121" t="n">
        <f aca="false">AVERAGEA(K193,M193)</f>
        <v>0</v>
      </c>
      <c r="M193" s="122" t="s">
        <v>46</v>
      </c>
      <c r="N193" s="205" t="s">
        <v>46</v>
      </c>
      <c r="O193" s="124" t="n">
        <f aca="false">AVERAGEA(N193,P193)</f>
        <v>0</v>
      </c>
      <c r="P193" s="119" t="s">
        <v>46</v>
      </c>
      <c r="Q193" s="205" t="s">
        <v>46</v>
      </c>
      <c r="R193" s="124" t="n">
        <f aca="false">AVERAGEA(Q193,S193)</f>
        <v>0</v>
      </c>
      <c r="S193" s="119" t="s">
        <v>46</v>
      </c>
      <c r="T193" s="120" t="n">
        <f aca="false">T189*1.23</f>
        <v>22.14</v>
      </c>
      <c r="U193" s="121" t="n">
        <f aca="false">AVERAGEA(T193,V193)</f>
        <v>30.75</v>
      </c>
      <c r="V193" s="120" t="n">
        <f aca="false">V189*1.23</f>
        <v>39.36</v>
      </c>
      <c r="W193" s="205" t="n">
        <v>0</v>
      </c>
      <c r="X193" s="124" t="n">
        <f aca="false">AVERAGEA(W193,Y193)</f>
        <v>0</v>
      </c>
      <c r="Y193" s="119" t="n">
        <v>0</v>
      </c>
      <c r="Z193" s="120" t="n">
        <v>15</v>
      </c>
      <c r="AA193" s="121" t="n">
        <f aca="false">AVERAGEA(Z193,AB193)</f>
        <v>27.5</v>
      </c>
      <c r="AB193" s="122" t="n">
        <v>40</v>
      </c>
      <c r="AC193" s="205" t="n">
        <v>15</v>
      </c>
      <c r="AD193" s="124" t="n">
        <f aca="false">AVERAGEA(AC193,AE193)</f>
        <v>27.5</v>
      </c>
      <c r="AE193" s="119" t="n">
        <v>40</v>
      </c>
      <c r="AF193" s="120" t="n">
        <v>0</v>
      </c>
      <c r="AG193" s="121" t="n">
        <f aca="false">AVERAGEA(AF193,AH193)</f>
        <v>0</v>
      </c>
      <c r="AH193" s="120" t="n">
        <v>0</v>
      </c>
      <c r="AI193" s="120" t="n">
        <v>0</v>
      </c>
      <c r="AJ193" s="121" t="n">
        <f aca="false">AVERAGEA(AI193,AK193)</f>
        <v>0</v>
      </c>
      <c r="AK193" s="120" t="n">
        <v>0</v>
      </c>
      <c r="AL193" s="205" t="n">
        <f aca="false">AL181*0.9</f>
        <v>990</v>
      </c>
      <c r="AM193" s="124" t="n">
        <f aca="false">AVERAGEA(AL193,AN193)</f>
        <v>1215</v>
      </c>
      <c r="AN193" s="119" t="n">
        <f aca="false">AN181*0.9</f>
        <v>1440</v>
      </c>
      <c r="AO193" s="120" t="n">
        <v>25</v>
      </c>
      <c r="AP193" s="121" t="n">
        <f aca="false">AVERAGEA(AO193,AQ193)</f>
        <v>37.5</v>
      </c>
      <c r="AQ193" s="122" t="n">
        <v>50</v>
      </c>
      <c r="AR193" s="205" t="n">
        <v>8</v>
      </c>
      <c r="AS193" s="124" t="n">
        <f aca="false">AVERAGEA(AR193,AT193)</f>
        <v>13</v>
      </c>
      <c r="AT193" s="119" t="n">
        <v>18</v>
      </c>
      <c r="AU193" s="120" t="n">
        <v>0</v>
      </c>
      <c r="AV193" s="121" t="n">
        <f aca="false">AVERAGEA(AU193,AW193)</f>
        <v>0</v>
      </c>
      <c r="AW193" s="120" t="n">
        <v>0</v>
      </c>
      <c r="AX193" s="205" t="n">
        <v>0</v>
      </c>
      <c r="AY193" s="124" t="n">
        <f aca="false">AVERAGEA(AX193,AZ193)</f>
        <v>0</v>
      </c>
      <c r="AZ193" s="205" t="n">
        <v>0</v>
      </c>
      <c r="BA193" s="120" t="n">
        <v>0</v>
      </c>
      <c r="BB193" s="121" t="n">
        <f aca="false">AVERAGEA(BA193,BC193)</f>
        <v>0</v>
      </c>
      <c r="BC193" s="120" t="n">
        <v>0</v>
      </c>
      <c r="BD193" s="205" t="n">
        <v>0</v>
      </c>
      <c r="BE193" s="124" t="n">
        <f aca="false">AVERAGEA(BD193,BF193)</f>
        <v>0</v>
      </c>
      <c r="BF193" s="205" t="n">
        <v>0</v>
      </c>
      <c r="BG193" s="120" t="n">
        <v>0</v>
      </c>
      <c r="BH193" s="121" t="n">
        <f aca="false">AVERAGEA(BG193,BI193)</f>
        <v>0</v>
      </c>
      <c r="BI193" s="120" t="n">
        <v>0</v>
      </c>
      <c r="BJ193" s="205" t="n">
        <v>0</v>
      </c>
      <c r="BK193" s="124" t="n">
        <f aca="false">AVERAGEA(BJ193,BL193)</f>
        <v>0</v>
      </c>
      <c r="BL193" s="205" t="n">
        <v>0</v>
      </c>
      <c r="BM193" s="120" t="n">
        <v>0</v>
      </c>
      <c r="BN193" s="121" t="n">
        <f aca="false">AVERAGEA(BM193,BO193)</f>
        <v>0</v>
      </c>
      <c r="BO193" s="120" t="n">
        <v>0</v>
      </c>
    </row>
    <row r="194" customFormat="false" ht="15" hidden="false" customHeight="true" outlineLevel="0" collapsed="false">
      <c r="B194" s="239"/>
      <c r="C194" s="240"/>
      <c r="D194" s="250" t="s">
        <v>138</v>
      </c>
      <c r="E194" s="242"/>
      <c r="F194" s="243" t="s">
        <v>139</v>
      </c>
      <c r="G194" s="249" t="s">
        <v>145</v>
      </c>
      <c r="H194" s="78" t="n">
        <v>35</v>
      </c>
      <c r="I194" s="74" t="n">
        <f aca="false">AVERAGEA(H194,J194)</f>
        <v>42.5</v>
      </c>
      <c r="J194" s="245" t="n">
        <v>50</v>
      </c>
      <c r="K194" s="231" t="s">
        <v>46</v>
      </c>
      <c r="L194" s="56" t="n">
        <f aca="false">AVERAGEA(M194, K194)</f>
        <v>0</v>
      </c>
      <c r="M194" s="232" t="s">
        <v>46</v>
      </c>
      <c r="N194" s="78" t="s">
        <v>46</v>
      </c>
      <c r="O194" s="74" t="n">
        <f aca="false">AVERAGEA(N194,P194)</f>
        <v>0</v>
      </c>
      <c r="P194" s="245" t="s">
        <v>46</v>
      </c>
      <c r="Q194" s="78" t="s">
        <v>46</v>
      </c>
      <c r="R194" s="74" t="n">
        <f aca="false">AVERAGEA(Q194,S194)</f>
        <v>0</v>
      </c>
      <c r="S194" s="245" t="s">
        <v>46</v>
      </c>
      <c r="T194" s="231" t="n">
        <f aca="false">T186*1.66</f>
        <v>43.16</v>
      </c>
      <c r="U194" s="56" t="n">
        <f aca="false">AVERAGEA(V194, T194)</f>
        <v>61.42</v>
      </c>
      <c r="V194" s="231" t="n">
        <f aca="false">V186*1.66</f>
        <v>79.68</v>
      </c>
      <c r="W194" s="78" t="n">
        <v>0</v>
      </c>
      <c r="X194" s="74" t="n">
        <f aca="false">AVERAGEA(W194,Y194)</f>
        <v>0</v>
      </c>
      <c r="Y194" s="245" t="n">
        <v>0</v>
      </c>
      <c r="Z194" s="231" t="n">
        <v>15</v>
      </c>
      <c r="AA194" s="56" t="n">
        <f aca="false">AVERAGEA(AB194, Z194)</f>
        <v>27.5</v>
      </c>
      <c r="AB194" s="232" t="n">
        <v>40</v>
      </c>
      <c r="AC194" s="78" t="n">
        <v>15</v>
      </c>
      <c r="AD194" s="74" t="n">
        <f aca="false">AVERAGEA(AC194,AE194)</f>
        <v>27.5</v>
      </c>
      <c r="AE194" s="245" t="n">
        <v>40</v>
      </c>
      <c r="AF194" s="231" t="n">
        <v>0</v>
      </c>
      <c r="AG194" s="56" t="n">
        <f aca="false">AVERAGEA(AH194, AF194)</f>
        <v>0</v>
      </c>
      <c r="AH194" s="231" t="n">
        <v>0</v>
      </c>
      <c r="AI194" s="231" t="n">
        <v>0</v>
      </c>
      <c r="AJ194" s="56" t="n">
        <f aca="false">AVERAGEA(AK194, AI194)</f>
        <v>0</v>
      </c>
      <c r="AK194" s="231" t="n">
        <v>0</v>
      </c>
      <c r="AL194" s="78" t="n">
        <f aca="false">AL182*0.9</f>
        <v>720</v>
      </c>
      <c r="AM194" s="74" t="n">
        <f aca="false">AVERAGEA(AL194,AN194)</f>
        <v>945</v>
      </c>
      <c r="AN194" s="78" t="n">
        <f aca="false">AN182*0.9</f>
        <v>1170</v>
      </c>
      <c r="AO194" s="231" t="n">
        <v>18</v>
      </c>
      <c r="AP194" s="56" t="n">
        <f aca="false">AVERAGEA(AQ194, AO194)</f>
        <v>29</v>
      </c>
      <c r="AQ194" s="232" t="n">
        <v>40</v>
      </c>
      <c r="AR194" s="78" t="n">
        <v>5</v>
      </c>
      <c r="AS194" s="74" t="n">
        <f aca="false">AVERAGEA(AR194,AT194)</f>
        <v>9.5</v>
      </c>
      <c r="AT194" s="245" t="n">
        <v>14</v>
      </c>
      <c r="AU194" s="231" t="n">
        <v>0</v>
      </c>
      <c r="AV194" s="56" t="n">
        <f aca="false">AVERAGEA(AW194, AU194)</f>
        <v>0</v>
      </c>
      <c r="AW194" s="231" t="n">
        <v>0</v>
      </c>
      <c r="AX194" s="78" t="n">
        <v>0</v>
      </c>
      <c r="AY194" s="74" t="n">
        <f aca="false">AVERAGEA(AX194,AZ194)</f>
        <v>0</v>
      </c>
      <c r="AZ194" s="78" t="n">
        <v>0</v>
      </c>
      <c r="BA194" s="231" t="n">
        <v>0</v>
      </c>
      <c r="BB194" s="56" t="n">
        <f aca="false">AVERAGEA(BC194, BA194)</f>
        <v>0</v>
      </c>
      <c r="BC194" s="231" t="n">
        <v>0</v>
      </c>
      <c r="BD194" s="78" t="n">
        <v>0</v>
      </c>
      <c r="BE194" s="74" t="n">
        <f aca="false">AVERAGEA(BD194,BF194)</f>
        <v>0</v>
      </c>
      <c r="BF194" s="78" t="n">
        <v>0</v>
      </c>
      <c r="BG194" s="231" t="n">
        <v>0</v>
      </c>
      <c r="BH194" s="56" t="n">
        <f aca="false">AVERAGEA(BI194, BG194)</f>
        <v>0</v>
      </c>
      <c r="BI194" s="231" t="n">
        <v>0</v>
      </c>
      <c r="BJ194" s="78" t="n">
        <v>0</v>
      </c>
      <c r="BK194" s="74" t="n">
        <f aca="false">AVERAGEA(BJ194,BL194)</f>
        <v>0</v>
      </c>
      <c r="BL194" s="78" t="n">
        <v>0</v>
      </c>
      <c r="BM194" s="231" t="n">
        <v>0</v>
      </c>
      <c r="BN194" s="56" t="n">
        <f aca="false">AVERAGEA(BO194, BM194)</f>
        <v>0</v>
      </c>
      <c r="BO194" s="231" t="n">
        <v>0</v>
      </c>
    </row>
    <row r="195" customFormat="false" ht="15" hidden="false" customHeight="true" outlineLevel="0" collapsed="false">
      <c r="B195" s="239"/>
      <c r="C195" s="240"/>
      <c r="D195" s="240"/>
      <c r="E195" s="242"/>
      <c r="F195" s="243" t="s">
        <v>141</v>
      </c>
      <c r="G195" s="249"/>
      <c r="H195" s="78" t="n">
        <v>30</v>
      </c>
      <c r="I195" s="74" t="n">
        <f aca="false">AVERAGEA(H195,J195)</f>
        <v>36</v>
      </c>
      <c r="J195" s="245" t="n">
        <v>42</v>
      </c>
      <c r="K195" s="231" t="s">
        <v>46</v>
      </c>
      <c r="L195" s="56" t="n">
        <f aca="false">AVERAGEA(M195, K195)</f>
        <v>0</v>
      </c>
      <c r="M195" s="232" t="s">
        <v>46</v>
      </c>
      <c r="N195" s="78" t="s">
        <v>46</v>
      </c>
      <c r="O195" s="74" t="n">
        <f aca="false">AVERAGEA(N195,P195)</f>
        <v>0</v>
      </c>
      <c r="P195" s="245" t="s">
        <v>46</v>
      </c>
      <c r="Q195" s="78" t="s">
        <v>46</v>
      </c>
      <c r="R195" s="74" t="n">
        <f aca="false">AVERAGEA(Q195,S195)</f>
        <v>0</v>
      </c>
      <c r="S195" s="245" t="s">
        <v>46</v>
      </c>
      <c r="T195" s="231" t="n">
        <f aca="false">T187*1.66</f>
        <v>36.52</v>
      </c>
      <c r="U195" s="56" t="n">
        <f aca="false">AVERAGEA(V195, T195)</f>
        <v>51.46</v>
      </c>
      <c r="V195" s="231" t="n">
        <f aca="false">V187*1.66</f>
        <v>66.4</v>
      </c>
      <c r="W195" s="78" t="n">
        <v>0</v>
      </c>
      <c r="X195" s="74" t="n">
        <f aca="false">AVERAGEA(W195,Y195)</f>
        <v>0</v>
      </c>
      <c r="Y195" s="245" t="n">
        <v>0</v>
      </c>
      <c r="Z195" s="231" t="n">
        <v>15</v>
      </c>
      <c r="AA195" s="56" t="n">
        <f aca="false">AVERAGEA(AB195, Z195)</f>
        <v>27.5</v>
      </c>
      <c r="AB195" s="232" t="n">
        <v>40</v>
      </c>
      <c r="AC195" s="78" t="n">
        <v>15</v>
      </c>
      <c r="AD195" s="74" t="n">
        <f aca="false">AVERAGEA(AC195,AE195)</f>
        <v>27.5</v>
      </c>
      <c r="AE195" s="245" t="n">
        <v>40</v>
      </c>
      <c r="AF195" s="231" t="n">
        <v>0</v>
      </c>
      <c r="AG195" s="56" t="n">
        <f aca="false">AVERAGEA(AH195, AF195)</f>
        <v>0</v>
      </c>
      <c r="AH195" s="231" t="n">
        <v>0</v>
      </c>
      <c r="AI195" s="231" t="n">
        <v>0</v>
      </c>
      <c r="AJ195" s="56" t="n">
        <f aca="false">AVERAGEA(AK195, AI195)</f>
        <v>0</v>
      </c>
      <c r="AK195" s="231" t="n">
        <v>0</v>
      </c>
      <c r="AL195" s="78" t="n">
        <f aca="false">AL183*0.9</f>
        <v>810</v>
      </c>
      <c r="AM195" s="74" t="n">
        <f aca="false">AVERAGEA(AL195,AN195)</f>
        <v>1035</v>
      </c>
      <c r="AN195" s="78" t="n">
        <f aca="false">AN183*0.9</f>
        <v>1260</v>
      </c>
      <c r="AO195" s="231" t="n">
        <v>20</v>
      </c>
      <c r="AP195" s="56" t="n">
        <f aca="false">AVERAGEA(AQ195, AO195)</f>
        <v>31</v>
      </c>
      <c r="AQ195" s="232" t="n">
        <v>42</v>
      </c>
      <c r="AR195" s="78" t="n">
        <v>6</v>
      </c>
      <c r="AS195" s="74" t="n">
        <f aca="false">AVERAGEA(AR195,AT195)</f>
        <v>10.5</v>
      </c>
      <c r="AT195" s="245" t="n">
        <v>15</v>
      </c>
      <c r="AU195" s="231" t="n">
        <v>0</v>
      </c>
      <c r="AV195" s="56" t="n">
        <f aca="false">AVERAGEA(AW195, AU195)</f>
        <v>0</v>
      </c>
      <c r="AW195" s="231" t="n">
        <v>0</v>
      </c>
      <c r="AX195" s="78" t="n">
        <v>0</v>
      </c>
      <c r="AY195" s="74" t="n">
        <f aca="false">AVERAGEA(AX195,AZ195)</f>
        <v>0</v>
      </c>
      <c r="AZ195" s="78" t="n">
        <v>0</v>
      </c>
      <c r="BA195" s="231" t="n">
        <v>0</v>
      </c>
      <c r="BB195" s="56" t="n">
        <f aca="false">AVERAGEA(BC195, BA195)</f>
        <v>0</v>
      </c>
      <c r="BC195" s="231" t="n">
        <v>0</v>
      </c>
      <c r="BD195" s="78" t="n">
        <v>0</v>
      </c>
      <c r="BE195" s="74" t="n">
        <f aca="false">AVERAGEA(BD195,BF195)</f>
        <v>0</v>
      </c>
      <c r="BF195" s="78" t="n">
        <v>0</v>
      </c>
      <c r="BG195" s="231" t="n">
        <v>0</v>
      </c>
      <c r="BH195" s="56" t="n">
        <f aca="false">AVERAGEA(BI195, BG195)</f>
        <v>0</v>
      </c>
      <c r="BI195" s="231" t="n">
        <v>0</v>
      </c>
      <c r="BJ195" s="78" t="n">
        <v>0</v>
      </c>
      <c r="BK195" s="74" t="n">
        <f aca="false">AVERAGEA(BJ195,BL195)</f>
        <v>0</v>
      </c>
      <c r="BL195" s="78" t="n">
        <v>0</v>
      </c>
      <c r="BM195" s="231" t="n">
        <v>0</v>
      </c>
      <c r="BN195" s="56" t="n">
        <f aca="false">AVERAGEA(BO195, BM195)</f>
        <v>0</v>
      </c>
      <c r="BO195" s="231" t="n">
        <v>0</v>
      </c>
    </row>
    <row r="196" customFormat="false" ht="15" hidden="false" customHeight="true" outlineLevel="0" collapsed="false">
      <c r="B196" s="239"/>
      <c r="C196" s="240"/>
      <c r="D196" s="240"/>
      <c r="E196" s="242"/>
      <c r="F196" s="243" t="s">
        <v>142</v>
      </c>
      <c r="G196" s="249"/>
      <c r="H196" s="78" t="n">
        <v>28</v>
      </c>
      <c r="I196" s="74" t="n">
        <f aca="false">AVERAGEA(H196,J196)</f>
        <v>33</v>
      </c>
      <c r="J196" s="245" t="n">
        <v>38</v>
      </c>
      <c r="K196" s="231" t="s">
        <v>46</v>
      </c>
      <c r="L196" s="56" t="n">
        <f aca="false">AVERAGEA(M196, K196)</f>
        <v>0</v>
      </c>
      <c r="M196" s="232" t="s">
        <v>46</v>
      </c>
      <c r="N196" s="78" t="s">
        <v>46</v>
      </c>
      <c r="O196" s="74" t="n">
        <f aca="false">AVERAGEA(N196,P196)</f>
        <v>0</v>
      </c>
      <c r="P196" s="245" t="s">
        <v>46</v>
      </c>
      <c r="Q196" s="78" t="s">
        <v>46</v>
      </c>
      <c r="R196" s="74" t="n">
        <f aca="false">AVERAGEA(Q196,S196)</f>
        <v>0</v>
      </c>
      <c r="S196" s="245" t="s">
        <v>46</v>
      </c>
      <c r="T196" s="231" t="n">
        <f aca="false">T188*1.66</f>
        <v>33.2</v>
      </c>
      <c r="U196" s="56" t="n">
        <f aca="false">AVERAGEA(V196, T196)</f>
        <v>45.65</v>
      </c>
      <c r="V196" s="231" t="n">
        <f aca="false">V188*1.66</f>
        <v>58.1</v>
      </c>
      <c r="W196" s="78" t="n">
        <v>0</v>
      </c>
      <c r="X196" s="74" t="n">
        <f aca="false">AVERAGEA(W196,Y196)</f>
        <v>0</v>
      </c>
      <c r="Y196" s="245" t="n">
        <v>0</v>
      </c>
      <c r="Z196" s="231" t="n">
        <v>15</v>
      </c>
      <c r="AA196" s="56" t="n">
        <f aca="false">AVERAGEA(AB196, Z196)</f>
        <v>27.5</v>
      </c>
      <c r="AB196" s="232" t="n">
        <v>40</v>
      </c>
      <c r="AC196" s="78" t="n">
        <v>15</v>
      </c>
      <c r="AD196" s="74" t="n">
        <f aca="false">AVERAGEA(AC196,AE196)</f>
        <v>27.5</v>
      </c>
      <c r="AE196" s="245" t="n">
        <v>40</v>
      </c>
      <c r="AF196" s="231" t="n">
        <v>0</v>
      </c>
      <c r="AG196" s="56" t="n">
        <f aca="false">AVERAGEA(AH196, AF196)</f>
        <v>0</v>
      </c>
      <c r="AH196" s="231" t="n">
        <v>0</v>
      </c>
      <c r="AI196" s="231" t="n">
        <v>0</v>
      </c>
      <c r="AJ196" s="56" t="n">
        <f aca="false">AVERAGEA(AK196, AI196)</f>
        <v>0</v>
      </c>
      <c r="AK196" s="231" t="n">
        <v>0</v>
      </c>
      <c r="AL196" s="78" t="n">
        <f aca="false">AL184*0.9</f>
        <v>900</v>
      </c>
      <c r="AM196" s="74" t="n">
        <f aca="false">AVERAGEA(AL196,AN196)</f>
        <v>1125</v>
      </c>
      <c r="AN196" s="78" t="n">
        <f aca="false">AN184*0.9</f>
        <v>1350</v>
      </c>
      <c r="AO196" s="231" t="n">
        <v>22</v>
      </c>
      <c r="AP196" s="56" t="n">
        <f aca="false">AVERAGEA(AQ196, AO196)</f>
        <v>33.5</v>
      </c>
      <c r="AQ196" s="232" t="n">
        <v>45</v>
      </c>
      <c r="AR196" s="78" t="n">
        <v>7</v>
      </c>
      <c r="AS196" s="74" t="n">
        <f aca="false">AVERAGEA(AR196,AT196)</f>
        <v>11.5</v>
      </c>
      <c r="AT196" s="245" t="n">
        <v>16</v>
      </c>
      <c r="AU196" s="231" t="n">
        <v>0</v>
      </c>
      <c r="AV196" s="56" t="n">
        <f aca="false">AVERAGEA(AW196, AU196)</f>
        <v>0</v>
      </c>
      <c r="AW196" s="231" t="n">
        <v>0</v>
      </c>
      <c r="AX196" s="78" t="n">
        <v>0</v>
      </c>
      <c r="AY196" s="74" t="n">
        <f aca="false">AVERAGEA(AX196,AZ196)</f>
        <v>0</v>
      </c>
      <c r="AZ196" s="78" t="n">
        <v>0</v>
      </c>
      <c r="BA196" s="231" t="n">
        <v>0</v>
      </c>
      <c r="BB196" s="56" t="n">
        <f aca="false">AVERAGEA(BC196, BA196)</f>
        <v>0</v>
      </c>
      <c r="BC196" s="231" t="n">
        <v>0</v>
      </c>
      <c r="BD196" s="78" t="n">
        <v>0</v>
      </c>
      <c r="BE196" s="74" t="n">
        <f aca="false">AVERAGEA(BD196,BF196)</f>
        <v>0</v>
      </c>
      <c r="BF196" s="78" t="n">
        <v>0</v>
      </c>
      <c r="BG196" s="231" t="n">
        <v>0</v>
      </c>
      <c r="BH196" s="56" t="n">
        <f aca="false">AVERAGEA(BI196, BG196)</f>
        <v>0</v>
      </c>
      <c r="BI196" s="231" t="n">
        <v>0</v>
      </c>
      <c r="BJ196" s="78" t="n">
        <v>0</v>
      </c>
      <c r="BK196" s="74" t="n">
        <f aca="false">AVERAGEA(BJ196,BL196)</f>
        <v>0</v>
      </c>
      <c r="BL196" s="78" t="n">
        <v>0</v>
      </c>
      <c r="BM196" s="231" t="n">
        <v>0</v>
      </c>
      <c r="BN196" s="56" t="n">
        <f aca="false">AVERAGEA(BO196, BM196)</f>
        <v>0</v>
      </c>
      <c r="BO196" s="231" t="n">
        <v>0</v>
      </c>
    </row>
    <row r="197" customFormat="false" ht="15" hidden="false" customHeight="true" outlineLevel="0" collapsed="false">
      <c r="B197" s="239"/>
      <c r="C197" s="240"/>
      <c r="D197" s="240"/>
      <c r="E197" s="242"/>
      <c r="F197" s="247" t="s">
        <v>143</v>
      </c>
      <c r="G197" s="249"/>
      <c r="H197" s="205" t="n">
        <v>25</v>
      </c>
      <c r="I197" s="124" t="n">
        <f aca="false">AVERAGEA(H197,J197)</f>
        <v>30</v>
      </c>
      <c r="J197" s="119" t="n">
        <v>35</v>
      </c>
      <c r="K197" s="120" t="s">
        <v>46</v>
      </c>
      <c r="L197" s="121" t="n">
        <f aca="false">AVERAGEA(K197,M197)</f>
        <v>0</v>
      </c>
      <c r="M197" s="122" t="s">
        <v>46</v>
      </c>
      <c r="N197" s="205" t="s">
        <v>46</v>
      </c>
      <c r="O197" s="124" t="n">
        <f aca="false">AVERAGEA(N197,P197)</f>
        <v>0</v>
      </c>
      <c r="P197" s="119" t="s">
        <v>46</v>
      </c>
      <c r="Q197" s="205" t="s">
        <v>46</v>
      </c>
      <c r="R197" s="124" t="n">
        <f aca="false">AVERAGEA(Q197,S197)</f>
        <v>0</v>
      </c>
      <c r="S197" s="119" t="s">
        <v>46</v>
      </c>
      <c r="T197" s="120" t="n">
        <f aca="false">T189*1.66</f>
        <v>29.88</v>
      </c>
      <c r="U197" s="121" t="n">
        <f aca="false">AVERAGEA(T197,V197)</f>
        <v>41.5</v>
      </c>
      <c r="V197" s="120" t="n">
        <f aca="false">V189*1.66</f>
        <v>53.12</v>
      </c>
      <c r="W197" s="205" t="n">
        <v>0</v>
      </c>
      <c r="X197" s="124" t="n">
        <f aca="false">AVERAGEA(W197,Y197)</f>
        <v>0</v>
      </c>
      <c r="Y197" s="119" t="n">
        <v>0</v>
      </c>
      <c r="Z197" s="120" t="n">
        <v>15</v>
      </c>
      <c r="AA197" s="121" t="n">
        <f aca="false">AVERAGEA(Z197,AB197)</f>
        <v>27.5</v>
      </c>
      <c r="AB197" s="122" t="n">
        <v>40</v>
      </c>
      <c r="AC197" s="205" t="n">
        <v>15</v>
      </c>
      <c r="AD197" s="124" t="n">
        <f aca="false">AVERAGEA(AC197,AE197)</f>
        <v>27.5</v>
      </c>
      <c r="AE197" s="119" t="n">
        <v>40</v>
      </c>
      <c r="AF197" s="120" t="n">
        <v>0</v>
      </c>
      <c r="AG197" s="121" t="n">
        <f aca="false">AVERAGEA(AF197,AH197)</f>
        <v>0</v>
      </c>
      <c r="AH197" s="120" t="n">
        <v>0</v>
      </c>
      <c r="AI197" s="120" t="n">
        <v>0</v>
      </c>
      <c r="AJ197" s="121" t="n">
        <f aca="false">AVERAGEA(AI197,AK197)</f>
        <v>0</v>
      </c>
      <c r="AK197" s="120" t="n">
        <v>0</v>
      </c>
      <c r="AL197" s="205" t="n">
        <f aca="false">AL185*0.9</f>
        <v>990</v>
      </c>
      <c r="AM197" s="124" t="n">
        <f aca="false">AVERAGEA(AL197,AN197)</f>
        <v>1215</v>
      </c>
      <c r="AN197" s="119" t="n">
        <f aca="false">AN185*0.9</f>
        <v>1440</v>
      </c>
      <c r="AO197" s="120" t="n">
        <v>25</v>
      </c>
      <c r="AP197" s="121" t="n">
        <f aca="false">AVERAGEA(AO197,AQ197)</f>
        <v>37.5</v>
      </c>
      <c r="AQ197" s="122" t="n">
        <v>50</v>
      </c>
      <c r="AR197" s="205" t="n">
        <v>8</v>
      </c>
      <c r="AS197" s="124" t="n">
        <f aca="false">AVERAGEA(AR197,AT197)</f>
        <v>13</v>
      </c>
      <c r="AT197" s="119" t="n">
        <v>18</v>
      </c>
      <c r="AU197" s="120" t="n">
        <v>0</v>
      </c>
      <c r="AV197" s="121" t="n">
        <f aca="false">AVERAGEA(AU197,AW197)</f>
        <v>0</v>
      </c>
      <c r="AW197" s="120" t="n">
        <v>0</v>
      </c>
      <c r="AX197" s="205" t="n">
        <v>0</v>
      </c>
      <c r="AY197" s="124" t="n">
        <f aca="false">AVERAGEA(AX197,AZ197)</f>
        <v>0</v>
      </c>
      <c r="AZ197" s="205" t="n">
        <v>0</v>
      </c>
      <c r="BA197" s="120" t="n">
        <v>0</v>
      </c>
      <c r="BB197" s="121" t="n">
        <f aca="false">AVERAGEA(BA197,BC197)</f>
        <v>0</v>
      </c>
      <c r="BC197" s="120" t="n">
        <v>0</v>
      </c>
      <c r="BD197" s="205" t="n">
        <v>0</v>
      </c>
      <c r="BE197" s="124" t="n">
        <f aca="false">AVERAGEA(BD197,BF197)</f>
        <v>0</v>
      </c>
      <c r="BF197" s="205" t="n">
        <v>0</v>
      </c>
      <c r="BG197" s="120" t="n">
        <v>0</v>
      </c>
      <c r="BH197" s="121" t="n">
        <f aca="false">AVERAGEA(BG197,BI197)</f>
        <v>0</v>
      </c>
      <c r="BI197" s="120" t="n">
        <v>0</v>
      </c>
      <c r="BJ197" s="205" t="n">
        <v>0</v>
      </c>
      <c r="BK197" s="124" t="n">
        <f aca="false">AVERAGEA(BJ197,BL197)</f>
        <v>0</v>
      </c>
      <c r="BL197" s="205" t="n">
        <v>0</v>
      </c>
      <c r="BM197" s="120" t="n">
        <v>0</v>
      </c>
      <c r="BN197" s="121" t="n">
        <f aca="false">AVERAGEA(BM197,BO197)</f>
        <v>0</v>
      </c>
      <c r="BO197" s="120" t="n">
        <v>0</v>
      </c>
    </row>
    <row r="198" customFormat="false" ht="15" hidden="false" customHeight="true" outlineLevel="0" collapsed="false">
      <c r="B198" s="239"/>
      <c r="C198" s="240"/>
      <c r="D198" s="250" t="s">
        <v>147</v>
      </c>
      <c r="E198" s="242"/>
      <c r="F198" s="243" t="s">
        <v>139</v>
      </c>
      <c r="G198" s="249" t="s">
        <v>140</v>
      </c>
      <c r="H198" s="78" t="n">
        <v>35</v>
      </c>
      <c r="I198" s="74" t="n">
        <f aca="false">AVERAGEA(H198,J198)</f>
        <v>42.5</v>
      </c>
      <c r="J198" s="245" t="n">
        <v>50</v>
      </c>
      <c r="K198" s="231" t="s">
        <v>46</v>
      </c>
      <c r="L198" s="56" t="n">
        <f aca="false">AVERAGEA(M198, K198)</f>
        <v>0</v>
      </c>
      <c r="M198" s="232" t="s">
        <v>46</v>
      </c>
      <c r="N198" s="78" t="s">
        <v>46</v>
      </c>
      <c r="O198" s="74" t="n">
        <f aca="false">AVERAGEA(N198,P198)</f>
        <v>0</v>
      </c>
      <c r="P198" s="245" t="s">
        <v>46</v>
      </c>
      <c r="Q198" s="78" t="s">
        <v>46</v>
      </c>
      <c r="R198" s="74" t="n">
        <f aca="false">AVERAGEA(Q198,S198)</f>
        <v>0</v>
      </c>
      <c r="S198" s="245" t="s">
        <v>46</v>
      </c>
      <c r="T198" s="231" t="n">
        <v>26</v>
      </c>
      <c r="U198" s="56" t="n">
        <f aca="false">AVERAGEA(V198, T198)</f>
        <v>37</v>
      </c>
      <c r="V198" s="232" t="n">
        <v>48</v>
      </c>
      <c r="W198" s="78" t="n">
        <v>0</v>
      </c>
      <c r="X198" s="74" t="n">
        <f aca="false">AVERAGEA(W198,Y198)</f>
        <v>0</v>
      </c>
      <c r="Y198" s="245" t="n">
        <v>0</v>
      </c>
      <c r="Z198" s="231" t="n">
        <v>15</v>
      </c>
      <c r="AA198" s="56" t="n">
        <f aca="false">AVERAGEA(AB198, Z198)</f>
        <v>27.5</v>
      </c>
      <c r="AB198" s="232" t="n">
        <v>40</v>
      </c>
      <c r="AC198" s="78" t="n">
        <v>15</v>
      </c>
      <c r="AD198" s="74" t="n">
        <f aca="false">AVERAGEA(AC198,AE198)</f>
        <v>27.5</v>
      </c>
      <c r="AE198" s="245" t="n">
        <v>40</v>
      </c>
      <c r="AF198" s="231" t="n">
        <v>0</v>
      </c>
      <c r="AG198" s="56" t="n">
        <f aca="false">AVERAGEA(AH198, AF198)</f>
        <v>0</v>
      </c>
      <c r="AH198" s="231" t="n">
        <v>0</v>
      </c>
      <c r="AI198" s="231" t="n">
        <v>0</v>
      </c>
      <c r="AJ198" s="56" t="n">
        <f aca="false">AVERAGEA(AK198, AI198)</f>
        <v>0</v>
      </c>
      <c r="AK198" s="231" t="n">
        <v>0</v>
      </c>
      <c r="AL198" s="78" t="n">
        <f aca="false">AL174*1.15</f>
        <v>920</v>
      </c>
      <c r="AM198" s="74" t="n">
        <f aca="false">AVERAGEA(AL198,AN198)</f>
        <v>1272.5</v>
      </c>
      <c r="AN198" s="78" t="n">
        <f aca="false">AN174*1.25</f>
        <v>1625</v>
      </c>
      <c r="AO198" s="231" t="n">
        <v>18</v>
      </c>
      <c r="AP198" s="56" t="n">
        <f aca="false">AVERAGEA(AQ198, AO198)</f>
        <v>29</v>
      </c>
      <c r="AQ198" s="232" t="n">
        <v>40</v>
      </c>
      <c r="AR198" s="78" t="n">
        <v>5</v>
      </c>
      <c r="AS198" s="74" t="n">
        <f aca="false">AVERAGEA(AR198,AT198)</f>
        <v>9.5</v>
      </c>
      <c r="AT198" s="245" t="n">
        <v>14</v>
      </c>
      <c r="AU198" s="231" t="n">
        <v>0</v>
      </c>
      <c r="AV198" s="56" t="n">
        <f aca="false">AVERAGEA(AW198, AU198)</f>
        <v>0</v>
      </c>
      <c r="AW198" s="231" t="n">
        <v>0</v>
      </c>
      <c r="AX198" s="78" t="n">
        <v>0</v>
      </c>
      <c r="AY198" s="74" t="n">
        <f aca="false">AVERAGEA(AX198,AZ198)</f>
        <v>0</v>
      </c>
      <c r="AZ198" s="78" t="n">
        <v>0</v>
      </c>
      <c r="BA198" s="231" t="n">
        <v>0</v>
      </c>
      <c r="BB198" s="56" t="n">
        <f aca="false">AVERAGEA(BC198, BA198)</f>
        <v>0</v>
      </c>
      <c r="BC198" s="231" t="n">
        <v>0</v>
      </c>
      <c r="BD198" s="78" t="n">
        <v>0</v>
      </c>
      <c r="BE198" s="74" t="n">
        <f aca="false">AVERAGEA(BD198,BF198)</f>
        <v>0</v>
      </c>
      <c r="BF198" s="78" t="n">
        <v>0</v>
      </c>
      <c r="BG198" s="231" t="n">
        <v>0</v>
      </c>
      <c r="BH198" s="56" t="n">
        <f aca="false">AVERAGEA(BI198, BG198)</f>
        <v>0</v>
      </c>
      <c r="BI198" s="231" t="n">
        <v>0</v>
      </c>
      <c r="BJ198" s="78" t="n">
        <v>0</v>
      </c>
      <c r="BK198" s="74" t="n">
        <f aca="false">AVERAGEA(BJ198,BL198)</f>
        <v>0</v>
      </c>
      <c r="BL198" s="78" t="n">
        <v>0</v>
      </c>
      <c r="BM198" s="231" t="n">
        <v>0</v>
      </c>
      <c r="BN198" s="56" t="n">
        <f aca="false">AVERAGEA(BO198, BM198)</f>
        <v>0</v>
      </c>
      <c r="BO198" s="231" t="n">
        <v>0</v>
      </c>
    </row>
    <row r="199" customFormat="false" ht="15" hidden="false" customHeight="true" outlineLevel="0" collapsed="false">
      <c r="B199" s="239"/>
      <c r="C199" s="240"/>
      <c r="D199" s="240"/>
      <c r="E199" s="242"/>
      <c r="F199" s="243" t="s">
        <v>141</v>
      </c>
      <c r="G199" s="249"/>
      <c r="H199" s="78" t="n">
        <v>30</v>
      </c>
      <c r="I199" s="74" t="n">
        <f aca="false">AVERAGEA(H199,J199)</f>
        <v>36</v>
      </c>
      <c r="J199" s="245" t="n">
        <v>42</v>
      </c>
      <c r="K199" s="231" t="s">
        <v>46</v>
      </c>
      <c r="L199" s="56" t="n">
        <f aca="false">AVERAGEA(M199, K199)</f>
        <v>0</v>
      </c>
      <c r="M199" s="232" t="s">
        <v>46</v>
      </c>
      <c r="N199" s="78" t="s">
        <v>46</v>
      </c>
      <c r="O199" s="74" t="n">
        <f aca="false">AVERAGEA(N199,P199)</f>
        <v>0</v>
      </c>
      <c r="P199" s="245" t="s">
        <v>46</v>
      </c>
      <c r="Q199" s="78" t="s">
        <v>46</v>
      </c>
      <c r="R199" s="74" t="n">
        <f aca="false">AVERAGEA(Q199,S199)</f>
        <v>0</v>
      </c>
      <c r="S199" s="245" t="s">
        <v>46</v>
      </c>
      <c r="T199" s="231" t="n">
        <v>22</v>
      </c>
      <c r="U199" s="56" t="n">
        <f aca="false">AVERAGEA(V199, T199)</f>
        <v>31</v>
      </c>
      <c r="V199" s="232" t="n">
        <v>40</v>
      </c>
      <c r="W199" s="78" t="n">
        <v>0</v>
      </c>
      <c r="X199" s="74" t="n">
        <f aca="false">AVERAGEA(W199,Y199)</f>
        <v>0</v>
      </c>
      <c r="Y199" s="245" t="n">
        <v>0</v>
      </c>
      <c r="Z199" s="231" t="n">
        <v>15</v>
      </c>
      <c r="AA199" s="56" t="n">
        <f aca="false">AVERAGEA(AB199, Z199)</f>
        <v>27.5</v>
      </c>
      <c r="AB199" s="232" t="n">
        <v>40</v>
      </c>
      <c r="AC199" s="78" t="n">
        <v>15</v>
      </c>
      <c r="AD199" s="74" t="n">
        <f aca="false">AVERAGEA(AC199,AE199)</f>
        <v>27.5</v>
      </c>
      <c r="AE199" s="245" t="n">
        <v>40</v>
      </c>
      <c r="AF199" s="231" t="n">
        <v>0</v>
      </c>
      <c r="AG199" s="56" t="n">
        <f aca="false">AVERAGEA(AH199, AF199)</f>
        <v>0</v>
      </c>
      <c r="AH199" s="231" t="n">
        <v>0</v>
      </c>
      <c r="AI199" s="231" t="n">
        <v>0</v>
      </c>
      <c r="AJ199" s="56" t="n">
        <f aca="false">AVERAGEA(AK199, AI199)</f>
        <v>0</v>
      </c>
      <c r="AK199" s="231" t="n">
        <v>0</v>
      </c>
      <c r="AL199" s="78" t="n">
        <f aca="false">AL175*1.15</f>
        <v>1035</v>
      </c>
      <c r="AM199" s="74" t="n">
        <f aca="false">AVERAGEA(AL199,AN199)</f>
        <v>1392.5</v>
      </c>
      <c r="AN199" s="78" t="n">
        <f aca="false">AN175*1.25</f>
        <v>1750</v>
      </c>
      <c r="AO199" s="231" t="n">
        <v>20</v>
      </c>
      <c r="AP199" s="56" t="n">
        <f aca="false">AVERAGEA(AQ199, AO199)</f>
        <v>31</v>
      </c>
      <c r="AQ199" s="232" t="n">
        <v>42</v>
      </c>
      <c r="AR199" s="78" t="n">
        <v>6</v>
      </c>
      <c r="AS199" s="74" t="n">
        <f aca="false">AVERAGEA(AR199,AT199)</f>
        <v>10.5</v>
      </c>
      <c r="AT199" s="245" t="n">
        <v>15</v>
      </c>
      <c r="AU199" s="231" t="n">
        <v>0</v>
      </c>
      <c r="AV199" s="56" t="n">
        <f aca="false">AVERAGEA(AW199, AU199)</f>
        <v>0</v>
      </c>
      <c r="AW199" s="231" t="n">
        <v>0</v>
      </c>
      <c r="AX199" s="78" t="n">
        <v>0</v>
      </c>
      <c r="AY199" s="74" t="n">
        <f aca="false">AVERAGEA(AX199,AZ199)</f>
        <v>0</v>
      </c>
      <c r="AZ199" s="78" t="n">
        <v>0</v>
      </c>
      <c r="BA199" s="231" t="n">
        <v>0</v>
      </c>
      <c r="BB199" s="56" t="n">
        <f aca="false">AVERAGEA(BC199, BA199)</f>
        <v>0</v>
      </c>
      <c r="BC199" s="231" t="n">
        <v>0</v>
      </c>
      <c r="BD199" s="78" t="n">
        <v>0</v>
      </c>
      <c r="BE199" s="74" t="n">
        <f aca="false">AVERAGEA(BD199,BF199)</f>
        <v>0</v>
      </c>
      <c r="BF199" s="78" t="n">
        <v>0</v>
      </c>
      <c r="BG199" s="231" t="n">
        <v>0</v>
      </c>
      <c r="BH199" s="56" t="n">
        <f aca="false">AVERAGEA(BI199, BG199)</f>
        <v>0</v>
      </c>
      <c r="BI199" s="231" t="n">
        <v>0</v>
      </c>
      <c r="BJ199" s="78" t="n">
        <v>0</v>
      </c>
      <c r="BK199" s="74" t="n">
        <f aca="false">AVERAGEA(BJ199,BL199)</f>
        <v>0</v>
      </c>
      <c r="BL199" s="78" t="n">
        <v>0</v>
      </c>
      <c r="BM199" s="231" t="n">
        <v>0</v>
      </c>
      <c r="BN199" s="56" t="n">
        <f aca="false">AVERAGEA(BO199, BM199)</f>
        <v>0</v>
      </c>
      <c r="BO199" s="231" t="n">
        <v>0</v>
      </c>
    </row>
    <row r="200" customFormat="false" ht="15" hidden="false" customHeight="true" outlineLevel="0" collapsed="false">
      <c r="B200" s="239"/>
      <c r="C200" s="240"/>
      <c r="D200" s="240"/>
      <c r="E200" s="242"/>
      <c r="F200" s="243" t="s">
        <v>142</v>
      </c>
      <c r="G200" s="249"/>
      <c r="H200" s="78" t="n">
        <v>28</v>
      </c>
      <c r="I200" s="74" t="n">
        <f aca="false">AVERAGEA(H200,J200)</f>
        <v>33</v>
      </c>
      <c r="J200" s="245" t="n">
        <v>38</v>
      </c>
      <c r="K200" s="231" t="s">
        <v>46</v>
      </c>
      <c r="L200" s="56" t="n">
        <f aca="false">AVERAGEA(M200, K200)</f>
        <v>0</v>
      </c>
      <c r="M200" s="232" t="s">
        <v>46</v>
      </c>
      <c r="N200" s="78" t="s">
        <v>46</v>
      </c>
      <c r="O200" s="74" t="n">
        <f aca="false">AVERAGEA(N200,P200)</f>
        <v>0</v>
      </c>
      <c r="P200" s="245" t="s">
        <v>46</v>
      </c>
      <c r="Q200" s="78" t="s">
        <v>46</v>
      </c>
      <c r="R200" s="74" t="n">
        <f aca="false">AVERAGEA(Q200,S200)</f>
        <v>0</v>
      </c>
      <c r="S200" s="245" t="s">
        <v>46</v>
      </c>
      <c r="T200" s="231" t="n">
        <v>20</v>
      </c>
      <c r="U200" s="56" t="n">
        <f aca="false">AVERAGEA(V200, T200)</f>
        <v>27.5</v>
      </c>
      <c r="V200" s="232" t="n">
        <v>35</v>
      </c>
      <c r="W200" s="78" t="n">
        <v>0</v>
      </c>
      <c r="X200" s="74" t="n">
        <f aca="false">AVERAGEA(W200,Y200)</f>
        <v>0</v>
      </c>
      <c r="Y200" s="245" t="n">
        <v>0</v>
      </c>
      <c r="Z200" s="231" t="n">
        <v>15</v>
      </c>
      <c r="AA200" s="56" t="n">
        <f aca="false">AVERAGEA(AB200, Z200)</f>
        <v>27.5</v>
      </c>
      <c r="AB200" s="232" t="n">
        <v>40</v>
      </c>
      <c r="AC200" s="78" t="n">
        <v>15</v>
      </c>
      <c r="AD200" s="74" t="n">
        <f aca="false">AVERAGEA(AC200,AE200)</f>
        <v>27.5</v>
      </c>
      <c r="AE200" s="245" t="n">
        <v>40</v>
      </c>
      <c r="AF200" s="231" t="n">
        <v>0</v>
      </c>
      <c r="AG200" s="56" t="n">
        <f aca="false">AVERAGEA(AH200, AF200)</f>
        <v>0</v>
      </c>
      <c r="AH200" s="231" t="n">
        <v>0</v>
      </c>
      <c r="AI200" s="231" t="n">
        <v>0</v>
      </c>
      <c r="AJ200" s="56" t="n">
        <f aca="false">AVERAGEA(AK200, AI200)</f>
        <v>0</v>
      </c>
      <c r="AK200" s="231" t="n">
        <v>0</v>
      </c>
      <c r="AL200" s="78" t="n">
        <f aca="false">AL176*1.15</f>
        <v>1150</v>
      </c>
      <c r="AM200" s="74" t="n">
        <f aca="false">AVERAGEA(AL200,AN200)</f>
        <v>1512.5</v>
      </c>
      <c r="AN200" s="78" t="n">
        <f aca="false">AN176*1.25</f>
        <v>1875</v>
      </c>
      <c r="AO200" s="231" t="n">
        <v>22</v>
      </c>
      <c r="AP200" s="56" t="n">
        <f aca="false">AVERAGEA(AQ200, AO200)</f>
        <v>33.5</v>
      </c>
      <c r="AQ200" s="232" t="n">
        <v>45</v>
      </c>
      <c r="AR200" s="78" t="n">
        <v>7</v>
      </c>
      <c r="AS200" s="74" t="n">
        <f aca="false">AVERAGEA(AR200,AT200)</f>
        <v>11.5</v>
      </c>
      <c r="AT200" s="245" t="n">
        <v>16</v>
      </c>
      <c r="AU200" s="231" t="n">
        <v>0</v>
      </c>
      <c r="AV200" s="56" t="n">
        <f aca="false">AVERAGEA(AW200, AU200)</f>
        <v>0</v>
      </c>
      <c r="AW200" s="231" t="n">
        <v>0</v>
      </c>
      <c r="AX200" s="78" t="n">
        <v>0</v>
      </c>
      <c r="AY200" s="74" t="n">
        <f aca="false">AVERAGEA(AX200,AZ200)</f>
        <v>0</v>
      </c>
      <c r="AZ200" s="78" t="n">
        <v>0</v>
      </c>
      <c r="BA200" s="231" t="n">
        <v>0</v>
      </c>
      <c r="BB200" s="56" t="n">
        <f aca="false">AVERAGEA(BC200, BA200)</f>
        <v>0</v>
      </c>
      <c r="BC200" s="231" t="n">
        <v>0</v>
      </c>
      <c r="BD200" s="78" t="n">
        <v>0</v>
      </c>
      <c r="BE200" s="74" t="n">
        <f aca="false">AVERAGEA(BD200,BF200)</f>
        <v>0</v>
      </c>
      <c r="BF200" s="78" t="n">
        <v>0</v>
      </c>
      <c r="BG200" s="231" t="n">
        <v>0</v>
      </c>
      <c r="BH200" s="56" t="n">
        <f aca="false">AVERAGEA(BI200, BG200)</f>
        <v>0</v>
      </c>
      <c r="BI200" s="231" t="n">
        <v>0</v>
      </c>
      <c r="BJ200" s="78" t="n">
        <v>0</v>
      </c>
      <c r="BK200" s="74" t="n">
        <f aca="false">AVERAGEA(BJ200,BL200)</f>
        <v>0</v>
      </c>
      <c r="BL200" s="78" t="n">
        <v>0</v>
      </c>
      <c r="BM200" s="231" t="n">
        <v>0</v>
      </c>
      <c r="BN200" s="56" t="n">
        <f aca="false">AVERAGEA(BO200, BM200)</f>
        <v>0</v>
      </c>
      <c r="BO200" s="231" t="n">
        <v>0</v>
      </c>
    </row>
    <row r="201" customFormat="false" ht="15" hidden="false" customHeight="true" outlineLevel="0" collapsed="false">
      <c r="B201" s="239"/>
      <c r="C201" s="240"/>
      <c r="D201" s="240"/>
      <c r="E201" s="242"/>
      <c r="F201" s="247" t="s">
        <v>143</v>
      </c>
      <c r="G201" s="249"/>
      <c r="H201" s="205" t="n">
        <v>25</v>
      </c>
      <c r="I201" s="124" t="n">
        <f aca="false">AVERAGEA(H201,J201)</f>
        <v>30</v>
      </c>
      <c r="J201" s="119" t="n">
        <v>35</v>
      </c>
      <c r="K201" s="120" t="s">
        <v>46</v>
      </c>
      <c r="L201" s="121" t="n">
        <f aca="false">AVERAGEA(K201,M201)</f>
        <v>0</v>
      </c>
      <c r="M201" s="122" t="s">
        <v>46</v>
      </c>
      <c r="N201" s="205" t="s">
        <v>46</v>
      </c>
      <c r="O201" s="124" t="n">
        <f aca="false">AVERAGEA(N201,P201)</f>
        <v>0</v>
      </c>
      <c r="P201" s="119" t="s">
        <v>46</v>
      </c>
      <c r="Q201" s="205" t="s">
        <v>46</v>
      </c>
      <c r="R201" s="124" t="n">
        <f aca="false">AVERAGEA(Q201,S201)</f>
        <v>0</v>
      </c>
      <c r="S201" s="119" t="s">
        <v>46</v>
      </c>
      <c r="T201" s="120" t="n">
        <v>18</v>
      </c>
      <c r="U201" s="121" t="n">
        <f aca="false">AVERAGEA(T201,V201)</f>
        <v>25</v>
      </c>
      <c r="V201" s="122" t="n">
        <v>32</v>
      </c>
      <c r="W201" s="205" t="n">
        <v>0</v>
      </c>
      <c r="X201" s="124" t="n">
        <f aca="false">AVERAGEA(W201,Y201)</f>
        <v>0</v>
      </c>
      <c r="Y201" s="119" t="n">
        <v>0</v>
      </c>
      <c r="Z201" s="120" t="n">
        <v>15</v>
      </c>
      <c r="AA201" s="121" t="n">
        <f aca="false">AVERAGEA(Z201,AB201)</f>
        <v>27.5</v>
      </c>
      <c r="AB201" s="122" t="n">
        <v>40</v>
      </c>
      <c r="AC201" s="205" t="n">
        <v>15</v>
      </c>
      <c r="AD201" s="124" t="n">
        <f aca="false">AVERAGEA(AC201,AE201)</f>
        <v>27.5</v>
      </c>
      <c r="AE201" s="119" t="n">
        <v>40</v>
      </c>
      <c r="AF201" s="120" t="n">
        <v>0</v>
      </c>
      <c r="AG201" s="121" t="n">
        <f aca="false">AVERAGEA(AF201,AH201)</f>
        <v>0</v>
      </c>
      <c r="AH201" s="120" t="n">
        <v>0</v>
      </c>
      <c r="AI201" s="120" t="n">
        <v>0</v>
      </c>
      <c r="AJ201" s="121" t="n">
        <f aca="false">AVERAGEA(AI201,AK201)</f>
        <v>0</v>
      </c>
      <c r="AK201" s="120" t="n">
        <v>0</v>
      </c>
      <c r="AL201" s="205" t="n">
        <f aca="false">AL177*1.15</f>
        <v>1265</v>
      </c>
      <c r="AM201" s="124" t="n">
        <f aca="false">AVERAGEA(AL201,AN201)</f>
        <v>1632.5</v>
      </c>
      <c r="AN201" s="205" t="n">
        <f aca="false">AN177*1.25</f>
        <v>2000</v>
      </c>
      <c r="AO201" s="120" t="n">
        <v>25</v>
      </c>
      <c r="AP201" s="121" t="n">
        <f aca="false">AVERAGEA(AO201,AQ201)</f>
        <v>37.5</v>
      </c>
      <c r="AQ201" s="122" t="n">
        <v>50</v>
      </c>
      <c r="AR201" s="205" t="n">
        <v>8</v>
      </c>
      <c r="AS201" s="124" t="n">
        <f aca="false">AVERAGEA(AR201,AT201)</f>
        <v>13</v>
      </c>
      <c r="AT201" s="119" t="n">
        <v>18</v>
      </c>
      <c r="AU201" s="120" t="n">
        <v>0</v>
      </c>
      <c r="AV201" s="121" t="n">
        <f aca="false">AVERAGEA(AU201,AW201)</f>
        <v>0</v>
      </c>
      <c r="AW201" s="120" t="n">
        <v>0</v>
      </c>
      <c r="AX201" s="205" t="n">
        <v>0</v>
      </c>
      <c r="AY201" s="124" t="n">
        <f aca="false">AVERAGEA(AX201,AZ201)</f>
        <v>0</v>
      </c>
      <c r="AZ201" s="205" t="n">
        <v>0</v>
      </c>
      <c r="BA201" s="120" t="n">
        <v>0</v>
      </c>
      <c r="BB201" s="121" t="n">
        <f aca="false">AVERAGEA(BA201,BC201)</f>
        <v>0</v>
      </c>
      <c r="BC201" s="120" t="n">
        <v>0</v>
      </c>
      <c r="BD201" s="205" t="n">
        <v>0</v>
      </c>
      <c r="BE201" s="124" t="n">
        <f aca="false">AVERAGEA(BD201,BF201)</f>
        <v>0</v>
      </c>
      <c r="BF201" s="205" t="n">
        <v>0</v>
      </c>
      <c r="BG201" s="120" t="n">
        <v>0</v>
      </c>
      <c r="BH201" s="121" t="n">
        <f aca="false">AVERAGEA(BG201,BI201)</f>
        <v>0</v>
      </c>
      <c r="BI201" s="120" t="n">
        <v>0</v>
      </c>
      <c r="BJ201" s="205" t="n">
        <v>0</v>
      </c>
      <c r="BK201" s="124" t="n">
        <f aca="false">AVERAGEA(BJ201,BL201)</f>
        <v>0</v>
      </c>
      <c r="BL201" s="205" t="n">
        <v>0</v>
      </c>
      <c r="BM201" s="120" t="n">
        <v>0</v>
      </c>
      <c r="BN201" s="121" t="n">
        <f aca="false">AVERAGEA(BM201,BO201)</f>
        <v>0</v>
      </c>
      <c r="BO201" s="120" t="n">
        <v>0</v>
      </c>
    </row>
    <row r="202" customFormat="false" ht="15" hidden="false" customHeight="true" outlineLevel="0" collapsed="false">
      <c r="B202" s="239"/>
      <c r="C202" s="240"/>
      <c r="D202" s="250" t="s">
        <v>138</v>
      </c>
      <c r="E202" s="242"/>
      <c r="F202" s="243" t="s">
        <v>139</v>
      </c>
      <c r="G202" s="249" t="s">
        <v>144</v>
      </c>
      <c r="H202" s="78" t="n">
        <v>35</v>
      </c>
      <c r="I202" s="74" t="n">
        <f aca="false">AVERAGEA(H202,J202)</f>
        <v>42.5</v>
      </c>
      <c r="J202" s="245" t="n">
        <v>50</v>
      </c>
      <c r="K202" s="231" t="s">
        <v>46</v>
      </c>
      <c r="L202" s="56" t="n">
        <f aca="false">AVERAGEA(M202, K202)</f>
        <v>0</v>
      </c>
      <c r="M202" s="232" t="s">
        <v>46</v>
      </c>
      <c r="N202" s="78" t="s">
        <v>46</v>
      </c>
      <c r="O202" s="74" t="n">
        <f aca="false">AVERAGEA(N202,P202)</f>
        <v>0</v>
      </c>
      <c r="P202" s="245" t="s">
        <v>46</v>
      </c>
      <c r="Q202" s="78" t="s">
        <v>46</v>
      </c>
      <c r="R202" s="74" t="n">
        <f aca="false">AVERAGEA(Q202,S202)</f>
        <v>0</v>
      </c>
      <c r="S202" s="245" t="s">
        <v>46</v>
      </c>
      <c r="T202" s="231" t="n">
        <f aca="false">T198*1.23</f>
        <v>31.98</v>
      </c>
      <c r="U202" s="56" t="n">
        <f aca="false">AVERAGEA(V202, T202)</f>
        <v>45.51</v>
      </c>
      <c r="V202" s="231" t="n">
        <f aca="false">V198*1.23</f>
        <v>59.04</v>
      </c>
      <c r="W202" s="78" t="n">
        <v>0</v>
      </c>
      <c r="X202" s="74" t="n">
        <f aca="false">AVERAGEA(W202,Y202)</f>
        <v>0</v>
      </c>
      <c r="Y202" s="245" t="n">
        <v>0</v>
      </c>
      <c r="Z202" s="231" t="n">
        <v>15</v>
      </c>
      <c r="AA202" s="56" t="n">
        <f aca="false">AVERAGEA(AB202, Z202)</f>
        <v>27.5</v>
      </c>
      <c r="AB202" s="232" t="n">
        <v>40</v>
      </c>
      <c r="AC202" s="78" t="n">
        <v>15</v>
      </c>
      <c r="AD202" s="74" t="n">
        <f aca="false">AVERAGEA(AC202,AE202)</f>
        <v>27.5</v>
      </c>
      <c r="AE202" s="245" t="n">
        <v>40</v>
      </c>
      <c r="AF202" s="231" t="n">
        <v>0</v>
      </c>
      <c r="AG202" s="56" t="n">
        <f aca="false">AVERAGEA(AH202, AF202)</f>
        <v>0</v>
      </c>
      <c r="AH202" s="231" t="n">
        <v>0</v>
      </c>
      <c r="AI202" s="231" t="n">
        <v>0</v>
      </c>
      <c r="AJ202" s="56" t="n">
        <f aca="false">AVERAGEA(AK202, AI202)</f>
        <v>0</v>
      </c>
      <c r="AK202" s="231" t="n">
        <v>0</v>
      </c>
      <c r="AL202" s="78" t="n">
        <f aca="false">AL178*1.15</f>
        <v>920</v>
      </c>
      <c r="AM202" s="74" t="n">
        <f aca="false">AVERAGEA(AL202,AN202)</f>
        <v>1272.5</v>
      </c>
      <c r="AN202" s="78" t="n">
        <f aca="false">AN178*1.25</f>
        <v>1625</v>
      </c>
      <c r="AO202" s="231" t="n">
        <v>18</v>
      </c>
      <c r="AP202" s="56" t="n">
        <f aca="false">AVERAGEA(AQ202, AO202)</f>
        <v>29</v>
      </c>
      <c r="AQ202" s="232" t="n">
        <v>40</v>
      </c>
      <c r="AR202" s="78" t="n">
        <v>5</v>
      </c>
      <c r="AS202" s="74" t="n">
        <f aca="false">AVERAGEA(AR202,AT202)</f>
        <v>9.5</v>
      </c>
      <c r="AT202" s="245" t="n">
        <v>14</v>
      </c>
      <c r="AU202" s="231" t="n">
        <v>0</v>
      </c>
      <c r="AV202" s="56" t="n">
        <f aca="false">AVERAGEA(AW202, AU202)</f>
        <v>0</v>
      </c>
      <c r="AW202" s="231" t="n">
        <v>0</v>
      </c>
      <c r="AX202" s="78" t="n">
        <v>0</v>
      </c>
      <c r="AY202" s="74" t="n">
        <f aca="false">AVERAGEA(AX202,AZ202)</f>
        <v>0</v>
      </c>
      <c r="AZ202" s="78" t="n">
        <v>0</v>
      </c>
      <c r="BA202" s="231" t="n">
        <v>0</v>
      </c>
      <c r="BB202" s="56" t="n">
        <f aca="false">AVERAGEA(BC202, BA202)</f>
        <v>0</v>
      </c>
      <c r="BC202" s="231" t="n">
        <v>0</v>
      </c>
      <c r="BD202" s="78" t="n">
        <v>0</v>
      </c>
      <c r="BE202" s="74" t="n">
        <f aca="false">AVERAGEA(BD202,BF202)</f>
        <v>0</v>
      </c>
      <c r="BF202" s="78" t="n">
        <v>0</v>
      </c>
      <c r="BG202" s="231" t="n">
        <v>0</v>
      </c>
      <c r="BH202" s="56" t="n">
        <f aca="false">AVERAGEA(BI202, BG202)</f>
        <v>0</v>
      </c>
      <c r="BI202" s="231" t="n">
        <v>0</v>
      </c>
      <c r="BJ202" s="78" t="n">
        <v>0</v>
      </c>
      <c r="BK202" s="74" t="n">
        <f aca="false">AVERAGEA(BJ202,BL202)</f>
        <v>0</v>
      </c>
      <c r="BL202" s="78" t="n">
        <v>0</v>
      </c>
      <c r="BM202" s="231" t="n">
        <v>0</v>
      </c>
      <c r="BN202" s="56" t="n">
        <f aca="false">AVERAGEA(BO202, BM202)</f>
        <v>0</v>
      </c>
      <c r="BO202" s="231" t="n">
        <v>0</v>
      </c>
    </row>
    <row r="203" customFormat="false" ht="15" hidden="false" customHeight="true" outlineLevel="0" collapsed="false">
      <c r="B203" s="239"/>
      <c r="C203" s="240"/>
      <c r="D203" s="240"/>
      <c r="E203" s="242"/>
      <c r="F203" s="243" t="s">
        <v>141</v>
      </c>
      <c r="G203" s="249"/>
      <c r="H203" s="78" t="n">
        <v>30</v>
      </c>
      <c r="I203" s="74" t="n">
        <f aca="false">AVERAGEA(H203,J203)</f>
        <v>36</v>
      </c>
      <c r="J203" s="245" t="n">
        <v>42</v>
      </c>
      <c r="K203" s="231" t="s">
        <v>46</v>
      </c>
      <c r="L203" s="56" t="n">
        <f aca="false">AVERAGEA(M203, K203)</f>
        <v>0</v>
      </c>
      <c r="M203" s="232" t="s">
        <v>46</v>
      </c>
      <c r="N203" s="78" t="s">
        <v>46</v>
      </c>
      <c r="O203" s="74" t="n">
        <f aca="false">AVERAGEA(N203,P203)</f>
        <v>0</v>
      </c>
      <c r="P203" s="245" t="s">
        <v>46</v>
      </c>
      <c r="Q203" s="78" t="s">
        <v>46</v>
      </c>
      <c r="R203" s="74" t="n">
        <f aca="false">AVERAGEA(Q203,S203)</f>
        <v>0</v>
      </c>
      <c r="S203" s="245" t="s">
        <v>46</v>
      </c>
      <c r="T203" s="231" t="n">
        <f aca="false">T199*1.23</f>
        <v>27.06</v>
      </c>
      <c r="U203" s="56" t="n">
        <f aca="false">AVERAGEA(V203, T203)</f>
        <v>38.13</v>
      </c>
      <c r="V203" s="231" t="n">
        <f aca="false">V199*1.23</f>
        <v>49.2</v>
      </c>
      <c r="W203" s="78" t="n">
        <v>0</v>
      </c>
      <c r="X203" s="74" t="n">
        <f aca="false">AVERAGEA(W203,Y203)</f>
        <v>0</v>
      </c>
      <c r="Y203" s="245" t="n">
        <v>0</v>
      </c>
      <c r="Z203" s="231" t="n">
        <v>15</v>
      </c>
      <c r="AA203" s="56" t="n">
        <f aca="false">AVERAGEA(AB203, Z203)</f>
        <v>27.5</v>
      </c>
      <c r="AB203" s="232" t="n">
        <v>40</v>
      </c>
      <c r="AC203" s="78" t="n">
        <v>15</v>
      </c>
      <c r="AD203" s="74" t="n">
        <f aca="false">AVERAGEA(AC203,AE203)</f>
        <v>27.5</v>
      </c>
      <c r="AE203" s="245" t="n">
        <v>40</v>
      </c>
      <c r="AF203" s="231" t="n">
        <v>0</v>
      </c>
      <c r="AG203" s="56" t="n">
        <f aca="false">AVERAGEA(AH203, AF203)</f>
        <v>0</v>
      </c>
      <c r="AH203" s="231" t="n">
        <v>0</v>
      </c>
      <c r="AI203" s="231" t="n">
        <v>0</v>
      </c>
      <c r="AJ203" s="56" t="n">
        <f aca="false">AVERAGEA(AK203, AI203)</f>
        <v>0</v>
      </c>
      <c r="AK203" s="231" t="n">
        <v>0</v>
      </c>
      <c r="AL203" s="78" t="n">
        <f aca="false">AL179*1.15</f>
        <v>1035</v>
      </c>
      <c r="AM203" s="74" t="n">
        <f aca="false">AVERAGEA(AL203,AN203)</f>
        <v>1392.5</v>
      </c>
      <c r="AN203" s="78" t="n">
        <f aca="false">AN179*1.25</f>
        <v>1750</v>
      </c>
      <c r="AO203" s="231" t="n">
        <v>20</v>
      </c>
      <c r="AP203" s="56" t="n">
        <f aca="false">AVERAGEA(AQ203, AO203)</f>
        <v>31</v>
      </c>
      <c r="AQ203" s="232" t="n">
        <v>42</v>
      </c>
      <c r="AR203" s="78" t="n">
        <v>6</v>
      </c>
      <c r="AS203" s="74" t="n">
        <f aca="false">AVERAGEA(AR203,AT203)</f>
        <v>10.5</v>
      </c>
      <c r="AT203" s="245" t="n">
        <v>15</v>
      </c>
      <c r="AU203" s="231" t="n">
        <v>0</v>
      </c>
      <c r="AV203" s="56" t="n">
        <f aca="false">AVERAGEA(AW203, AU203)</f>
        <v>0</v>
      </c>
      <c r="AW203" s="231" t="n">
        <v>0</v>
      </c>
      <c r="AX203" s="78" t="n">
        <v>0</v>
      </c>
      <c r="AY203" s="74" t="n">
        <f aca="false">AVERAGEA(AX203,AZ203)</f>
        <v>0</v>
      </c>
      <c r="AZ203" s="78" t="n">
        <v>0</v>
      </c>
      <c r="BA203" s="231" t="n">
        <v>0</v>
      </c>
      <c r="BB203" s="56" t="n">
        <f aca="false">AVERAGEA(BC203, BA203)</f>
        <v>0</v>
      </c>
      <c r="BC203" s="231" t="n">
        <v>0</v>
      </c>
      <c r="BD203" s="78" t="n">
        <v>0</v>
      </c>
      <c r="BE203" s="74" t="n">
        <f aca="false">AVERAGEA(BD203,BF203)</f>
        <v>0</v>
      </c>
      <c r="BF203" s="78" t="n">
        <v>0</v>
      </c>
      <c r="BG203" s="231" t="n">
        <v>0</v>
      </c>
      <c r="BH203" s="56" t="n">
        <f aca="false">AVERAGEA(BI203, BG203)</f>
        <v>0</v>
      </c>
      <c r="BI203" s="231" t="n">
        <v>0</v>
      </c>
      <c r="BJ203" s="78" t="n">
        <v>0</v>
      </c>
      <c r="BK203" s="74" t="n">
        <f aca="false">AVERAGEA(BJ203,BL203)</f>
        <v>0</v>
      </c>
      <c r="BL203" s="78" t="n">
        <v>0</v>
      </c>
      <c r="BM203" s="231" t="n">
        <v>0</v>
      </c>
      <c r="BN203" s="56" t="n">
        <f aca="false">AVERAGEA(BO203, BM203)</f>
        <v>0</v>
      </c>
      <c r="BO203" s="231" t="n">
        <v>0</v>
      </c>
    </row>
    <row r="204" customFormat="false" ht="15" hidden="false" customHeight="true" outlineLevel="0" collapsed="false">
      <c r="B204" s="239"/>
      <c r="C204" s="240"/>
      <c r="D204" s="240"/>
      <c r="E204" s="242"/>
      <c r="F204" s="243" t="s">
        <v>142</v>
      </c>
      <c r="G204" s="249"/>
      <c r="H204" s="78" t="n">
        <v>28</v>
      </c>
      <c r="I204" s="74" t="n">
        <f aca="false">AVERAGEA(H204,J204)</f>
        <v>33</v>
      </c>
      <c r="J204" s="245" t="n">
        <v>38</v>
      </c>
      <c r="K204" s="231" t="s">
        <v>46</v>
      </c>
      <c r="L204" s="56" t="n">
        <f aca="false">AVERAGEA(M204, K204)</f>
        <v>0</v>
      </c>
      <c r="M204" s="232" t="s">
        <v>46</v>
      </c>
      <c r="N204" s="78" t="s">
        <v>46</v>
      </c>
      <c r="O204" s="74" t="n">
        <f aca="false">AVERAGEA(N204,P204)</f>
        <v>0</v>
      </c>
      <c r="P204" s="245" t="s">
        <v>46</v>
      </c>
      <c r="Q204" s="78" t="s">
        <v>46</v>
      </c>
      <c r="R204" s="74" t="n">
        <f aca="false">AVERAGEA(Q204,S204)</f>
        <v>0</v>
      </c>
      <c r="S204" s="245" t="s">
        <v>46</v>
      </c>
      <c r="T204" s="231" t="n">
        <f aca="false">T200*1.23</f>
        <v>24.6</v>
      </c>
      <c r="U204" s="56" t="n">
        <f aca="false">AVERAGEA(V204, T204)</f>
        <v>33.825</v>
      </c>
      <c r="V204" s="231" t="n">
        <f aca="false">V200*1.23</f>
        <v>43.05</v>
      </c>
      <c r="W204" s="78" t="n">
        <v>0</v>
      </c>
      <c r="X204" s="74" t="n">
        <f aca="false">AVERAGEA(W204,Y204)</f>
        <v>0</v>
      </c>
      <c r="Y204" s="245" t="n">
        <v>0</v>
      </c>
      <c r="Z204" s="231" t="n">
        <v>15</v>
      </c>
      <c r="AA204" s="56" t="n">
        <f aca="false">AVERAGEA(AB204, Z204)</f>
        <v>27.5</v>
      </c>
      <c r="AB204" s="232" t="n">
        <v>40</v>
      </c>
      <c r="AC204" s="78" t="n">
        <v>15</v>
      </c>
      <c r="AD204" s="74" t="n">
        <f aca="false">AVERAGEA(AC204,AE204)</f>
        <v>27.5</v>
      </c>
      <c r="AE204" s="245" t="n">
        <v>40</v>
      </c>
      <c r="AF204" s="231" t="n">
        <v>0</v>
      </c>
      <c r="AG204" s="56" t="n">
        <f aca="false">AVERAGEA(AH204, AF204)</f>
        <v>0</v>
      </c>
      <c r="AH204" s="231" t="n">
        <v>0</v>
      </c>
      <c r="AI204" s="231" t="n">
        <v>0</v>
      </c>
      <c r="AJ204" s="56" t="n">
        <f aca="false">AVERAGEA(AK204, AI204)</f>
        <v>0</v>
      </c>
      <c r="AK204" s="231" t="n">
        <v>0</v>
      </c>
      <c r="AL204" s="78" t="n">
        <f aca="false">AL180*1.15</f>
        <v>1150</v>
      </c>
      <c r="AM204" s="74" t="n">
        <f aca="false">AVERAGEA(AL204,AN204)</f>
        <v>1512.5</v>
      </c>
      <c r="AN204" s="78" t="n">
        <f aca="false">AN180*1.25</f>
        <v>1875</v>
      </c>
      <c r="AO204" s="231" t="n">
        <v>22</v>
      </c>
      <c r="AP204" s="56" t="n">
        <f aca="false">AVERAGEA(AQ204, AO204)</f>
        <v>33.5</v>
      </c>
      <c r="AQ204" s="232" t="n">
        <v>45</v>
      </c>
      <c r="AR204" s="78" t="n">
        <v>7</v>
      </c>
      <c r="AS204" s="74" t="n">
        <f aca="false">AVERAGEA(AR204,AT204)</f>
        <v>11.5</v>
      </c>
      <c r="AT204" s="245" t="n">
        <v>16</v>
      </c>
      <c r="AU204" s="231" t="n">
        <v>0</v>
      </c>
      <c r="AV204" s="56" t="n">
        <f aca="false">AVERAGEA(AW204, AU204)</f>
        <v>0</v>
      </c>
      <c r="AW204" s="231" t="n">
        <v>0</v>
      </c>
      <c r="AX204" s="78" t="n">
        <v>0</v>
      </c>
      <c r="AY204" s="74" t="n">
        <f aca="false">AVERAGEA(AX204,AZ204)</f>
        <v>0</v>
      </c>
      <c r="AZ204" s="78" t="n">
        <v>0</v>
      </c>
      <c r="BA204" s="231" t="n">
        <v>0</v>
      </c>
      <c r="BB204" s="56" t="n">
        <f aca="false">AVERAGEA(BC204, BA204)</f>
        <v>0</v>
      </c>
      <c r="BC204" s="231" t="n">
        <v>0</v>
      </c>
      <c r="BD204" s="78" t="n">
        <v>0</v>
      </c>
      <c r="BE204" s="74" t="n">
        <f aca="false">AVERAGEA(BD204,BF204)</f>
        <v>0</v>
      </c>
      <c r="BF204" s="78" t="n">
        <v>0</v>
      </c>
      <c r="BG204" s="231" t="n">
        <v>0</v>
      </c>
      <c r="BH204" s="56" t="n">
        <f aca="false">AVERAGEA(BI204, BG204)</f>
        <v>0</v>
      </c>
      <c r="BI204" s="231" t="n">
        <v>0</v>
      </c>
      <c r="BJ204" s="78" t="n">
        <v>0</v>
      </c>
      <c r="BK204" s="74" t="n">
        <f aca="false">AVERAGEA(BJ204,BL204)</f>
        <v>0</v>
      </c>
      <c r="BL204" s="78" t="n">
        <v>0</v>
      </c>
      <c r="BM204" s="231" t="n">
        <v>0</v>
      </c>
      <c r="BN204" s="56" t="n">
        <f aca="false">AVERAGEA(BO204, BM204)</f>
        <v>0</v>
      </c>
      <c r="BO204" s="231" t="n">
        <v>0</v>
      </c>
    </row>
    <row r="205" customFormat="false" ht="15" hidden="false" customHeight="true" outlineLevel="0" collapsed="false">
      <c r="B205" s="239"/>
      <c r="C205" s="240"/>
      <c r="D205" s="240"/>
      <c r="E205" s="242"/>
      <c r="F205" s="247" t="s">
        <v>143</v>
      </c>
      <c r="G205" s="249"/>
      <c r="H205" s="205" t="n">
        <v>25</v>
      </c>
      <c r="I205" s="124" t="n">
        <f aca="false">AVERAGEA(H205,J205)</f>
        <v>30</v>
      </c>
      <c r="J205" s="119" t="n">
        <v>35</v>
      </c>
      <c r="K205" s="120" t="s">
        <v>46</v>
      </c>
      <c r="L205" s="121" t="n">
        <f aca="false">AVERAGEA(K205,M205)</f>
        <v>0</v>
      </c>
      <c r="M205" s="122" t="s">
        <v>46</v>
      </c>
      <c r="N205" s="205" t="s">
        <v>46</v>
      </c>
      <c r="O205" s="124" t="n">
        <f aca="false">AVERAGEA(N205,P205)</f>
        <v>0</v>
      </c>
      <c r="P205" s="119" t="s">
        <v>46</v>
      </c>
      <c r="Q205" s="205" t="s">
        <v>46</v>
      </c>
      <c r="R205" s="124" t="n">
        <f aca="false">AVERAGEA(Q205,S205)</f>
        <v>0</v>
      </c>
      <c r="S205" s="119" t="s">
        <v>46</v>
      </c>
      <c r="T205" s="120" t="n">
        <f aca="false">T201*1.23</f>
        <v>22.14</v>
      </c>
      <c r="U205" s="121" t="n">
        <f aca="false">AVERAGEA(T205,V205)</f>
        <v>30.75</v>
      </c>
      <c r="V205" s="120" t="n">
        <f aca="false">V201*1.23</f>
        <v>39.36</v>
      </c>
      <c r="W205" s="205" t="n">
        <v>0</v>
      </c>
      <c r="X205" s="124" t="n">
        <f aca="false">AVERAGEA(W205,Y205)</f>
        <v>0</v>
      </c>
      <c r="Y205" s="119" t="n">
        <v>0</v>
      </c>
      <c r="Z205" s="120" t="n">
        <v>15</v>
      </c>
      <c r="AA205" s="121" t="n">
        <f aca="false">AVERAGEA(Z205,AB205)</f>
        <v>27.5</v>
      </c>
      <c r="AB205" s="122" t="n">
        <v>40</v>
      </c>
      <c r="AC205" s="205" t="n">
        <v>15</v>
      </c>
      <c r="AD205" s="124" t="n">
        <f aca="false">AVERAGEA(AC205,AE205)</f>
        <v>27.5</v>
      </c>
      <c r="AE205" s="119" t="n">
        <v>40</v>
      </c>
      <c r="AF205" s="120" t="n">
        <v>0</v>
      </c>
      <c r="AG205" s="121" t="n">
        <f aca="false">AVERAGEA(AF205,AH205)</f>
        <v>0</v>
      </c>
      <c r="AH205" s="120" t="n">
        <v>0</v>
      </c>
      <c r="AI205" s="120" t="n">
        <v>0</v>
      </c>
      <c r="AJ205" s="121" t="n">
        <f aca="false">AVERAGEA(AI205,AK205)</f>
        <v>0</v>
      </c>
      <c r="AK205" s="120" t="n">
        <v>0</v>
      </c>
      <c r="AL205" s="205" t="n">
        <f aca="false">AL181*1.15</f>
        <v>1265</v>
      </c>
      <c r="AM205" s="124" t="n">
        <f aca="false">AVERAGEA(AL205,AN205)</f>
        <v>1632.5</v>
      </c>
      <c r="AN205" s="205" t="n">
        <f aca="false">AN181*1.25</f>
        <v>2000</v>
      </c>
      <c r="AO205" s="120" t="n">
        <v>25</v>
      </c>
      <c r="AP205" s="121" t="n">
        <f aca="false">AVERAGEA(AO205,AQ205)</f>
        <v>37.5</v>
      </c>
      <c r="AQ205" s="122" t="n">
        <v>50</v>
      </c>
      <c r="AR205" s="205" t="n">
        <v>8</v>
      </c>
      <c r="AS205" s="124" t="n">
        <f aca="false">AVERAGEA(AR205,AT205)</f>
        <v>13</v>
      </c>
      <c r="AT205" s="119" t="n">
        <v>18</v>
      </c>
      <c r="AU205" s="120" t="n">
        <v>0</v>
      </c>
      <c r="AV205" s="121" t="n">
        <f aca="false">AVERAGEA(AU205,AW205)</f>
        <v>0</v>
      </c>
      <c r="AW205" s="120" t="n">
        <v>0</v>
      </c>
      <c r="AX205" s="205" t="n">
        <v>0</v>
      </c>
      <c r="AY205" s="124" t="n">
        <f aca="false">AVERAGEA(AX205,AZ205)</f>
        <v>0</v>
      </c>
      <c r="AZ205" s="205" t="n">
        <v>0</v>
      </c>
      <c r="BA205" s="120" t="n">
        <v>0</v>
      </c>
      <c r="BB205" s="121" t="n">
        <f aca="false">AVERAGEA(BA205,BC205)</f>
        <v>0</v>
      </c>
      <c r="BC205" s="120" t="n">
        <v>0</v>
      </c>
      <c r="BD205" s="205" t="n">
        <v>0</v>
      </c>
      <c r="BE205" s="124" t="n">
        <f aca="false">AVERAGEA(BD205,BF205)</f>
        <v>0</v>
      </c>
      <c r="BF205" s="205" t="n">
        <v>0</v>
      </c>
      <c r="BG205" s="120" t="n">
        <v>0</v>
      </c>
      <c r="BH205" s="121" t="n">
        <f aca="false">AVERAGEA(BG205,BI205)</f>
        <v>0</v>
      </c>
      <c r="BI205" s="120" t="n">
        <v>0</v>
      </c>
      <c r="BJ205" s="205" t="n">
        <v>0</v>
      </c>
      <c r="BK205" s="124" t="n">
        <f aca="false">AVERAGEA(BJ205,BL205)</f>
        <v>0</v>
      </c>
      <c r="BL205" s="205" t="n">
        <v>0</v>
      </c>
      <c r="BM205" s="120" t="n">
        <v>0</v>
      </c>
      <c r="BN205" s="121" t="n">
        <f aca="false">AVERAGEA(BM205,BO205)</f>
        <v>0</v>
      </c>
      <c r="BO205" s="120" t="n">
        <v>0</v>
      </c>
    </row>
    <row r="206" customFormat="false" ht="15" hidden="false" customHeight="true" outlineLevel="0" collapsed="false">
      <c r="B206" s="239"/>
      <c r="C206" s="240"/>
      <c r="D206" s="250" t="s">
        <v>138</v>
      </c>
      <c r="E206" s="242"/>
      <c r="F206" s="243" t="s">
        <v>139</v>
      </c>
      <c r="G206" s="249" t="s">
        <v>145</v>
      </c>
      <c r="H206" s="78" t="n">
        <v>35</v>
      </c>
      <c r="I206" s="74" t="n">
        <f aca="false">AVERAGEA(H206,J206)</f>
        <v>42.5</v>
      </c>
      <c r="J206" s="245" t="n">
        <v>50</v>
      </c>
      <c r="K206" s="231" t="s">
        <v>46</v>
      </c>
      <c r="L206" s="56" t="n">
        <f aca="false">AVERAGEA(M206, K206)</f>
        <v>0</v>
      </c>
      <c r="M206" s="232" t="s">
        <v>46</v>
      </c>
      <c r="N206" s="78" t="s">
        <v>46</v>
      </c>
      <c r="O206" s="74" t="n">
        <f aca="false">AVERAGEA(N206,P206)</f>
        <v>0</v>
      </c>
      <c r="P206" s="245" t="s">
        <v>46</v>
      </c>
      <c r="Q206" s="78" t="s">
        <v>46</v>
      </c>
      <c r="R206" s="74" t="n">
        <f aca="false">AVERAGEA(Q206,S206)</f>
        <v>0</v>
      </c>
      <c r="S206" s="245" t="s">
        <v>46</v>
      </c>
      <c r="T206" s="231" t="n">
        <f aca="false">T198*1.66</f>
        <v>43.16</v>
      </c>
      <c r="U206" s="56" t="n">
        <f aca="false">AVERAGEA(V206, T206)</f>
        <v>61.42</v>
      </c>
      <c r="V206" s="231" t="n">
        <f aca="false">V198*1.66</f>
        <v>79.68</v>
      </c>
      <c r="W206" s="78" t="n">
        <v>0</v>
      </c>
      <c r="X206" s="74" t="n">
        <f aca="false">AVERAGEA(W206,Y206)</f>
        <v>0</v>
      </c>
      <c r="Y206" s="245" t="n">
        <v>0</v>
      </c>
      <c r="Z206" s="231" t="n">
        <v>15</v>
      </c>
      <c r="AA206" s="56" t="n">
        <f aca="false">AVERAGEA(AB206, Z206)</f>
        <v>27.5</v>
      </c>
      <c r="AB206" s="232" t="n">
        <v>40</v>
      </c>
      <c r="AC206" s="78" t="n">
        <v>15</v>
      </c>
      <c r="AD206" s="74" t="n">
        <f aca="false">AVERAGEA(AC206,AE206)</f>
        <v>27.5</v>
      </c>
      <c r="AE206" s="245" t="n">
        <v>40</v>
      </c>
      <c r="AF206" s="231" t="n">
        <v>0</v>
      </c>
      <c r="AG206" s="56" t="n">
        <f aca="false">AVERAGEA(AH206, AF206)</f>
        <v>0</v>
      </c>
      <c r="AH206" s="231" t="n">
        <v>0</v>
      </c>
      <c r="AI206" s="231" t="n">
        <v>0</v>
      </c>
      <c r="AJ206" s="56" t="n">
        <f aca="false">AVERAGEA(AK206, AI206)</f>
        <v>0</v>
      </c>
      <c r="AK206" s="231" t="n">
        <v>0</v>
      </c>
      <c r="AL206" s="78" t="n">
        <f aca="false">AL182*1.15</f>
        <v>920</v>
      </c>
      <c r="AM206" s="74" t="n">
        <f aca="false">AVERAGEA(AL206,AN206)</f>
        <v>1272.5</v>
      </c>
      <c r="AN206" s="78" t="n">
        <f aca="false">AN182*1.25</f>
        <v>1625</v>
      </c>
      <c r="AO206" s="231" t="n">
        <v>18</v>
      </c>
      <c r="AP206" s="56" t="n">
        <f aca="false">AVERAGEA(AQ206, AO206)</f>
        <v>29</v>
      </c>
      <c r="AQ206" s="232" t="n">
        <v>40</v>
      </c>
      <c r="AR206" s="78" t="n">
        <v>5</v>
      </c>
      <c r="AS206" s="74" t="n">
        <f aca="false">AVERAGEA(AR206,AT206)</f>
        <v>9.5</v>
      </c>
      <c r="AT206" s="245" t="n">
        <v>14</v>
      </c>
      <c r="AU206" s="231" t="n">
        <v>0</v>
      </c>
      <c r="AV206" s="56" t="n">
        <f aca="false">AVERAGEA(AW206, AU206)</f>
        <v>0</v>
      </c>
      <c r="AW206" s="231" t="n">
        <v>0</v>
      </c>
      <c r="AX206" s="78" t="n">
        <v>0</v>
      </c>
      <c r="AY206" s="74" t="n">
        <f aca="false">AVERAGEA(AX206,AZ206)</f>
        <v>0</v>
      </c>
      <c r="AZ206" s="78" t="n">
        <v>0</v>
      </c>
      <c r="BA206" s="231" t="n">
        <v>0</v>
      </c>
      <c r="BB206" s="56" t="n">
        <f aca="false">AVERAGEA(BC206, BA206)</f>
        <v>0</v>
      </c>
      <c r="BC206" s="231" t="n">
        <v>0</v>
      </c>
      <c r="BD206" s="78" t="n">
        <v>0</v>
      </c>
      <c r="BE206" s="74" t="n">
        <f aca="false">AVERAGEA(BD206,BF206)</f>
        <v>0</v>
      </c>
      <c r="BF206" s="78" t="n">
        <v>0</v>
      </c>
      <c r="BG206" s="231" t="n">
        <v>0</v>
      </c>
      <c r="BH206" s="56" t="n">
        <f aca="false">AVERAGEA(BI206, BG206)</f>
        <v>0</v>
      </c>
      <c r="BI206" s="231" t="n">
        <v>0</v>
      </c>
      <c r="BJ206" s="78" t="n">
        <v>0</v>
      </c>
      <c r="BK206" s="74" t="n">
        <f aca="false">AVERAGEA(BJ206,BL206)</f>
        <v>0</v>
      </c>
      <c r="BL206" s="78" t="n">
        <v>0</v>
      </c>
      <c r="BM206" s="231" t="n">
        <v>0</v>
      </c>
      <c r="BN206" s="56" t="n">
        <f aca="false">AVERAGEA(BO206, BM206)</f>
        <v>0</v>
      </c>
      <c r="BO206" s="231" t="n">
        <v>0</v>
      </c>
    </row>
    <row r="207" customFormat="false" ht="15" hidden="false" customHeight="true" outlineLevel="0" collapsed="false">
      <c r="B207" s="239"/>
      <c r="C207" s="240"/>
      <c r="D207" s="240"/>
      <c r="E207" s="242"/>
      <c r="F207" s="243" t="s">
        <v>141</v>
      </c>
      <c r="G207" s="249"/>
      <c r="H207" s="78" t="n">
        <v>30</v>
      </c>
      <c r="I207" s="74" t="n">
        <f aca="false">AVERAGEA(H207,J207)</f>
        <v>36</v>
      </c>
      <c r="J207" s="245" t="n">
        <v>42</v>
      </c>
      <c r="K207" s="231" t="s">
        <v>46</v>
      </c>
      <c r="L207" s="56" t="n">
        <f aca="false">AVERAGEA(M207, K207)</f>
        <v>0</v>
      </c>
      <c r="M207" s="232" t="s">
        <v>46</v>
      </c>
      <c r="N207" s="78" t="s">
        <v>46</v>
      </c>
      <c r="O207" s="74" t="n">
        <f aca="false">AVERAGEA(N207,P207)</f>
        <v>0</v>
      </c>
      <c r="P207" s="245" t="s">
        <v>46</v>
      </c>
      <c r="Q207" s="78" t="s">
        <v>46</v>
      </c>
      <c r="R207" s="74" t="n">
        <f aca="false">AVERAGEA(Q207,S207)</f>
        <v>0</v>
      </c>
      <c r="S207" s="245" t="s">
        <v>46</v>
      </c>
      <c r="T207" s="231" t="n">
        <f aca="false">T199*1.66</f>
        <v>36.52</v>
      </c>
      <c r="U207" s="56" t="n">
        <f aca="false">AVERAGEA(V207, T207)</f>
        <v>51.46</v>
      </c>
      <c r="V207" s="231" t="n">
        <f aca="false">V199*1.66</f>
        <v>66.4</v>
      </c>
      <c r="W207" s="78" t="n">
        <v>0</v>
      </c>
      <c r="X207" s="74" t="n">
        <f aca="false">AVERAGEA(W207,Y207)</f>
        <v>0</v>
      </c>
      <c r="Y207" s="245" t="n">
        <v>0</v>
      </c>
      <c r="Z207" s="231" t="n">
        <v>15</v>
      </c>
      <c r="AA207" s="56" t="n">
        <f aca="false">AVERAGEA(AB207, Z207)</f>
        <v>27.5</v>
      </c>
      <c r="AB207" s="232" t="n">
        <v>40</v>
      </c>
      <c r="AC207" s="78" t="n">
        <v>15</v>
      </c>
      <c r="AD207" s="74" t="n">
        <f aca="false">AVERAGEA(AC207,AE207)</f>
        <v>27.5</v>
      </c>
      <c r="AE207" s="245" t="n">
        <v>40</v>
      </c>
      <c r="AF207" s="231" t="n">
        <v>0</v>
      </c>
      <c r="AG207" s="56" t="n">
        <f aca="false">AVERAGEA(AH207, AF207)</f>
        <v>0</v>
      </c>
      <c r="AH207" s="231" t="n">
        <v>0</v>
      </c>
      <c r="AI207" s="231" t="n">
        <v>0</v>
      </c>
      <c r="AJ207" s="56" t="n">
        <f aca="false">AVERAGEA(AK207, AI207)</f>
        <v>0</v>
      </c>
      <c r="AK207" s="231" t="n">
        <v>0</v>
      </c>
      <c r="AL207" s="78" t="n">
        <f aca="false">AL183*1.15</f>
        <v>1035</v>
      </c>
      <c r="AM207" s="74" t="n">
        <f aca="false">AVERAGEA(AL207,AN207)</f>
        <v>1392.5</v>
      </c>
      <c r="AN207" s="78" t="n">
        <f aca="false">AN183*1.25</f>
        <v>1750</v>
      </c>
      <c r="AO207" s="231" t="n">
        <v>20</v>
      </c>
      <c r="AP207" s="56" t="n">
        <f aca="false">AVERAGEA(AQ207, AO207)</f>
        <v>31</v>
      </c>
      <c r="AQ207" s="232" t="n">
        <v>42</v>
      </c>
      <c r="AR207" s="78" t="n">
        <v>6</v>
      </c>
      <c r="AS207" s="74" t="n">
        <f aca="false">AVERAGEA(AR207,AT207)</f>
        <v>10.5</v>
      </c>
      <c r="AT207" s="245" t="n">
        <v>15</v>
      </c>
      <c r="AU207" s="231" t="n">
        <v>0</v>
      </c>
      <c r="AV207" s="56" t="n">
        <f aca="false">AVERAGEA(AW207, AU207)</f>
        <v>0</v>
      </c>
      <c r="AW207" s="231" t="n">
        <v>0</v>
      </c>
      <c r="AX207" s="78" t="n">
        <v>0</v>
      </c>
      <c r="AY207" s="74" t="n">
        <f aca="false">AVERAGEA(AX207,AZ207)</f>
        <v>0</v>
      </c>
      <c r="AZ207" s="78" t="n">
        <v>0</v>
      </c>
      <c r="BA207" s="231" t="n">
        <v>0</v>
      </c>
      <c r="BB207" s="56" t="n">
        <f aca="false">AVERAGEA(BC207, BA207)</f>
        <v>0</v>
      </c>
      <c r="BC207" s="231" t="n">
        <v>0</v>
      </c>
      <c r="BD207" s="78" t="n">
        <v>0</v>
      </c>
      <c r="BE207" s="74" t="n">
        <f aca="false">AVERAGEA(BD207,BF207)</f>
        <v>0</v>
      </c>
      <c r="BF207" s="78" t="n">
        <v>0</v>
      </c>
      <c r="BG207" s="231" t="n">
        <v>0</v>
      </c>
      <c r="BH207" s="56" t="n">
        <f aca="false">AVERAGEA(BI207, BG207)</f>
        <v>0</v>
      </c>
      <c r="BI207" s="231" t="n">
        <v>0</v>
      </c>
      <c r="BJ207" s="78" t="n">
        <v>0</v>
      </c>
      <c r="BK207" s="74" t="n">
        <f aca="false">AVERAGEA(BJ207,BL207)</f>
        <v>0</v>
      </c>
      <c r="BL207" s="78" t="n">
        <v>0</v>
      </c>
      <c r="BM207" s="231" t="n">
        <v>0</v>
      </c>
      <c r="BN207" s="56" t="n">
        <f aca="false">AVERAGEA(BO207, BM207)</f>
        <v>0</v>
      </c>
      <c r="BO207" s="231" t="n">
        <v>0</v>
      </c>
    </row>
    <row r="208" customFormat="false" ht="15" hidden="false" customHeight="true" outlineLevel="0" collapsed="false">
      <c r="B208" s="239"/>
      <c r="C208" s="240"/>
      <c r="D208" s="240"/>
      <c r="E208" s="242"/>
      <c r="F208" s="243" t="s">
        <v>142</v>
      </c>
      <c r="G208" s="249"/>
      <c r="H208" s="78" t="n">
        <v>28</v>
      </c>
      <c r="I208" s="74" t="n">
        <f aca="false">AVERAGEA(H208,J208)</f>
        <v>33</v>
      </c>
      <c r="J208" s="245" t="n">
        <v>38</v>
      </c>
      <c r="K208" s="231" t="s">
        <v>46</v>
      </c>
      <c r="L208" s="56" t="n">
        <f aca="false">AVERAGEA(M208, K208)</f>
        <v>0</v>
      </c>
      <c r="M208" s="232" t="s">
        <v>46</v>
      </c>
      <c r="N208" s="78" t="s">
        <v>46</v>
      </c>
      <c r="O208" s="74" t="n">
        <f aca="false">AVERAGEA(N208,P208)</f>
        <v>0</v>
      </c>
      <c r="P208" s="245" t="s">
        <v>46</v>
      </c>
      <c r="Q208" s="78" t="s">
        <v>46</v>
      </c>
      <c r="R208" s="74" t="n">
        <f aca="false">AVERAGEA(Q208,S208)</f>
        <v>0</v>
      </c>
      <c r="S208" s="245" t="s">
        <v>46</v>
      </c>
      <c r="T208" s="231" t="n">
        <f aca="false">T200*1.66</f>
        <v>33.2</v>
      </c>
      <c r="U208" s="56" t="n">
        <f aca="false">AVERAGEA(V208, T208)</f>
        <v>45.65</v>
      </c>
      <c r="V208" s="231" t="n">
        <f aca="false">V200*1.66</f>
        <v>58.1</v>
      </c>
      <c r="W208" s="78" t="n">
        <v>0</v>
      </c>
      <c r="X208" s="74" t="n">
        <f aca="false">AVERAGEA(W208,Y208)</f>
        <v>0</v>
      </c>
      <c r="Y208" s="245" t="n">
        <v>0</v>
      </c>
      <c r="Z208" s="231" t="n">
        <v>15</v>
      </c>
      <c r="AA208" s="56" t="n">
        <f aca="false">AVERAGEA(AB208, Z208)</f>
        <v>27.5</v>
      </c>
      <c r="AB208" s="232" t="n">
        <v>40</v>
      </c>
      <c r="AC208" s="78" t="n">
        <v>15</v>
      </c>
      <c r="AD208" s="74" t="n">
        <f aca="false">AVERAGEA(AC208,AE208)</f>
        <v>27.5</v>
      </c>
      <c r="AE208" s="245" t="n">
        <v>40</v>
      </c>
      <c r="AF208" s="231" t="n">
        <v>0</v>
      </c>
      <c r="AG208" s="56" t="n">
        <f aca="false">AVERAGEA(AH208, AF208)</f>
        <v>0</v>
      </c>
      <c r="AH208" s="231" t="n">
        <v>0</v>
      </c>
      <c r="AI208" s="231" t="n">
        <v>0</v>
      </c>
      <c r="AJ208" s="56" t="n">
        <f aca="false">AVERAGEA(AK208, AI208)</f>
        <v>0</v>
      </c>
      <c r="AK208" s="231" t="n">
        <v>0</v>
      </c>
      <c r="AL208" s="78" t="n">
        <f aca="false">AL184*1.15</f>
        <v>1150</v>
      </c>
      <c r="AM208" s="74" t="n">
        <f aca="false">AVERAGEA(AL208,AN208)</f>
        <v>1512.5</v>
      </c>
      <c r="AN208" s="78" t="n">
        <f aca="false">AN184*1.25</f>
        <v>1875</v>
      </c>
      <c r="AO208" s="231" t="n">
        <v>22</v>
      </c>
      <c r="AP208" s="56" t="n">
        <f aca="false">AVERAGEA(AQ208, AO208)</f>
        <v>33.5</v>
      </c>
      <c r="AQ208" s="232" t="n">
        <v>45</v>
      </c>
      <c r="AR208" s="78" t="n">
        <v>7</v>
      </c>
      <c r="AS208" s="74" t="n">
        <f aca="false">AVERAGEA(AR208,AT208)</f>
        <v>11.5</v>
      </c>
      <c r="AT208" s="245" t="n">
        <v>16</v>
      </c>
      <c r="AU208" s="231" t="n">
        <v>0</v>
      </c>
      <c r="AV208" s="56" t="n">
        <f aca="false">AVERAGEA(AW208, AU208)</f>
        <v>0</v>
      </c>
      <c r="AW208" s="231" t="n">
        <v>0</v>
      </c>
      <c r="AX208" s="78" t="n">
        <v>0</v>
      </c>
      <c r="AY208" s="74" t="n">
        <f aca="false">AVERAGEA(AX208,AZ208)</f>
        <v>0</v>
      </c>
      <c r="AZ208" s="78" t="n">
        <v>0</v>
      </c>
      <c r="BA208" s="231" t="n">
        <v>0</v>
      </c>
      <c r="BB208" s="56" t="n">
        <f aca="false">AVERAGEA(BC208, BA208)</f>
        <v>0</v>
      </c>
      <c r="BC208" s="231" t="n">
        <v>0</v>
      </c>
      <c r="BD208" s="78" t="n">
        <v>0</v>
      </c>
      <c r="BE208" s="74" t="n">
        <f aca="false">AVERAGEA(BD208,BF208)</f>
        <v>0</v>
      </c>
      <c r="BF208" s="78" t="n">
        <v>0</v>
      </c>
      <c r="BG208" s="231" t="n">
        <v>0</v>
      </c>
      <c r="BH208" s="56" t="n">
        <f aca="false">AVERAGEA(BI208, BG208)</f>
        <v>0</v>
      </c>
      <c r="BI208" s="231" t="n">
        <v>0</v>
      </c>
      <c r="BJ208" s="78" t="n">
        <v>0</v>
      </c>
      <c r="BK208" s="74" t="n">
        <f aca="false">AVERAGEA(BJ208,BL208)</f>
        <v>0</v>
      </c>
      <c r="BL208" s="78" t="n">
        <v>0</v>
      </c>
      <c r="BM208" s="231" t="n">
        <v>0</v>
      </c>
      <c r="BN208" s="56" t="n">
        <f aca="false">AVERAGEA(BO208, BM208)</f>
        <v>0</v>
      </c>
      <c r="BO208" s="231" t="n">
        <v>0</v>
      </c>
    </row>
    <row r="209" customFormat="false" ht="15" hidden="false" customHeight="true" outlineLevel="0" collapsed="false">
      <c r="B209" s="239"/>
      <c r="C209" s="240"/>
      <c r="D209" s="240"/>
      <c r="E209" s="242"/>
      <c r="F209" s="247" t="s">
        <v>143</v>
      </c>
      <c r="G209" s="249"/>
      <c r="H209" s="205" t="n">
        <v>25</v>
      </c>
      <c r="I209" s="124" t="n">
        <f aca="false">AVERAGEA(H209,J209)</f>
        <v>30</v>
      </c>
      <c r="J209" s="119" t="n">
        <v>35</v>
      </c>
      <c r="K209" s="120" t="s">
        <v>46</v>
      </c>
      <c r="L209" s="121" t="n">
        <f aca="false">AVERAGEA(K209,M209)</f>
        <v>0</v>
      </c>
      <c r="M209" s="122" t="s">
        <v>46</v>
      </c>
      <c r="N209" s="205" t="s">
        <v>46</v>
      </c>
      <c r="O209" s="124" t="n">
        <f aca="false">AVERAGEA(N209,P209)</f>
        <v>0</v>
      </c>
      <c r="P209" s="119" t="s">
        <v>46</v>
      </c>
      <c r="Q209" s="205" t="s">
        <v>46</v>
      </c>
      <c r="R209" s="124" t="n">
        <f aca="false">AVERAGEA(Q209,S209)</f>
        <v>0</v>
      </c>
      <c r="S209" s="119" t="s">
        <v>46</v>
      </c>
      <c r="T209" s="120" t="n">
        <f aca="false">T201*1.66</f>
        <v>29.88</v>
      </c>
      <c r="U209" s="121" t="n">
        <f aca="false">AVERAGEA(T209,V209)</f>
        <v>41.5</v>
      </c>
      <c r="V209" s="120" t="n">
        <f aca="false">V201*1.66</f>
        <v>53.12</v>
      </c>
      <c r="W209" s="205" t="n">
        <v>0</v>
      </c>
      <c r="X209" s="124" t="n">
        <f aca="false">AVERAGEA(W209,Y209)</f>
        <v>0</v>
      </c>
      <c r="Y209" s="119" t="n">
        <v>0</v>
      </c>
      <c r="Z209" s="120" t="n">
        <v>15</v>
      </c>
      <c r="AA209" s="121" t="n">
        <f aca="false">AVERAGEA(Z209,AB209)</f>
        <v>27.5</v>
      </c>
      <c r="AB209" s="122" t="n">
        <v>40</v>
      </c>
      <c r="AC209" s="205" t="n">
        <v>15</v>
      </c>
      <c r="AD209" s="124" t="n">
        <f aca="false">AVERAGEA(AC209,AE209)</f>
        <v>27.5</v>
      </c>
      <c r="AE209" s="119" t="n">
        <v>40</v>
      </c>
      <c r="AF209" s="120" t="n">
        <v>0</v>
      </c>
      <c r="AG209" s="121" t="n">
        <f aca="false">AVERAGEA(AF209,AH209)</f>
        <v>0</v>
      </c>
      <c r="AH209" s="120" t="n">
        <v>0</v>
      </c>
      <c r="AI209" s="120" t="n">
        <v>0</v>
      </c>
      <c r="AJ209" s="121" t="n">
        <f aca="false">AVERAGEA(AI209,AK209)</f>
        <v>0</v>
      </c>
      <c r="AK209" s="120" t="n">
        <v>0</v>
      </c>
      <c r="AL209" s="205" t="n">
        <f aca="false">AL185*1.15</f>
        <v>1265</v>
      </c>
      <c r="AM209" s="124" t="n">
        <f aca="false">AVERAGEA(AL209,AN209)</f>
        <v>1632.5</v>
      </c>
      <c r="AN209" s="205" t="n">
        <f aca="false">AN185*1.25</f>
        <v>2000</v>
      </c>
      <c r="AO209" s="120" t="n">
        <v>25</v>
      </c>
      <c r="AP209" s="121" t="n">
        <f aca="false">AVERAGEA(AO209,AQ209)</f>
        <v>37.5</v>
      </c>
      <c r="AQ209" s="122" t="n">
        <v>50</v>
      </c>
      <c r="AR209" s="205" t="n">
        <v>8</v>
      </c>
      <c r="AS209" s="124" t="n">
        <f aca="false">AVERAGEA(AR209,AT209)</f>
        <v>13</v>
      </c>
      <c r="AT209" s="119" t="n">
        <v>18</v>
      </c>
      <c r="AU209" s="120" t="n">
        <v>0</v>
      </c>
      <c r="AV209" s="121" t="n">
        <f aca="false">AVERAGEA(AU209,AW209)</f>
        <v>0</v>
      </c>
      <c r="AW209" s="120" t="n">
        <v>0</v>
      </c>
      <c r="AX209" s="205" t="n">
        <v>0</v>
      </c>
      <c r="AY209" s="124" t="n">
        <f aca="false">AVERAGEA(AX209,AZ209)</f>
        <v>0</v>
      </c>
      <c r="AZ209" s="205" t="n">
        <v>0</v>
      </c>
      <c r="BA209" s="120" t="n">
        <v>0</v>
      </c>
      <c r="BB209" s="121" t="n">
        <f aca="false">AVERAGEA(BA209,BC209)</f>
        <v>0</v>
      </c>
      <c r="BC209" s="120" t="n">
        <v>0</v>
      </c>
      <c r="BD209" s="205" t="n">
        <v>0</v>
      </c>
      <c r="BE209" s="124" t="n">
        <f aca="false">AVERAGEA(BD209,BF209)</f>
        <v>0</v>
      </c>
      <c r="BF209" s="205" t="n">
        <v>0</v>
      </c>
      <c r="BG209" s="120" t="n">
        <v>0</v>
      </c>
      <c r="BH209" s="121" t="n">
        <f aca="false">AVERAGEA(BG209,BI209)</f>
        <v>0</v>
      </c>
      <c r="BI209" s="120" t="n">
        <v>0</v>
      </c>
      <c r="BJ209" s="205" t="n">
        <v>0</v>
      </c>
      <c r="BK209" s="124" t="n">
        <f aca="false">AVERAGEA(BJ209,BL209)</f>
        <v>0</v>
      </c>
      <c r="BL209" s="205" t="n">
        <v>0</v>
      </c>
      <c r="BM209" s="120" t="n">
        <v>0</v>
      </c>
      <c r="BN209" s="121" t="n">
        <f aca="false">AVERAGEA(BM209,BO209)</f>
        <v>0</v>
      </c>
      <c r="BO209" s="120" t="n">
        <v>0</v>
      </c>
    </row>
    <row r="210" customFormat="false" ht="13.8" hidden="false" customHeight="false" outlineLevel="0" collapsed="false">
      <c r="B210" s="251" t="s">
        <v>148</v>
      </c>
      <c r="C210" s="251" t="s">
        <v>149</v>
      </c>
      <c r="D210" s="251"/>
      <c r="E210" s="251"/>
      <c r="F210" s="252"/>
      <c r="G210" s="253"/>
      <c r="H210" s="254"/>
    </row>
    <row r="211" customFormat="false" ht="13.8" hidden="false" customHeight="false" outlineLevel="0" collapsed="false">
      <c r="C211" s="255"/>
      <c r="F211" s="256"/>
      <c r="G211" s="257"/>
      <c r="H211" s="254"/>
      <c r="T211" s="255"/>
      <c r="AL211" s="255"/>
      <c r="BD211" s="255"/>
    </row>
    <row r="212" customFormat="false" ht="13.8" hidden="false" customHeight="false" outlineLevel="0" collapsed="false">
      <c r="C212" s="255"/>
      <c r="F212" s="256"/>
      <c r="G212" s="257"/>
      <c r="H212" s="254"/>
      <c r="W212" s="255"/>
      <c r="AL212" s="255"/>
      <c r="AR212" s="255"/>
      <c r="BD212" s="255"/>
    </row>
    <row r="213" customFormat="false" ht="13.8" hidden="false" customHeight="false" outlineLevel="0" collapsed="false">
      <c r="C213" s="255"/>
      <c r="F213" s="256"/>
      <c r="G213" s="257"/>
      <c r="H213" s="258"/>
      <c r="W213" s="255"/>
      <c r="AL213" s="255"/>
      <c r="AR213" s="255"/>
      <c r="BD213" s="255"/>
    </row>
    <row r="214" customFormat="false" ht="13.8" hidden="false" customHeight="false" outlineLevel="0" collapsed="false">
      <c r="C214" s="255"/>
      <c r="F214" s="254"/>
      <c r="G214" s="254"/>
      <c r="H214" s="254"/>
      <c r="W214" s="255"/>
      <c r="AF214" s="255"/>
      <c r="AL214" s="255"/>
      <c r="AR214" s="255"/>
      <c r="BD214" s="255"/>
    </row>
    <row r="215" customFormat="false" ht="13.8" hidden="false" customHeight="false" outlineLevel="0" collapsed="false">
      <c r="C215" s="255"/>
      <c r="I215" s="255"/>
      <c r="W215" s="255"/>
      <c r="AF215" s="255"/>
      <c r="AL215" s="255"/>
    </row>
    <row r="216" customFormat="false" ht="13.8" hidden="false" customHeight="false" outlineLevel="0" collapsed="false">
      <c r="C216" s="255"/>
      <c r="I216" s="255"/>
      <c r="AL216" s="255"/>
    </row>
    <row r="217" customFormat="false" ht="13.8" hidden="false" customHeight="false" outlineLevel="0" collapsed="false">
      <c r="C217" s="255"/>
    </row>
    <row r="218" customFormat="false" ht="18" hidden="false" customHeight="true" outlineLevel="0" collapsed="false">
      <c r="C218" s="255"/>
    </row>
    <row r="219" customFormat="false" ht="13.8" hidden="false" customHeight="false" outlineLevel="0" collapsed="false">
      <c r="C219" s="255"/>
    </row>
    <row r="220" customFormat="false" ht="13.8" hidden="false" customHeight="false" outlineLevel="0" collapsed="false">
      <c r="C220" s="255"/>
    </row>
    <row r="221" customFormat="false" ht="13.8" hidden="false" customHeight="false" outlineLevel="0" collapsed="false">
      <c r="C221" s="255"/>
    </row>
    <row r="222" customFormat="false" ht="13.8" hidden="false" customHeight="false" outlineLevel="0" collapsed="false">
      <c r="C222" s="255"/>
    </row>
    <row r="223" customFormat="false" ht="13.8" hidden="false" customHeight="false" outlineLevel="0" collapsed="false">
      <c r="C223" s="255"/>
    </row>
  </sheetData>
  <mergeCells count="135">
    <mergeCell ref="B2:F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5:B80"/>
    <mergeCell ref="C5:C36"/>
    <mergeCell ref="D5:D16"/>
    <mergeCell ref="E5:E8"/>
    <mergeCell ref="E9:E12"/>
    <mergeCell ref="E13:E16"/>
    <mergeCell ref="D17:D28"/>
    <mergeCell ref="E17:E20"/>
    <mergeCell ref="E21:E24"/>
    <mergeCell ref="E25:E28"/>
    <mergeCell ref="D29:D36"/>
    <mergeCell ref="E29:E32"/>
    <mergeCell ref="E33:E36"/>
    <mergeCell ref="C37:C68"/>
    <mergeCell ref="D37:D48"/>
    <mergeCell ref="E37:E40"/>
    <mergeCell ref="E41:E44"/>
    <mergeCell ref="E45:E48"/>
    <mergeCell ref="D49:D60"/>
    <mergeCell ref="E49:E52"/>
    <mergeCell ref="E53:E56"/>
    <mergeCell ref="E57:E60"/>
    <mergeCell ref="D61:D68"/>
    <mergeCell ref="E61:E64"/>
    <mergeCell ref="E65:E68"/>
    <mergeCell ref="C69:C72"/>
    <mergeCell ref="D69:D72"/>
    <mergeCell ref="E69:E72"/>
    <mergeCell ref="C73:C80"/>
    <mergeCell ref="D73:D76"/>
    <mergeCell ref="E73:E76"/>
    <mergeCell ref="D77:D80"/>
    <mergeCell ref="B81:B133"/>
    <mergeCell ref="C81:C100"/>
    <mergeCell ref="D81:D84"/>
    <mergeCell ref="E81:E84"/>
    <mergeCell ref="G81:G84"/>
    <mergeCell ref="D85:D100"/>
    <mergeCell ref="E85:E88"/>
    <mergeCell ref="G85:G88"/>
    <mergeCell ref="E89:E92"/>
    <mergeCell ref="G89:G92"/>
    <mergeCell ref="E93:E96"/>
    <mergeCell ref="G93:G96"/>
    <mergeCell ref="E97:E100"/>
    <mergeCell ref="G97:G100"/>
    <mergeCell ref="C101:C120"/>
    <mergeCell ref="D101:D104"/>
    <mergeCell ref="E101:E104"/>
    <mergeCell ref="G101:G104"/>
    <mergeCell ref="D105:D120"/>
    <mergeCell ref="E105:E108"/>
    <mergeCell ref="G105:G108"/>
    <mergeCell ref="E109:E112"/>
    <mergeCell ref="G109:G112"/>
    <mergeCell ref="E113:E116"/>
    <mergeCell ref="G113:G116"/>
    <mergeCell ref="E117:E120"/>
    <mergeCell ref="G117:G120"/>
    <mergeCell ref="C121:C124"/>
    <mergeCell ref="D121:D124"/>
    <mergeCell ref="E121:E124"/>
    <mergeCell ref="C125:C128"/>
    <mergeCell ref="D125:D128"/>
    <mergeCell ref="E125:E128"/>
    <mergeCell ref="C132:C133"/>
    <mergeCell ref="B134:B137"/>
    <mergeCell ref="C134:C137"/>
    <mergeCell ref="D134:D135"/>
    <mergeCell ref="E134:E135"/>
    <mergeCell ref="D136:D137"/>
    <mergeCell ref="E136:E137"/>
    <mergeCell ref="B138:B141"/>
    <mergeCell ref="C139:C140"/>
    <mergeCell ref="B142:B143"/>
    <mergeCell ref="B144:B163"/>
    <mergeCell ref="C144:C151"/>
    <mergeCell ref="D144:D147"/>
    <mergeCell ref="E144:E147"/>
    <mergeCell ref="D148:D151"/>
    <mergeCell ref="E148:E151"/>
    <mergeCell ref="C152:C155"/>
    <mergeCell ref="D152:D155"/>
    <mergeCell ref="E152:E155"/>
    <mergeCell ref="B164:B167"/>
    <mergeCell ref="C164:C167"/>
    <mergeCell ref="B168:B209"/>
    <mergeCell ref="C168:C173"/>
    <mergeCell ref="D168:D170"/>
    <mergeCell ref="E168:E170"/>
    <mergeCell ref="D171:D173"/>
    <mergeCell ref="E171:E173"/>
    <mergeCell ref="C174:C209"/>
    <mergeCell ref="D174:D185"/>
    <mergeCell ref="E174:E177"/>
    <mergeCell ref="G174:G177"/>
    <mergeCell ref="E178:E181"/>
    <mergeCell ref="G178:G181"/>
    <mergeCell ref="E182:E185"/>
    <mergeCell ref="G182:G185"/>
    <mergeCell ref="D186:D197"/>
    <mergeCell ref="E186:E189"/>
    <mergeCell ref="G186:G189"/>
    <mergeCell ref="E190:E193"/>
    <mergeCell ref="G190:G193"/>
    <mergeCell ref="E194:E197"/>
    <mergeCell ref="G194:G197"/>
    <mergeCell ref="D198:D209"/>
    <mergeCell ref="E198:E201"/>
    <mergeCell ref="G198:G201"/>
    <mergeCell ref="E202:E205"/>
    <mergeCell ref="G202:G205"/>
    <mergeCell ref="E206:E209"/>
    <mergeCell ref="G206:G20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7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ED7D31"/>
    <pageSetUpPr fitToPage="false"/>
  </sheetPr>
  <dimension ref="A2:BN104857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6" ySplit="4" topLeftCell="G137" activePane="bottomRight" state="frozen"/>
      <selection pane="topLeft" activeCell="A1" activeCellId="0" sqref="A1"/>
      <selection pane="topRight" activeCell="G1" activeCellId="0" sqref="G1"/>
      <selection pane="bottomLeft" activeCell="A137" activeCellId="0" sqref="A137"/>
      <selection pane="bottomRight" activeCell="F176" activeCellId="0" sqref="F176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.43"/>
    <col collapsed="false" customWidth="true" hidden="false" outlineLevel="0" max="2" min="2" style="0" width="15.71"/>
    <col collapsed="false" customWidth="true" hidden="false" outlineLevel="0" max="3" min="3" style="0" width="43.71"/>
    <col collapsed="false" customWidth="true" hidden="false" outlineLevel="0" max="4" min="4" style="0" width="10.14"/>
    <col collapsed="false" customWidth="true" hidden="false" outlineLevel="0" max="5" min="5" style="0" width="26"/>
    <col collapsed="false" customWidth="true" hidden="false" outlineLevel="0" max="6" min="6" style="0" width="14.57"/>
    <col collapsed="false" customWidth="true" hidden="false" outlineLevel="0" max="24" min="7" style="0" width="12"/>
    <col collapsed="false" customWidth="true" hidden="false" outlineLevel="0" max="30" min="25" style="0" width="14"/>
    <col collapsed="false" customWidth="true" hidden="false" outlineLevel="0" max="66" min="31" style="0" width="12"/>
  </cols>
  <sheetData>
    <row r="2" s="1" customFormat="true" ht="43.5" hidden="false" customHeight="true" outlineLevel="0" collapsed="false">
      <c r="B2" s="259" t="s">
        <v>150</v>
      </c>
      <c r="C2" s="259"/>
      <c r="D2" s="259"/>
      <c r="E2" s="259"/>
      <c r="F2" s="3"/>
      <c r="G2" s="260" t="s">
        <v>1</v>
      </c>
      <c r="H2" s="260"/>
      <c r="I2" s="260"/>
      <c r="J2" s="261" t="s">
        <v>2</v>
      </c>
      <c r="K2" s="261"/>
      <c r="L2" s="261"/>
      <c r="M2" s="262" t="s">
        <v>151</v>
      </c>
      <c r="N2" s="262"/>
      <c r="O2" s="262"/>
      <c r="P2" s="262" t="s">
        <v>152</v>
      </c>
      <c r="Q2" s="262"/>
      <c r="R2" s="262"/>
      <c r="S2" s="261" t="s">
        <v>5</v>
      </c>
      <c r="T2" s="261"/>
      <c r="U2" s="261"/>
      <c r="V2" s="260" t="s">
        <v>6</v>
      </c>
      <c r="W2" s="260"/>
      <c r="X2" s="260"/>
      <c r="Y2" s="261" t="s">
        <v>7</v>
      </c>
      <c r="Z2" s="261"/>
      <c r="AA2" s="261"/>
      <c r="AB2" s="260" t="s">
        <v>8</v>
      </c>
      <c r="AC2" s="260"/>
      <c r="AD2" s="260"/>
      <c r="AE2" s="261" t="s">
        <v>9</v>
      </c>
      <c r="AF2" s="261"/>
      <c r="AG2" s="261"/>
      <c r="AH2" s="263" t="s">
        <v>10</v>
      </c>
      <c r="AI2" s="263"/>
      <c r="AJ2" s="263"/>
      <c r="AK2" s="260" t="s">
        <v>11</v>
      </c>
      <c r="AL2" s="260"/>
      <c r="AM2" s="260"/>
      <c r="AN2" s="261" t="s">
        <v>12</v>
      </c>
      <c r="AO2" s="261"/>
      <c r="AP2" s="261"/>
      <c r="AQ2" s="260" t="s">
        <v>13</v>
      </c>
      <c r="AR2" s="260"/>
      <c r="AS2" s="260"/>
      <c r="AT2" s="261" t="s">
        <v>14</v>
      </c>
      <c r="AU2" s="261"/>
      <c r="AV2" s="261"/>
      <c r="AW2" s="260" t="s">
        <v>15</v>
      </c>
      <c r="AX2" s="260"/>
      <c r="AY2" s="260"/>
      <c r="AZ2" s="261" t="s">
        <v>16</v>
      </c>
      <c r="BA2" s="261"/>
      <c r="BB2" s="261"/>
      <c r="BC2" s="260" t="s">
        <v>17</v>
      </c>
      <c r="BD2" s="260"/>
      <c r="BE2" s="260"/>
      <c r="BF2" s="11" t="s">
        <v>18</v>
      </c>
      <c r="BG2" s="11"/>
      <c r="BH2" s="11"/>
      <c r="BI2" s="10" t="s">
        <v>19</v>
      </c>
      <c r="BJ2" s="10"/>
      <c r="BK2" s="10"/>
      <c r="BL2" s="11" t="s">
        <v>20</v>
      </c>
      <c r="BM2" s="11"/>
      <c r="BN2" s="11"/>
    </row>
    <row r="3" s="1" customFormat="true" ht="28.35" hidden="false" customHeight="false" outlineLevel="0" collapsed="false">
      <c r="F3" s="3"/>
      <c r="G3" s="264" t="s">
        <v>21</v>
      </c>
      <c r="H3" s="265" t="s">
        <v>21</v>
      </c>
      <c r="I3" s="266" t="s">
        <v>21</v>
      </c>
      <c r="J3" s="267" t="s">
        <v>21</v>
      </c>
      <c r="K3" s="268" t="s">
        <v>21</v>
      </c>
      <c r="L3" s="269" t="s">
        <v>21</v>
      </c>
      <c r="M3" s="264" t="s">
        <v>21</v>
      </c>
      <c r="N3" s="265" t="s">
        <v>21</v>
      </c>
      <c r="O3" s="266" t="s">
        <v>21</v>
      </c>
      <c r="P3" s="264" t="s">
        <v>21</v>
      </c>
      <c r="Q3" s="265" t="s">
        <v>21</v>
      </c>
      <c r="R3" s="266" t="s">
        <v>21</v>
      </c>
      <c r="S3" s="267" t="s">
        <v>22</v>
      </c>
      <c r="T3" s="268" t="s">
        <v>22</v>
      </c>
      <c r="U3" s="269" t="s">
        <v>22</v>
      </c>
      <c r="V3" s="264" t="s">
        <v>23</v>
      </c>
      <c r="W3" s="265" t="s">
        <v>23</v>
      </c>
      <c r="X3" s="266" t="s">
        <v>23</v>
      </c>
      <c r="Y3" s="267" t="s">
        <v>24</v>
      </c>
      <c r="Z3" s="268" t="s">
        <v>25</v>
      </c>
      <c r="AA3" s="269" t="s">
        <v>25</v>
      </c>
      <c r="AB3" s="264" t="s">
        <v>25</v>
      </c>
      <c r="AC3" s="265" t="s">
        <v>25</v>
      </c>
      <c r="AD3" s="266" t="s">
        <v>25</v>
      </c>
      <c r="AE3" s="267" t="s">
        <v>26</v>
      </c>
      <c r="AF3" s="268" t="s">
        <v>26</v>
      </c>
      <c r="AG3" s="269" t="s">
        <v>26</v>
      </c>
      <c r="AH3" s="264" t="s">
        <v>26</v>
      </c>
      <c r="AI3" s="265" t="s">
        <v>26</v>
      </c>
      <c r="AJ3" s="266" t="s">
        <v>26</v>
      </c>
      <c r="AK3" s="264" t="s">
        <v>27</v>
      </c>
      <c r="AL3" s="265" t="s">
        <v>27</v>
      </c>
      <c r="AM3" s="266" t="s">
        <v>27</v>
      </c>
      <c r="AN3" s="267" t="s">
        <v>28</v>
      </c>
      <c r="AO3" s="267" t="s">
        <v>28</v>
      </c>
      <c r="AP3" s="267" t="s">
        <v>28</v>
      </c>
      <c r="AQ3" s="264" t="s">
        <v>29</v>
      </c>
      <c r="AR3" s="265" t="s">
        <v>29</v>
      </c>
      <c r="AS3" s="266" t="s">
        <v>29</v>
      </c>
      <c r="AT3" s="267" t="s">
        <v>30</v>
      </c>
      <c r="AU3" s="268" t="s">
        <v>30</v>
      </c>
      <c r="AV3" s="269" t="s">
        <v>30</v>
      </c>
      <c r="AW3" s="264" t="s">
        <v>30</v>
      </c>
      <c r="AX3" s="265" t="s">
        <v>30</v>
      </c>
      <c r="AY3" s="266" t="s">
        <v>30</v>
      </c>
      <c r="AZ3" s="267" t="s">
        <v>30</v>
      </c>
      <c r="BA3" s="268" t="s">
        <v>30</v>
      </c>
      <c r="BB3" s="269" t="s">
        <v>30</v>
      </c>
      <c r="BC3" s="264" t="s">
        <v>30</v>
      </c>
      <c r="BD3" s="265" t="s">
        <v>30</v>
      </c>
      <c r="BE3" s="266" t="s">
        <v>30</v>
      </c>
      <c r="BF3" s="17" t="s">
        <v>31</v>
      </c>
      <c r="BG3" s="18" t="s">
        <v>31</v>
      </c>
      <c r="BH3" s="19" t="s">
        <v>31</v>
      </c>
      <c r="BI3" s="14" t="s">
        <v>26</v>
      </c>
      <c r="BJ3" s="15" t="s">
        <v>26</v>
      </c>
      <c r="BK3" s="21" t="s">
        <v>26</v>
      </c>
      <c r="BL3" s="17" t="s">
        <v>26</v>
      </c>
      <c r="BM3" s="18" t="s">
        <v>26</v>
      </c>
      <c r="BN3" s="19" t="s">
        <v>26</v>
      </c>
    </row>
    <row r="4" customFormat="false" ht="37.5" hidden="false" customHeight="true" outlineLevel="0" collapsed="false">
      <c r="B4" s="22" t="s">
        <v>32</v>
      </c>
      <c r="C4" s="23" t="s">
        <v>33</v>
      </c>
      <c r="D4" s="24" t="s">
        <v>35</v>
      </c>
      <c r="E4" s="24" t="s">
        <v>36</v>
      </c>
      <c r="F4" s="24" t="s">
        <v>153</v>
      </c>
      <c r="G4" s="26" t="s">
        <v>38</v>
      </c>
      <c r="H4" s="27" t="s">
        <v>39</v>
      </c>
      <c r="I4" s="33" t="s">
        <v>40</v>
      </c>
      <c r="J4" s="29" t="s">
        <v>38</v>
      </c>
      <c r="K4" s="30" t="s">
        <v>39</v>
      </c>
      <c r="L4" s="36" t="s">
        <v>40</v>
      </c>
      <c r="M4" s="26" t="s">
        <v>38</v>
      </c>
      <c r="N4" s="27" t="s">
        <v>39</v>
      </c>
      <c r="O4" s="33" t="s">
        <v>40</v>
      </c>
      <c r="P4" s="26" t="s">
        <v>38</v>
      </c>
      <c r="Q4" s="27" t="s">
        <v>39</v>
      </c>
      <c r="R4" s="33" t="s">
        <v>40</v>
      </c>
      <c r="S4" s="29" t="s">
        <v>38</v>
      </c>
      <c r="T4" s="30" t="s">
        <v>39</v>
      </c>
      <c r="U4" s="31" t="s">
        <v>40</v>
      </c>
      <c r="V4" s="26" t="s">
        <v>38</v>
      </c>
      <c r="W4" s="27" t="s">
        <v>39</v>
      </c>
      <c r="X4" s="33" t="s">
        <v>40</v>
      </c>
      <c r="Y4" s="29" t="s">
        <v>38</v>
      </c>
      <c r="Z4" s="30" t="s">
        <v>39</v>
      </c>
      <c r="AA4" s="31" t="s">
        <v>40</v>
      </c>
      <c r="AB4" s="26" t="s">
        <v>38</v>
      </c>
      <c r="AC4" s="27" t="s">
        <v>39</v>
      </c>
      <c r="AD4" s="33" t="s">
        <v>40</v>
      </c>
      <c r="AE4" s="29" t="s">
        <v>38</v>
      </c>
      <c r="AF4" s="30" t="s">
        <v>39</v>
      </c>
      <c r="AG4" s="31" t="s">
        <v>40</v>
      </c>
      <c r="AH4" s="26" t="s">
        <v>38</v>
      </c>
      <c r="AI4" s="27" t="s">
        <v>39</v>
      </c>
      <c r="AJ4" s="33" t="s">
        <v>40</v>
      </c>
      <c r="AK4" s="26" t="s">
        <v>38</v>
      </c>
      <c r="AL4" s="27" t="s">
        <v>39</v>
      </c>
      <c r="AM4" s="33" t="s">
        <v>40</v>
      </c>
      <c r="AN4" s="29" t="s">
        <v>38</v>
      </c>
      <c r="AO4" s="30" t="s">
        <v>39</v>
      </c>
      <c r="AP4" s="31" t="s">
        <v>40</v>
      </c>
      <c r="AQ4" s="26" t="s">
        <v>38</v>
      </c>
      <c r="AR4" s="27" t="s">
        <v>39</v>
      </c>
      <c r="AS4" s="33" t="s">
        <v>40</v>
      </c>
      <c r="AT4" s="29" t="s">
        <v>38</v>
      </c>
      <c r="AU4" s="30" t="s">
        <v>39</v>
      </c>
      <c r="AV4" s="31" t="s">
        <v>40</v>
      </c>
      <c r="AW4" s="26" t="s">
        <v>38</v>
      </c>
      <c r="AX4" s="27" t="s">
        <v>39</v>
      </c>
      <c r="AY4" s="33" t="s">
        <v>40</v>
      </c>
      <c r="AZ4" s="29" t="s">
        <v>38</v>
      </c>
      <c r="BA4" s="30" t="s">
        <v>39</v>
      </c>
      <c r="BB4" s="31" t="s">
        <v>40</v>
      </c>
      <c r="BC4" s="26" t="s">
        <v>38</v>
      </c>
      <c r="BD4" s="27" t="s">
        <v>39</v>
      </c>
      <c r="BE4" s="33" t="s">
        <v>40</v>
      </c>
      <c r="BF4" s="29" t="s">
        <v>38</v>
      </c>
      <c r="BG4" s="30" t="s">
        <v>39</v>
      </c>
      <c r="BH4" s="31" t="s">
        <v>40</v>
      </c>
      <c r="BI4" s="26" t="s">
        <v>38</v>
      </c>
      <c r="BJ4" s="27" t="s">
        <v>39</v>
      </c>
      <c r="BK4" s="33" t="s">
        <v>40</v>
      </c>
      <c r="BL4" s="29" t="s">
        <v>38</v>
      </c>
      <c r="BM4" s="30" t="s">
        <v>39</v>
      </c>
      <c r="BN4" s="31" t="s">
        <v>40</v>
      </c>
    </row>
    <row r="5" customFormat="false" ht="17.25" hidden="false" customHeight="true" outlineLevel="0" collapsed="false">
      <c r="B5" s="270" t="s">
        <v>41</v>
      </c>
      <c r="C5" s="42" t="s">
        <v>154</v>
      </c>
      <c r="D5" s="43" t="s">
        <v>44</v>
      </c>
      <c r="E5" s="44" t="s">
        <v>45</v>
      </c>
      <c r="F5" s="45"/>
      <c r="G5" s="58" t="s">
        <v>155</v>
      </c>
      <c r="H5" s="59"/>
      <c r="I5" s="58" t="s">
        <v>155</v>
      </c>
      <c r="J5" s="61" t="s">
        <v>46</v>
      </c>
      <c r="K5" s="211"/>
      <c r="L5" s="219" t="s">
        <v>46</v>
      </c>
      <c r="M5" s="58" t="s">
        <v>46</v>
      </c>
      <c r="N5" s="59"/>
      <c r="O5" s="178" t="s">
        <v>46</v>
      </c>
      <c r="P5" s="58" t="s">
        <v>46</v>
      </c>
      <c r="Q5" s="59"/>
      <c r="R5" s="60" t="s">
        <v>46</v>
      </c>
      <c r="S5" s="271" t="s">
        <v>156</v>
      </c>
      <c r="T5" s="62"/>
      <c r="U5" s="63" t="s">
        <v>157</v>
      </c>
      <c r="V5" s="272" t="s">
        <v>158</v>
      </c>
      <c r="W5" s="59"/>
      <c r="X5" s="60" t="s">
        <v>159</v>
      </c>
      <c r="Y5" s="273" t="s">
        <v>160</v>
      </c>
      <c r="Z5" s="62"/>
      <c r="AA5" s="63" t="s">
        <v>161</v>
      </c>
      <c r="AB5" s="272" t="s">
        <v>160</v>
      </c>
      <c r="AC5" s="59"/>
      <c r="AD5" s="60" t="s">
        <v>161</v>
      </c>
      <c r="AE5" s="273" t="s">
        <v>162</v>
      </c>
      <c r="AF5" s="62"/>
      <c r="AG5" s="63" t="s">
        <v>163</v>
      </c>
      <c r="AH5" s="58" t="s">
        <v>164</v>
      </c>
      <c r="AI5" s="59"/>
      <c r="AJ5" s="60" t="s">
        <v>165</v>
      </c>
      <c r="AK5" s="272" t="s">
        <v>159</v>
      </c>
      <c r="AL5" s="59"/>
      <c r="AM5" s="60" t="s">
        <v>156</v>
      </c>
      <c r="AN5" s="61" t="s">
        <v>166</v>
      </c>
      <c r="AO5" s="62"/>
      <c r="AP5" s="63" t="s">
        <v>167</v>
      </c>
      <c r="AQ5" s="272" t="s">
        <v>168</v>
      </c>
      <c r="AR5" s="59"/>
      <c r="AS5" s="60" t="s">
        <v>169</v>
      </c>
      <c r="AT5" s="61" t="s">
        <v>170</v>
      </c>
      <c r="AU5" s="62"/>
      <c r="AV5" s="63" t="s">
        <v>171</v>
      </c>
      <c r="AW5" s="58" t="s">
        <v>172</v>
      </c>
      <c r="AX5" s="59"/>
      <c r="AY5" s="60" t="s">
        <v>171</v>
      </c>
      <c r="AZ5" s="61" t="s">
        <v>172</v>
      </c>
      <c r="BA5" s="62"/>
      <c r="BB5" s="63" t="s">
        <v>171</v>
      </c>
      <c r="BC5" s="272" t="s">
        <v>173</v>
      </c>
      <c r="BD5" s="59"/>
      <c r="BE5" s="60" t="s">
        <v>174</v>
      </c>
      <c r="BF5" s="273" t="s">
        <v>159</v>
      </c>
      <c r="BG5" s="67"/>
      <c r="BH5" s="63" t="s">
        <v>159</v>
      </c>
      <c r="BI5" s="274" t="s">
        <v>175</v>
      </c>
      <c r="BJ5" s="274"/>
      <c r="BK5" s="275" t="s">
        <v>159</v>
      </c>
      <c r="BL5" s="273" t="s">
        <v>175</v>
      </c>
      <c r="BM5" s="62"/>
      <c r="BN5" s="63" t="s">
        <v>159</v>
      </c>
    </row>
    <row r="6" customFormat="false" ht="17.25" hidden="false" customHeight="true" outlineLevel="0" collapsed="false">
      <c r="B6" s="270"/>
      <c r="C6" s="42"/>
      <c r="D6" s="43"/>
      <c r="E6" s="44" t="s">
        <v>47</v>
      </c>
      <c r="F6" s="69"/>
      <c r="G6" s="73" t="s">
        <v>155</v>
      </c>
      <c r="H6" s="74"/>
      <c r="I6" s="75" t="s">
        <v>155</v>
      </c>
      <c r="J6" s="49" t="s">
        <v>46</v>
      </c>
      <c r="K6" s="219"/>
      <c r="L6" s="154" t="s">
        <v>46</v>
      </c>
      <c r="M6" s="78" t="s">
        <v>46</v>
      </c>
      <c r="N6" s="53"/>
      <c r="O6" s="153" t="s">
        <v>46</v>
      </c>
      <c r="P6" s="78" t="s">
        <v>46</v>
      </c>
      <c r="Q6" s="53"/>
      <c r="R6" s="54" t="s">
        <v>46</v>
      </c>
      <c r="S6" s="276" t="s">
        <v>156</v>
      </c>
      <c r="T6" s="50"/>
      <c r="U6" s="51" t="s">
        <v>157</v>
      </c>
      <c r="V6" s="277" t="s">
        <v>158</v>
      </c>
      <c r="W6" s="53"/>
      <c r="X6" s="54" t="s">
        <v>159</v>
      </c>
      <c r="Y6" s="278" t="s">
        <v>160</v>
      </c>
      <c r="Z6" s="56"/>
      <c r="AA6" s="57" t="s">
        <v>161</v>
      </c>
      <c r="AB6" s="279" t="s">
        <v>160</v>
      </c>
      <c r="AC6" s="74"/>
      <c r="AD6" s="75" t="s">
        <v>161</v>
      </c>
      <c r="AE6" s="278" t="s">
        <v>162</v>
      </c>
      <c r="AF6" s="56"/>
      <c r="AG6" s="57" t="s">
        <v>163</v>
      </c>
      <c r="AH6" s="73" t="s">
        <v>164</v>
      </c>
      <c r="AI6" s="74"/>
      <c r="AJ6" s="75" t="s">
        <v>165</v>
      </c>
      <c r="AK6" s="279" t="s">
        <v>159</v>
      </c>
      <c r="AL6" s="74"/>
      <c r="AM6" s="75" t="s">
        <v>156</v>
      </c>
      <c r="AN6" s="55" t="s">
        <v>166</v>
      </c>
      <c r="AO6" s="56"/>
      <c r="AP6" s="57" t="s">
        <v>167</v>
      </c>
      <c r="AQ6" s="279" t="s">
        <v>168</v>
      </c>
      <c r="AR6" s="74"/>
      <c r="AS6" s="75" t="s">
        <v>169</v>
      </c>
      <c r="AT6" s="49" t="s">
        <v>170</v>
      </c>
      <c r="AU6" s="50"/>
      <c r="AV6" s="51" t="s">
        <v>171</v>
      </c>
      <c r="AW6" s="78" t="s">
        <v>172</v>
      </c>
      <c r="AX6" s="53"/>
      <c r="AY6" s="54" t="s">
        <v>171</v>
      </c>
      <c r="AZ6" s="49" t="s">
        <v>172</v>
      </c>
      <c r="BA6" s="50"/>
      <c r="BB6" s="51" t="s">
        <v>171</v>
      </c>
      <c r="BC6" s="279" t="s">
        <v>173</v>
      </c>
      <c r="BD6" s="74"/>
      <c r="BE6" s="75" t="s">
        <v>174</v>
      </c>
      <c r="BF6" s="280" t="s">
        <v>159</v>
      </c>
      <c r="BG6" s="50"/>
      <c r="BH6" s="51" t="s">
        <v>159</v>
      </c>
      <c r="BI6" s="281" t="s">
        <v>175</v>
      </c>
      <c r="BJ6" s="74"/>
      <c r="BK6" s="75" t="s">
        <v>159</v>
      </c>
      <c r="BL6" s="280" t="s">
        <v>175</v>
      </c>
      <c r="BM6" s="50"/>
      <c r="BN6" s="51" t="s">
        <v>159</v>
      </c>
    </row>
    <row r="7" customFormat="false" ht="17.25" hidden="false" customHeight="true" outlineLevel="0" collapsed="false">
      <c r="B7" s="270"/>
      <c r="C7" s="42"/>
      <c r="D7" s="43"/>
      <c r="E7" s="44" t="s">
        <v>48</v>
      </c>
      <c r="F7" s="69"/>
      <c r="G7" s="73" t="s">
        <v>155</v>
      </c>
      <c r="H7" s="74"/>
      <c r="I7" s="75" t="s">
        <v>155</v>
      </c>
      <c r="J7" s="49" t="s">
        <v>46</v>
      </c>
      <c r="K7" s="219"/>
      <c r="L7" s="154" t="s">
        <v>46</v>
      </c>
      <c r="M7" s="78" t="s">
        <v>46</v>
      </c>
      <c r="N7" s="53"/>
      <c r="O7" s="153" t="s">
        <v>46</v>
      </c>
      <c r="P7" s="78" t="s">
        <v>46</v>
      </c>
      <c r="Q7" s="53"/>
      <c r="R7" s="54" t="s">
        <v>46</v>
      </c>
      <c r="S7" s="276" t="s">
        <v>156</v>
      </c>
      <c r="T7" s="50"/>
      <c r="U7" s="51" t="s">
        <v>157</v>
      </c>
      <c r="V7" s="277" t="s">
        <v>158</v>
      </c>
      <c r="W7" s="53"/>
      <c r="X7" s="54" t="s">
        <v>159</v>
      </c>
      <c r="Y7" s="278" t="s">
        <v>160</v>
      </c>
      <c r="Z7" s="56"/>
      <c r="AA7" s="57" t="s">
        <v>161</v>
      </c>
      <c r="AB7" s="279" t="s">
        <v>160</v>
      </c>
      <c r="AC7" s="74"/>
      <c r="AD7" s="75" t="s">
        <v>161</v>
      </c>
      <c r="AE7" s="278" t="s">
        <v>162</v>
      </c>
      <c r="AF7" s="56"/>
      <c r="AG7" s="57" t="s">
        <v>163</v>
      </c>
      <c r="AH7" s="73" t="s">
        <v>164</v>
      </c>
      <c r="AI7" s="74"/>
      <c r="AJ7" s="75" t="s">
        <v>165</v>
      </c>
      <c r="AK7" s="279" t="s">
        <v>159</v>
      </c>
      <c r="AL7" s="74"/>
      <c r="AM7" s="75" t="s">
        <v>156</v>
      </c>
      <c r="AN7" s="55" t="s">
        <v>166</v>
      </c>
      <c r="AO7" s="56"/>
      <c r="AP7" s="57" t="s">
        <v>167</v>
      </c>
      <c r="AQ7" s="279" t="s">
        <v>168</v>
      </c>
      <c r="AR7" s="74"/>
      <c r="AS7" s="75" t="s">
        <v>169</v>
      </c>
      <c r="AT7" s="49" t="s">
        <v>170</v>
      </c>
      <c r="AU7" s="50"/>
      <c r="AV7" s="51" t="s">
        <v>171</v>
      </c>
      <c r="AW7" s="78" t="s">
        <v>172</v>
      </c>
      <c r="AX7" s="53"/>
      <c r="AY7" s="54" t="s">
        <v>171</v>
      </c>
      <c r="AZ7" s="49" t="s">
        <v>172</v>
      </c>
      <c r="BA7" s="50"/>
      <c r="BB7" s="51" t="s">
        <v>171</v>
      </c>
      <c r="BC7" s="279" t="s">
        <v>173</v>
      </c>
      <c r="BD7" s="74"/>
      <c r="BE7" s="75" t="s">
        <v>174</v>
      </c>
      <c r="BF7" s="280" t="s">
        <v>159</v>
      </c>
      <c r="BG7" s="50"/>
      <c r="BH7" s="51" t="s">
        <v>159</v>
      </c>
      <c r="BI7" s="282" t="s">
        <v>175</v>
      </c>
      <c r="BJ7" s="53"/>
      <c r="BK7" s="54" t="s">
        <v>159</v>
      </c>
      <c r="BL7" s="280" t="s">
        <v>175</v>
      </c>
      <c r="BM7" s="50"/>
      <c r="BN7" s="51" t="s">
        <v>159</v>
      </c>
    </row>
    <row r="8" customFormat="false" ht="17.25" hidden="false" customHeight="true" outlineLevel="0" collapsed="false">
      <c r="B8" s="270"/>
      <c r="C8" s="42"/>
      <c r="D8" s="43"/>
      <c r="E8" s="44" t="s">
        <v>49</v>
      </c>
      <c r="F8" s="69"/>
      <c r="G8" s="73" t="s">
        <v>155</v>
      </c>
      <c r="H8" s="74"/>
      <c r="I8" s="75" t="s">
        <v>155</v>
      </c>
      <c r="J8" s="49" t="s">
        <v>46</v>
      </c>
      <c r="K8" s="219"/>
      <c r="L8" s="154" t="s">
        <v>46</v>
      </c>
      <c r="M8" s="78" t="s">
        <v>46</v>
      </c>
      <c r="N8" s="53"/>
      <c r="O8" s="153" t="s">
        <v>46</v>
      </c>
      <c r="P8" s="78" t="s">
        <v>46</v>
      </c>
      <c r="Q8" s="53"/>
      <c r="R8" s="54" t="s">
        <v>46</v>
      </c>
      <c r="S8" s="276" t="s">
        <v>156</v>
      </c>
      <c r="T8" s="50"/>
      <c r="U8" s="51" t="s">
        <v>157</v>
      </c>
      <c r="V8" s="277" t="s">
        <v>158</v>
      </c>
      <c r="W8" s="53"/>
      <c r="X8" s="54" t="s">
        <v>159</v>
      </c>
      <c r="Y8" s="278" t="s">
        <v>160</v>
      </c>
      <c r="Z8" s="56"/>
      <c r="AA8" s="57" t="s">
        <v>161</v>
      </c>
      <c r="AB8" s="279" t="s">
        <v>160</v>
      </c>
      <c r="AC8" s="74"/>
      <c r="AD8" s="75" t="s">
        <v>161</v>
      </c>
      <c r="AE8" s="278" t="s">
        <v>162</v>
      </c>
      <c r="AF8" s="56"/>
      <c r="AG8" s="57" t="s">
        <v>163</v>
      </c>
      <c r="AH8" s="73" t="s">
        <v>164</v>
      </c>
      <c r="AI8" s="74"/>
      <c r="AJ8" s="75" t="s">
        <v>165</v>
      </c>
      <c r="AK8" s="279" t="s">
        <v>159</v>
      </c>
      <c r="AL8" s="74"/>
      <c r="AM8" s="75" t="s">
        <v>156</v>
      </c>
      <c r="AN8" s="55" t="s">
        <v>166</v>
      </c>
      <c r="AO8" s="56"/>
      <c r="AP8" s="57" t="s">
        <v>167</v>
      </c>
      <c r="AQ8" s="279" t="s">
        <v>168</v>
      </c>
      <c r="AR8" s="74"/>
      <c r="AS8" s="75" t="s">
        <v>169</v>
      </c>
      <c r="AT8" s="49" t="s">
        <v>170</v>
      </c>
      <c r="AU8" s="50"/>
      <c r="AV8" s="51" t="s">
        <v>171</v>
      </c>
      <c r="AW8" s="78" t="s">
        <v>172</v>
      </c>
      <c r="AX8" s="53"/>
      <c r="AY8" s="54" t="s">
        <v>171</v>
      </c>
      <c r="AZ8" s="49" t="s">
        <v>172</v>
      </c>
      <c r="BA8" s="50"/>
      <c r="BB8" s="51" t="s">
        <v>171</v>
      </c>
      <c r="BC8" s="279" t="s">
        <v>173</v>
      </c>
      <c r="BD8" s="74"/>
      <c r="BE8" s="75" t="s">
        <v>174</v>
      </c>
      <c r="BF8" s="280" t="s">
        <v>159</v>
      </c>
      <c r="BG8" s="50"/>
      <c r="BH8" s="51" t="s">
        <v>159</v>
      </c>
      <c r="BI8" s="282" t="s">
        <v>175</v>
      </c>
      <c r="BJ8" s="53"/>
      <c r="BK8" s="54" t="s">
        <v>159</v>
      </c>
      <c r="BL8" s="280" t="s">
        <v>175</v>
      </c>
      <c r="BM8" s="50"/>
      <c r="BN8" s="51" t="s">
        <v>159</v>
      </c>
    </row>
    <row r="9" customFormat="false" ht="17.25" hidden="false" customHeight="true" outlineLevel="0" collapsed="false">
      <c r="B9" s="270"/>
      <c r="C9" s="42"/>
      <c r="D9" s="80" t="s">
        <v>50</v>
      </c>
      <c r="E9" s="44" t="s">
        <v>45</v>
      </c>
      <c r="F9" s="81"/>
      <c r="G9" s="78" t="s">
        <v>155</v>
      </c>
      <c r="H9" s="53"/>
      <c r="I9" s="54" t="s">
        <v>155</v>
      </c>
      <c r="J9" s="49" t="s">
        <v>46</v>
      </c>
      <c r="K9" s="154"/>
      <c r="L9" s="154" t="s">
        <v>46</v>
      </c>
      <c r="M9" s="78" t="s">
        <v>46</v>
      </c>
      <c r="N9" s="53"/>
      <c r="O9" s="153" t="s">
        <v>46</v>
      </c>
      <c r="P9" s="78" t="s">
        <v>46</v>
      </c>
      <c r="Q9" s="53"/>
      <c r="R9" s="54" t="s">
        <v>46</v>
      </c>
      <c r="S9" s="276" t="s">
        <v>156</v>
      </c>
      <c r="T9" s="50"/>
      <c r="U9" s="51" t="s">
        <v>157</v>
      </c>
      <c r="V9" s="277" t="s">
        <v>158</v>
      </c>
      <c r="W9" s="53"/>
      <c r="X9" s="54" t="s">
        <v>159</v>
      </c>
      <c r="Y9" s="278" t="s">
        <v>160</v>
      </c>
      <c r="Z9" s="50"/>
      <c r="AA9" s="57" t="s">
        <v>161</v>
      </c>
      <c r="AB9" s="277" t="s">
        <v>160</v>
      </c>
      <c r="AC9" s="53"/>
      <c r="AD9" s="54" t="s">
        <v>161</v>
      </c>
      <c r="AE9" s="280" t="s">
        <v>162</v>
      </c>
      <c r="AF9" s="50"/>
      <c r="AG9" s="51" t="s">
        <v>163</v>
      </c>
      <c r="AH9" s="78" t="s">
        <v>176</v>
      </c>
      <c r="AI9" s="53"/>
      <c r="AJ9" s="54" t="s">
        <v>177</v>
      </c>
      <c r="AK9" s="279" t="s">
        <v>159</v>
      </c>
      <c r="AL9" s="53"/>
      <c r="AM9" s="75" t="s">
        <v>156</v>
      </c>
      <c r="AN9" s="55" t="s">
        <v>166</v>
      </c>
      <c r="AO9" s="56"/>
      <c r="AP9" s="57" t="s">
        <v>167</v>
      </c>
      <c r="AQ9" s="279" t="s">
        <v>168</v>
      </c>
      <c r="AR9" s="74"/>
      <c r="AS9" s="75" t="s">
        <v>169</v>
      </c>
      <c r="AT9" s="49" t="s">
        <v>170</v>
      </c>
      <c r="AU9" s="50"/>
      <c r="AV9" s="51" t="s">
        <v>171</v>
      </c>
      <c r="AW9" s="78" t="s">
        <v>172</v>
      </c>
      <c r="AX9" s="53"/>
      <c r="AY9" s="54" t="s">
        <v>171</v>
      </c>
      <c r="AZ9" s="49" t="s">
        <v>172</v>
      </c>
      <c r="BA9" s="50"/>
      <c r="BB9" s="51" t="s">
        <v>171</v>
      </c>
      <c r="BC9" s="279" t="s">
        <v>173</v>
      </c>
      <c r="BD9" s="53"/>
      <c r="BE9" s="75" t="s">
        <v>174</v>
      </c>
      <c r="BF9" s="280" t="s">
        <v>159</v>
      </c>
      <c r="BG9" s="50"/>
      <c r="BH9" s="51" t="s">
        <v>159</v>
      </c>
      <c r="BI9" s="282" t="s">
        <v>175</v>
      </c>
      <c r="BJ9" s="53"/>
      <c r="BK9" s="54" t="s">
        <v>159</v>
      </c>
      <c r="BL9" s="280" t="s">
        <v>175</v>
      </c>
      <c r="BM9" s="50"/>
      <c r="BN9" s="51" t="s">
        <v>159</v>
      </c>
    </row>
    <row r="10" customFormat="false" ht="17.25" hidden="false" customHeight="true" outlineLevel="0" collapsed="false">
      <c r="B10" s="270"/>
      <c r="C10" s="42"/>
      <c r="D10" s="80"/>
      <c r="E10" s="44" t="s">
        <v>47</v>
      </c>
      <c r="F10" s="81"/>
      <c r="G10" s="78" t="s">
        <v>155</v>
      </c>
      <c r="H10" s="53"/>
      <c r="I10" s="54" t="s">
        <v>155</v>
      </c>
      <c r="J10" s="49" t="s">
        <v>46</v>
      </c>
      <c r="K10" s="154"/>
      <c r="L10" s="154" t="s">
        <v>46</v>
      </c>
      <c r="M10" s="78" t="s">
        <v>46</v>
      </c>
      <c r="N10" s="53"/>
      <c r="O10" s="153" t="s">
        <v>46</v>
      </c>
      <c r="P10" s="78" t="s">
        <v>46</v>
      </c>
      <c r="Q10" s="53"/>
      <c r="R10" s="54" t="s">
        <v>46</v>
      </c>
      <c r="S10" s="276" t="s">
        <v>156</v>
      </c>
      <c r="T10" s="50"/>
      <c r="U10" s="51" t="s">
        <v>157</v>
      </c>
      <c r="V10" s="277" t="s">
        <v>158</v>
      </c>
      <c r="W10" s="53"/>
      <c r="X10" s="54" t="s">
        <v>159</v>
      </c>
      <c r="Y10" s="278" t="s">
        <v>160</v>
      </c>
      <c r="Z10" s="50"/>
      <c r="AA10" s="57" t="s">
        <v>161</v>
      </c>
      <c r="AB10" s="277" t="s">
        <v>160</v>
      </c>
      <c r="AC10" s="53"/>
      <c r="AD10" s="54" t="s">
        <v>161</v>
      </c>
      <c r="AE10" s="280" t="s">
        <v>162</v>
      </c>
      <c r="AF10" s="50"/>
      <c r="AG10" s="51" t="s">
        <v>163</v>
      </c>
      <c r="AH10" s="78" t="s">
        <v>176</v>
      </c>
      <c r="AI10" s="53"/>
      <c r="AJ10" s="54" t="s">
        <v>177</v>
      </c>
      <c r="AK10" s="283" t="s">
        <v>159</v>
      </c>
      <c r="AL10" s="109"/>
      <c r="AM10" s="187" t="s">
        <v>156</v>
      </c>
      <c r="AN10" s="55" t="s">
        <v>166</v>
      </c>
      <c r="AO10" s="56"/>
      <c r="AP10" s="57" t="s">
        <v>167</v>
      </c>
      <c r="AQ10" s="279" t="s">
        <v>168</v>
      </c>
      <c r="AR10" s="74"/>
      <c r="AS10" s="75" t="s">
        <v>169</v>
      </c>
      <c r="AT10" s="49" t="s">
        <v>170</v>
      </c>
      <c r="AU10" s="50"/>
      <c r="AV10" s="51" t="s">
        <v>171</v>
      </c>
      <c r="AW10" s="78" t="s">
        <v>172</v>
      </c>
      <c r="AX10" s="53"/>
      <c r="AY10" s="54" t="s">
        <v>171</v>
      </c>
      <c r="AZ10" s="49" t="s">
        <v>172</v>
      </c>
      <c r="BA10" s="50"/>
      <c r="BB10" s="51" t="s">
        <v>171</v>
      </c>
      <c r="BC10" s="279" t="s">
        <v>173</v>
      </c>
      <c r="BD10" s="53"/>
      <c r="BE10" s="75" t="s">
        <v>174</v>
      </c>
      <c r="BF10" s="280" t="s">
        <v>159</v>
      </c>
      <c r="BG10" s="50"/>
      <c r="BH10" s="51" t="s">
        <v>159</v>
      </c>
      <c r="BI10" s="282" t="s">
        <v>175</v>
      </c>
      <c r="BJ10" s="53"/>
      <c r="BK10" s="54" t="s">
        <v>159</v>
      </c>
      <c r="BL10" s="280" t="s">
        <v>175</v>
      </c>
      <c r="BM10" s="50"/>
      <c r="BN10" s="51" t="s">
        <v>159</v>
      </c>
    </row>
    <row r="11" customFormat="false" ht="17.25" hidden="false" customHeight="true" outlineLevel="0" collapsed="false">
      <c r="B11" s="270"/>
      <c r="C11" s="42"/>
      <c r="D11" s="80"/>
      <c r="E11" s="44" t="s">
        <v>48</v>
      </c>
      <c r="F11" s="81"/>
      <c r="G11" s="78" t="s">
        <v>155</v>
      </c>
      <c r="H11" s="53"/>
      <c r="I11" s="54" t="s">
        <v>155</v>
      </c>
      <c r="J11" s="49" t="s">
        <v>46</v>
      </c>
      <c r="K11" s="154"/>
      <c r="L11" s="154" t="s">
        <v>46</v>
      </c>
      <c r="M11" s="78" t="s">
        <v>46</v>
      </c>
      <c r="N11" s="53"/>
      <c r="O11" s="153" t="s">
        <v>46</v>
      </c>
      <c r="P11" s="78" t="s">
        <v>46</v>
      </c>
      <c r="Q11" s="53"/>
      <c r="R11" s="54" t="s">
        <v>46</v>
      </c>
      <c r="S11" s="276" t="s">
        <v>156</v>
      </c>
      <c r="T11" s="50"/>
      <c r="U11" s="51" t="s">
        <v>157</v>
      </c>
      <c r="V11" s="277" t="s">
        <v>158</v>
      </c>
      <c r="W11" s="53"/>
      <c r="X11" s="54" t="s">
        <v>159</v>
      </c>
      <c r="Y11" s="278" t="s">
        <v>160</v>
      </c>
      <c r="Z11" s="50"/>
      <c r="AA11" s="57" t="s">
        <v>161</v>
      </c>
      <c r="AB11" s="277" t="s">
        <v>160</v>
      </c>
      <c r="AC11" s="53"/>
      <c r="AD11" s="54" t="s">
        <v>161</v>
      </c>
      <c r="AE11" s="280" t="s">
        <v>162</v>
      </c>
      <c r="AF11" s="50"/>
      <c r="AG11" s="51" t="s">
        <v>163</v>
      </c>
      <c r="AH11" s="78" t="s">
        <v>176</v>
      </c>
      <c r="AI11" s="53"/>
      <c r="AJ11" s="54" t="s">
        <v>177</v>
      </c>
      <c r="AK11" s="283" t="s">
        <v>159</v>
      </c>
      <c r="AL11" s="109"/>
      <c r="AM11" s="187" t="s">
        <v>156</v>
      </c>
      <c r="AN11" s="55" t="s">
        <v>166</v>
      </c>
      <c r="AO11" s="56"/>
      <c r="AP11" s="57" t="s">
        <v>167</v>
      </c>
      <c r="AQ11" s="279" t="s">
        <v>168</v>
      </c>
      <c r="AR11" s="74"/>
      <c r="AS11" s="75" t="s">
        <v>169</v>
      </c>
      <c r="AT11" s="49" t="s">
        <v>170</v>
      </c>
      <c r="AU11" s="50"/>
      <c r="AV11" s="51" t="s">
        <v>171</v>
      </c>
      <c r="AW11" s="78" t="s">
        <v>172</v>
      </c>
      <c r="AX11" s="53"/>
      <c r="AY11" s="54" t="s">
        <v>171</v>
      </c>
      <c r="AZ11" s="49" t="s">
        <v>172</v>
      </c>
      <c r="BA11" s="50"/>
      <c r="BB11" s="51" t="s">
        <v>171</v>
      </c>
      <c r="BC11" s="279" t="s">
        <v>173</v>
      </c>
      <c r="BD11" s="53"/>
      <c r="BE11" s="75" t="s">
        <v>174</v>
      </c>
      <c r="BF11" s="280" t="s">
        <v>159</v>
      </c>
      <c r="BG11" s="50"/>
      <c r="BH11" s="51" t="s">
        <v>159</v>
      </c>
      <c r="BI11" s="282" t="s">
        <v>175</v>
      </c>
      <c r="BJ11" s="53"/>
      <c r="BK11" s="54" t="s">
        <v>159</v>
      </c>
      <c r="BL11" s="280" t="s">
        <v>175</v>
      </c>
      <c r="BM11" s="50"/>
      <c r="BN11" s="51" t="s">
        <v>159</v>
      </c>
    </row>
    <row r="12" customFormat="false" ht="17.25" hidden="false" customHeight="true" outlineLevel="0" collapsed="false">
      <c r="B12" s="270"/>
      <c r="C12" s="42"/>
      <c r="D12" s="80"/>
      <c r="E12" s="44" t="s">
        <v>49</v>
      </c>
      <c r="F12" s="81"/>
      <c r="G12" s="78" t="s">
        <v>155</v>
      </c>
      <c r="H12" s="53"/>
      <c r="I12" s="54" t="s">
        <v>155</v>
      </c>
      <c r="J12" s="49" t="s">
        <v>46</v>
      </c>
      <c r="K12" s="154"/>
      <c r="L12" s="154" t="s">
        <v>46</v>
      </c>
      <c r="M12" s="78" t="s">
        <v>46</v>
      </c>
      <c r="N12" s="53"/>
      <c r="O12" s="153" t="s">
        <v>46</v>
      </c>
      <c r="P12" s="78" t="s">
        <v>46</v>
      </c>
      <c r="Q12" s="53"/>
      <c r="R12" s="54" t="s">
        <v>46</v>
      </c>
      <c r="S12" s="276" t="s">
        <v>156</v>
      </c>
      <c r="T12" s="50"/>
      <c r="U12" s="51" t="s">
        <v>157</v>
      </c>
      <c r="V12" s="277" t="s">
        <v>158</v>
      </c>
      <c r="W12" s="53"/>
      <c r="X12" s="54" t="s">
        <v>159</v>
      </c>
      <c r="Y12" s="278" t="s">
        <v>160</v>
      </c>
      <c r="Z12" s="50"/>
      <c r="AA12" s="57" t="s">
        <v>161</v>
      </c>
      <c r="AB12" s="277" t="s">
        <v>160</v>
      </c>
      <c r="AC12" s="53"/>
      <c r="AD12" s="54" t="s">
        <v>161</v>
      </c>
      <c r="AE12" s="280" t="s">
        <v>162</v>
      </c>
      <c r="AF12" s="50"/>
      <c r="AG12" s="51" t="s">
        <v>163</v>
      </c>
      <c r="AH12" s="78" t="s">
        <v>176</v>
      </c>
      <c r="AI12" s="53"/>
      <c r="AJ12" s="54" t="s">
        <v>177</v>
      </c>
      <c r="AK12" s="283" t="s">
        <v>159</v>
      </c>
      <c r="AL12" s="109"/>
      <c r="AM12" s="187" t="s">
        <v>156</v>
      </c>
      <c r="AN12" s="55" t="s">
        <v>166</v>
      </c>
      <c r="AO12" s="56"/>
      <c r="AP12" s="57" t="s">
        <v>167</v>
      </c>
      <c r="AQ12" s="279" t="s">
        <v>168</v>
      </c>
      <c r="AR12" s="74"/>
      <c r="AS12" s="75" t="s">
        <v>169</v>
      </c>
      <c r="AT12" s="49" t="s">
        <v>170</v>
      </c>
      <c r="AU12" s="50"/>
      <c r="AV12" s="51" t="s">
        <v>171</v>
      </c>
      <c r="AW12" s="78" t="s">
        <v>172</v>
      </c>
      <c r="AX12" s="53"/>
      <c r="AY12" s="54" t="s">
        <v>171</v>
      </c>
      <c r="AZ12" s="49" t="s">
        <v>172</v>
      </c>
      <c r="BA12" s="50"/>
      <c r="BB12" s="51" t="s">
        <v>171</v>
      </c>
      <c r="BC12" s="279" t="s">
        <v>173</v>
      </c>
      <c r="BD12" s="53"/>
      <c r="BE12" s="75" t="s">
        <v>174</v>
      </c>
      <c r="BF12" s="280" t="s">
        <v>159</v>
      </c>
      <c r="BG12" s="50"/>
      <c r="BH12" s="51" t="s">
        <v>159</v>
      </c>
      <c r="BI12" s="282" t="s">
        <v>175</v>
      </c>
      <c r="BJ12" s="53"/>
      <c r="BK12" s="54" t="s">
        <v>159</v>
      </c>
      <c r="BL12" s="280" t="s">
        <v>175</v>
      </c>
      <c r="BM12" s="50"/>
      <c r="BN12" s="51" t="s">
        <v>159</v>
      </c>
    </row>
    <row r="13" customFormat="false" ht="17.25" hidden="false" customHeight="true" outlineLevel="0" collapsed="false">
      <c r="B13" s="270"/>
      <c r="C13" s="42"/>
      <c r="D13" s="80" t="s">
        <v>51</v>
      </c>
      <c r="E13" s="44" t="s">
        <v>45</v>
      </c>
      <c r="F13" s="81"/>
      <c r="G13" s="78" t="s">
        <v>155</v>
      </c>
      <c r="H13" s="53"/>
      <c r="I13" s="54" t="s">
        <v>155</v>
      </c>
      <c r="J13" s="49" t="s">
        <v>46</v>
      </c>
      <c r="K13" s="154"/>
      <c r="L13" s="154" t="s">
        <v>46</v>
      </c>
      <c r="M13" s="78" t="s">
        <v>46</v>
      </c>
      <c r="N13" s="53"/>
      <c r="O13" s="153" t="s">
        <v>46</v>
      </c>
      <c r="P13" s="78" t="s">
        <v>46</v>
      </c>
      <c r="Q13" s="53"/>
      <c r="R13" s="54" t="s">
        <v>46</v>
      </c>
      <c r="S13" s="276" t="s">
        <v>156</v>
      </c>
      <c r="T13" s="50"/>
      <c r="U13" s="51" t="s">
        <v>157</v>
      </c>
      <c r="V13" s="277" t="s">
        <v>158</v>
      </c>
      <c r="W13" s="53"/>
      <c r="X13" s="54" t="s">
        <v>159</v>
      </c>
      <c r="Y13" s="278" t="s">
        <v>160</v>
      </c>
      <c r="Z13" s="50"/>
      <c r="AA13" s="57" t="s">
        <v>161</v>
      </c>
      <c r="AB13" s="277" t="s">
        <v>160</v>
      </c>
      <c r="AC13" s="53"/>
      <c r="AD13" s="54" t="s">
        <v>161</v>
      </c>
      <c r="AE13" s="280" t="s">
        <v>162</v>
      </c>
      <c r="AF13" s="50"/>
      <c r="AG13" s="51" t="s">
        <v>163</v>
      </c>
      <c r="AH13" s="78" t="s">
        <v>176</v>
      </c>
      <c r="AI13" s="53"/>
      <c r="AJ13" s="54" t="s">
        <v>177</v>
      </c>
      <c r="AK13" s="283" t="s">
        <v>159</v>
      </c>
      <c r="AL13" s="109"/>
      <c r="AM13" s="187" t="s">
        <v>156</v>
      </c>
      <c r="AN13" s="55" t="s">
        <v>166</v>
      </c>
      <c r="AO13" s="56"/>
      <c r="AP13" s="57" t="s">
        <v>167</v>
      </c>
      <c r="AQ13" s="279" t="s">
        <v>168</v>
      </c>
      <c r="AR13" s="74"/>
      <c r="AS13" s="75" t="s">
        <v>169</v>
      </c>
      <c r="AT13" s="49" t="s">
        <v>170</v>
      </c>
      <c r="AU13" s="50"/>
      <c r="AV13" s="51" t="s">
        <v>171</v>
      </c>
      <c r="AW13" s="78" t="s">
        <v>172</v>
      </c>
      <c r="AX13" s="53"/>
      <c r="AY13" s="54" t="s">
        <v>171</v>
      </c>
      <c r="AZ13" s="49" t="s">
        <v>172</v>
      </c>
      <c r="BA13" s="50"/>
      <c r="BB13" s="51" t="s">
        <v>171</v>
      </c>
      <c r="BC13" s="279" t="s">
        <v>173</v>
      </c>
      <c r="BD13" s="53"/>
      <c r="BE13" s="75" t="s">
        <v>174</v>
      </c>
      <c r="BF13" s="280" t="s">
        <v>159</v>
      </c>
      <c r="BG13" s="50"/>
      <c r="BH13" s="51" t="s">
        <v>159</v>
      </c>
      <c r="BI13" s="282" t="s">
        <v>175</v>
      </c>
      <c r="BJ13" s="53"/>
      <c r="BK13" s="54" t="s">
        <v>159</v>
      </c>
      <c r="BL13" s="280" t="s">
        <v>175</v>
      </c>
      <c r="BM13" s="50"/>
      <c r="BN13" s="51" t="s">
        <v>159</v>
      </c>
    </row>
    <row r="14" customFormat="false" ht="17.25" hidden="false" customHeight="true" outlineLevel="0" collapsed="false">
      <c r="B14" s="270"/>
      <c r="C14" s="42"/>
      <c r="D14" s="80"/>
      <c r="E14" s="44" t="s">
        <v>47</v>
      </c>
      <c r="F14" s="81"/>
      <c r="G14" s="78" t="s">
        <v>155</v>
      </c>
      <c r="H14" s="53"/>
      <c r="I14" s="54" t="s">
        <v>155</v>
      </c>
      <c r="J14" s="49" t="s">
        <v>46</v>
      </c>
      <c r="K14" s="154"/>
      <c r="L14" s="154" t="s">
        <v>46</v>
      </c>
      <c r="M14" s="78" t="s">
        <v>46</v>
      </c>
      <c r="N14" s="53"/>
      <c r="O14" s="153" t="s">
        <v>46</v>
      </c>
      <c r="P14" s="78" t="s">
        <v>46</v>
      </c>
      <c r="Q14" s="53"/>
      <c r="R14" s="54" t="s">
        <v>46</v>
      </c>
      <c r="S14" s="276" t="s">
        <v>156</v>
      </c>
      <c r="T14" s="50"/>
      <c r="U14" s="51" t="s">
        <v>157</v>
      </c>
      <c r="V14" s="277" t="s">
        <v>158</v>
      </c>
      <c r="W14" s="53"/>
      <c r="X14" s="54" t="s">
        <v>159</v>
      </c>
      <c r="Y14" s="278" t="s">
        <v>160</v>
      </c>
      <c r="Z14" s="50"/>
      <c r="AA14" s="57" t="s">
        <v>161</v>
      </c>
      <c r="AB14" s="277" t="s">
        <v>160</v>
      </c>
      <c r="AC14" s="53"/>
      <c r="AD14" s="54" t="s">
        <v>161</v>
      </c>
      <c r="AE14" s="280" t="s">
        <v>162</v>
      </c>
      <c r="AF14" s="50"/>
      <c r="AG14" s="51" t="s">
        <v>163</v>
      </c>
      <c r="AH14" s="78" t="s">
        <v>176</v>
      </c>
      <c r="AI14" s="53"/>
      <c r="AJ14" s="54" t="s">
        <v>177</v>
      </c>
      <c r="AK14" s="283" t="s">
        <v>159</v>
      </c>
      <c r="AL14" s="109"/>
      <c r="AM14" s="187" t="s">
        <v>156</v>
      </c>
      <c r="AN14" s="55" t="s">
        <v>166</v>
      </c>
      <c r="AO14" s="56"/>
      <c r="AP14" s="57" t="s">
        <v>167</v>
      </c>
      <c r="AQ14" s="279" t="s">
        <v>168</v>
      </c>
      <c r="AR14" s="74"/>
      <c r="AS14" s="75" t="s">
        <v>169</v>
      </c>
      <c r="AT14" s="49" t="s">
        <v>170</v>
      </c>
      <c r="AU14" s="50"/>
      <c r="AV14" s="51" t="s">
        <v>171</v>
      </c>
      <c r="AW14" s="78" t="s">
        <v>172</v>
      </c>
      <c r="AX14" s="53"/>
      <c r="AY14" s="54" t="s">
        <v>171</v>
      </c>
      <c r="AZ14" s="49" t="s">
        <v>172</v>
      </c>
      <c r="BA14" s="50"/>
      <c r="BB14" s="51" t="s">
        <v>171</v>
      </c>
      <c r="BC14" s="279" t="s">
        <v>173</v>
      </c>
      <c r="BD14" s="53"/>
      <c r="BE14" s="75" t="s">
        <v>174</v>
      </c>
      <c r="BF14" s="280" t="s">
        <v>159</v>
      </c>
      <c r="BG14" s="50"/>
      <c r="BH14" s="51" t="s">
        <v>159</v>
      </c>
      <c r="BI14" s="282" t="s">
        <v>175</v>
      </c>
      <c r="BJ14" s="53"/>
      <c r="BK14" s="54" t="s">
        <v>159</v>
      </c>
      <c r="BL14" s="280" t="s">
        <v>175</v>
      </c>
      <c r="BM14" s="50"/>
      <c r="BN14" s="51" t="s">
        <v>159</v>
      </c>
    </row>
    <row r="15" customFormat="false" ht="17.25" hidden="false" customHeight="true" outlineLevel="0" collapsed="false">
      <c r="B15" s="270"/>
      <c r="C15" s="42"/>
      <c r="D15" s="80"/>
      <c r="E15" s="44" t="s">
        <v>48</v>
      </c>
      <c r="F15" s="81"/>
      <c r="G15" s="78" t="s">
        <v>155</v>
      </c>
      <c r="H15" s="53"/>
      <c r="I15" s="54" t="s">
        <v>155</v>
      </c>
      <c r="J15" s="49" t="s">
        <v>46</v>
      </c>
      <c r="K15" s="154"/>
      <c r="L15" s="154" t="s">
        <v>46</v>
      </c>
      <c r="M15" s="78" t="s">
        <v>46</v>
      </c>
      <c r="N15" s="53"/>
      <c r="O15" s="153" t="s">
        <v>46</v>
      </c>
      <c r="P15" s="78" t="s">
        <v>46</v>
      </c>
      <c r="Q15" s="53"/>
      <c r="R15" s="54" t="s">
        <v>46</v>
      </c>
      <c r="S15" s="276" t="s">
        <v>156</v>
      </c>
      <c r="T15" s="50"/>
      <c r="U15" s="51" t="s">
        <v>157</v>
      </c>
      <c r="V15" s="277" t="s">
        <v>158</v>
      </c>
      <c r="W15" s="53"/>
      <c r="X15" s="54" t="s">
        <v>159</v>
      </c>
      <c r="Y15" s="278" t="s">
        <v>160</v>
      </c>
      <c r="Z15" s="50"/>
      <c r="AA15" s="57" t="s">
        <v>161</v>
      </c>
      <c r="AB15" s="277" t="s">
        <v>160</v>
      </c>
      <c r="AC15" s="53"/>
      <c r="AD15" s="54" t="s">
        <v>161</v>
      </c>
      <c r="AE15" s="280" t="s">
        <v>162</v>
      </c>
      <c r="AF15" s="50"/>
      <c r="AG15" s="51" t="s">
        <v>163</v>
      </c>
      <c r="AH15" s="78" t="s">
        <v>176</v>
      </c>
      <c r="AI15" s="53"/>
      <c r="AJ15" s="54" t="s">
        <v>177</v>
      </c>
      <c r="AK15" s="283" t="s">
        <v>159</v>
      </c>
      <c r="AL15" s="109"/>
      <c r="AM15" s="187" t="s">
        <v>156</v>
      </c>
      <c r="AN15" s="55" t="s">
        <v>166</v>
      </c>
      <c r="AO15" s="56"/>
      <c r="AP15" s="57" t="s">
        <v>167</v>
      </c>
      <c r="AQ15" s="279" t="s">
        <v>168</v>
      </c>
      <c r="AR15" s="74"/>
      <c r="AS15" s="75" t="s">
        <v>169</v>
      </c>
      <c r="AT15" s="49" t="s">
        <v>170</v>
      </c>
      <c r="AU15" s="50"/>
      <c r="AV15" s="51" t="s">
        <v>171</v>
      </c>
      <c r="AW15" s="78" t="s">
        <v>172</v>
      </c>
      <c r="AX15" s="53"/>
      <c r="AY15" s="54" t="s">
        <v>171</v>
      </c>
      <c r="AZ15" s="49" t="s">
        <v>172</v>
      </c>
      <c r="BA15" s="50"/>
      <c r="BB15" s="51" t="s">
        <v>171</v>
      </c>
      <c r="BC15" s="279" t="s">
        <v>173</v>
      </c>
      <c r="BD15" s="53"/>
      <c r="BE15" s="75" t="s">
        <v>174</v>
      </c>
      <c r="BF15" s="280" t="s">
        <v>159</v>
      </c>
      <c r="BG15" s="50"/>
      <c r="BH15" s="51" t="s">
        <v>159</v>
      </c>
      <c r="BI15" s="282" t="s">
        <v>175</v>
      </c>
      <c r="BJ15" s="53"/>
      <c r="BK15" s="54" t="s">
        <v>159</v>
      </c>
      <c r="BL15" s="280" t="s">
        <v>175</v>
      </c>
      <c r="BM15" s="50"/>
      <c r="BN15" s="51" t="s">
        <v>159</v>
      </c>
    </row>
    <row r="16" customFormat="false" ht="17.25" hidden="false" customHeight="true" outlineLevel="0" collapsed="false">
      <c r="B16" s="270"/>
      <c r="C16" s="42"/>
      <c r="D16" s="80"/>
      <c r="E16" s="44" t="s">
        <v>49</v>
      </c>
      <c r="F16" s="81"/>
      <c r="G16" s="78" t="s">
        <v>155</v>
      </c>
      <c r="H16" s="53"/>
      <c r="I16" s="54" t="s">
        <v>155</v>
      </c>
      <c r="J16" s="49" t="s">
        <v>46</v>
      </c>
      <c r="K16" s="154"/>
      <c r="L16" s="154" t="s">
        <v>46</v>
      </c>
      <c r="M16" s="78" t="s">
        <v>46</v>
      </c>
      <c r="N16" s="53"/>
      <c r="O16" s="153" t="s">
        <v>46</v>
      </c>
      <c r="P16" s="78" t="s">
        <v>46</v>
      </c>
      <c r="Q16" s="53"/>
      <c r="R16" s="54" t="s">
        <v>46</v>
      </c>
      <c r="S16" s="276" t="s">
        <v>156</v>
      </c>
      <c r="T16" s="50"/>
      <c r="U16" s="51" t="s">
        <v>157</v>
      </c>
      <c r="V16" s="277" t="s">
        <v>158</v>
      </c>
      <c r="W16" s="53"/>
      <c r="X16" s="54" t="s">
        <v>159</v>
      </c>
      <c r="Y16" s="278" t="s">
        <v>160</v>
      </c>
      <c r="Z16" s="50"/>
      <c r="AA16" s="57" t="s">
        <v>161</v>
      </c>
      <c r="AB16" s="277" t="s">
        <v>160</v>
      </c>
      <c r="AC16" s="53"/>
      <c r="AD16" s="54" t="s">
        <v>161</v>
      </c>
      <c r="AE16" s="280" t="s">
        <v>162</v>
      </c>
      <c r="AF16" s="50"/>
      <c r="AG16" s="51" t="s">
        <v>163</v>
      </c>
      <c r="AH16" s="78" t="s">
        <v>176</v>
      </c>
      <c r="AI16" s="53"/>
      <c r="AJ16" s="54" t="s">
        <v>177</v>
      </c>
      <c r="AK16" s="283" t="s">
        <v>159</v>
      </c>
      <c r="AL16" s="109"/>
      <c r="AM16" s="187" t="s">
        <v>156</v>
      </c>
      <c r="AN16" s="55" t="s">
        <v>166</v>
      </c>
      <c r="AO16" s="56"/>
      <c r="AP16" s="57" t="s">
        <v>167</v>
      </c>
      <c r="AQ16" s="279" t="s">
        <v>168</v>
      </c>
      <c r="AR16" s="74"/>
      <c r="AS16" s="75" t="s">
        <v>169</v>
      </c>
      <c r="AT16" s="49" t="s">
        <v>170</v>
      </c>
      <c r="AU16" s="50"/>
      <c r="AV16" s="51" t="s">
        <v>171</v>
      </c>
      <c r="AW16" s="78" t="s">
        <v>172</v>
      </c>
      <c r="AX16" s="53"/>
      <c r="AY16" s="54" t="s">
        <v>171</v>
      </c>
      <c r="AZ16" s="49" t="s">
        <v>172</v>
      </c>
      <c r="BA16" s="50"/>
      <c r="BB16" s="51" t="s">
        <v>171</v>
      </c>
      <c r="BC16" s="279" t="s">
        <v>173</v>
      </c>
      <c r="BD16" s="53"/>
      <c r="BE16" s="75" t="s">
        <v>174</v>
      </c>
      <c r="BF16" s="280" t="s">
        <v>159</v>
      </c>
      <c r="BG16" s="50"/>
      <c r="BH16" s="51" t="s">
        <v>159</v>
      </c>
      <c r="BI16" s="282" t="s">
        <v>175</v>
      </c>
      <c r="BJ16" s="53"/>
      <c r="BK16" s="54" t="s">
        <v>159</v>
      </c>
      <c r="BL16" s="280" t="s">
        <v>175</v>
      </c>
      <c r="BM16" s="50"/>
      <c r="BN16" s="51" t="s">
        <v>159</v>
      </c>
    </row>
    <row r="17" customFormat="false" ht="17.25" hidden="false" customHeight="true" outlineLevel="0" collapsed="false">
      <c r="B17" s="270"/>
      <c r="C17" s="85" t="s">
        <v>178</v>
      </c>
      <c r="D17" s="80" t="s">
        <v>44</v>
      </c>
      <c r="E17" s="44" t="s">
        <v>45</v>
      </c>
      <c r="F17" s="81"/>
      <c r="G17" s="78" t="s">
        <v>155</v>
      </c>
      <c r="H17" s="53"/>
      <c r="I17" s="54" t="s">
        <v>155</v>
      </c>
      <c r="J17" s="49" t="s">
        <v>46</v>
      </c>
      <c r="K17" s="154"/>
      <c r="L17" s="154" t="s">
        <v>46</v>
      </c>
      <c r="M17" s="78" t="s">
        <v>46</v>
      </c>
      <c r="N17" s="53"/>
      <c r="O17" s="153" t="s">
        <v>46</v>
      </c>
      <c r="P17" s="78" t="s">
        <v>46</v>
      </c>
      <c r="Q17" s="53"/>
      <c r="R17" s="54" t="s">
        <v>46</v>
      </c>
      <c r="S17" s="276" t="s">
        <v>179</v>
      </c>
      <c r="T17" s="50"/>
      <c r="U17" s="51" t="s">
        <v>180</v>
      </c>
      <c r="V17" s="277" t="s">
        <v>158</v>
      </c>
      <c r="W17" s="53"/>
      <c r="X17" s="54" t="s">
        <v>159</v>
      </c>
      <c r="Y17" s="280" t="s">
        <v>181</v>
      </c>
      <c r="Z17" s="50"/>
      <c r="AA17" s="57" t="s">
        <v>161</v>
      </c>
      <c r="AB17" s="277" t="s">
        <v>181</v>
      </c>
      <c r="AC17" s="53"/>
      <c r="AD17" s="54" t="s">
        <v>161</v>
      </c>
      <c r="AE17" s="49" t="s">
        <v>182</v>
      </c>
      <c r="AF17" s="50"/>
      <c r="AG17" s="51" t="s">
        <v>183</v>
      </c>
      <c r="AH17" s="78" t="s">
        <v>164</v>
      </c>
      <c r="AI17" s="53"/>
      <c r="AJ17" s="54" t="s">
        <v>165</v>
      </c>
      <c r="AK17" s="283" t="s">
        <v>159</v>
      </c>
      <c r="AL17" s="109"/>
      <c r="AM17" s="187" t="s">
        <v>184</v>
      </c>
      <c r="AN17" s="55" t="s">
        <v>166</v>
      </c>
      <c r="AO17" s="56"/>
      <c r="AP17" s="57" t="s">
        <v>167</v>
      </c>
      <c r="AQ17" s="279" t="s">
        <v>168</v>
      </c>
      <c r="AR17" s="74"/>
      <c r="AS17" s="75" t="s">
        <v>169</v>
      </c>
      <c r="AT17" s="49" t="s">
        <v>185</v>
      </c>
      <c r="AU17" s="50"/>
      <c r="AV17" s="51" t="s">
        <v>171</v>
      </c>
      <c r="AW17" s="78" t="s">
        <v>185</v>
      </c>
      <c r="AX17" s="53"/>
      <c r="AY17" s="54" t="s">
        <v>172</v>
      </c>
      <c r="AZ17" s="49" t="s">
        <v>186</v>
      </c>
      <c r="BA17" s="50"/>
      <c r="BB17" s="51" t="s">
        <v>172</v>
      </c>
      <c r="BC17" s="279" t="s">
        <v>173</v>
      </c>
      <c r="BD17" s="53"/>
      <c r="BE17" s="75" t="s">
        <v>174</v>
      </c>
      <c r="BF17" s="280" t="s">
        <v>187</v>
      </c>
      <c r="BG17" s="50"/>
      <c r="BH17" s="51" t="s">
        <v>188</v>
      </c>
      <c r="BI17" s="282" t="s">
        <v>189</v>
      </c>
      <c r="BJ17" s="53"/>
      <c r="BK17" s="54" t="s">
        <v>190</v>
      </c>
      <c r="BL17" s="280" t="s">
        <v>191</v>
      </c>
      <c r="BM17" s="50"/>
      <c r="BN17" s="51" t="s">
        <v>192</v>
      </c>
    </row>
    <row r="18" customFormat="false" ht="17.25" hidden="false" customHeight="true" outlineLevel="0" collapsed="false">
      <c r="B18" s="270"/>
      <c r="C18" s="85"/>
      <c r="D18" s="80"/>
      <c r="E18" s="44" t="s">
        <v>47</v>
      </c>
      <c r="F18" s="81"/>
      <c r="G18" s="78" t="s">
        <v>155</v>
      </c>
      <c r="H18" s="53"/>
      <c r="I18" s="54" t="s">
        <v>155</v>
      </c>
      <c r="J18" s="49" t="s">
        <v>46</v>
      </c>
      <c r="K18" s="154"/>
      <c r="L18" s="154" t="s">
        <v>46</v>
      </c>
      <c r="M18" s="78" t="s">
        <v>46</v>
      </c>
      <c r="N18" s="53"/>
      <c r="O18" s="153" t="s">
        <v>46</v>
      </c>
      <c r="P18" s="78" t="s">
        <v>46</v>
      </c>
      <c r="Q18" s="53"/>
      <c r="R18" s="54" t="s">
        <v>46</v>
      </c>
      <c r="S18" s="276" t="s">
        <v>179</v>
      </c>
      <c r="T18" s="50"/>
      <c r="U18" s="51" t="s">
        <v>180</v>
      </c>
      <c r="V18" s="277" t="s">
        <v>158</v>
      </c>
      <c r="W18" s="53"/>
      <c r="X18" s="54" t="s">
        <v>159</v>
      </c>
      <c r="Y18" s="280" t="s">
        <v>181</v>
      </c>
      <c r="Z18" s="50"/>
      <c r="AA18" s="57" t="s">
        <v>161</v>
      </c>
      <c r="AB18" s="277" t="s">
        <v>181</v>
      </c>
      <c r="AC18" s="53"/>
      <c r="AD18" s="54" t="s">
        <v>161</v>
      </c>
      <c r="AE18" s="49" t="s">
        <v>182</v>
      </c>
      <c r="AF18" s="50"/>
      <c r="AG18" s="51" t="s">
        <v>183</v>
      </c>
      <c r="AH18" s="78" t="s">
        <v>164</v>
      </c>
      <c r="AI18" s="53"/>
      <c r="AJ18" s="54" t="s">
        <v>165</v>
      </c>
      <c r="AK18" s="283" t="s">
        <v>159</v>
      </c>
      <c r="AL18" s="109"/>
      <c r="AM18" s="187" t="s">
        <v>184</v>
      </c>
      <c r="AN18" s="55" t="s">
        <v>166</v>
      </c>
      <c r="AO18" s="56"/>
      <c r="AP18" s="57" t="s">
        <v>167</v>
      </c>
      <c r="AQ18" s="279" t="s">
        <v>168</v>
      </c>
      <c r="AR18" s="74"/>
      <c r="AS18" s="75" t="s">
        <v>169</v>
      </c>
      <c r="AT18" s="49" t="s">
        <v>185</v>
      </c>
      <c r="AU18" s="50"/>
      <c r="AV18" s="51" t="s">
        <v>171</v>
      </c>
      <c r="AW18" s="78" t="s">
        <v>185</v>
      </c>
      <c r="AX18" s="53"/>
      <c r="AY18" s="54" t="s">
        <v>172</v>
      </c>
      <c r="AZ18" s="49" t="s">
        <v>186</v>
      </c>
      <c r="BA18" s="50"/>
      <c r="BB18" s="51" t="s">
        <v>172</v>
      </c>
      <c r="BC18" s="279" t="s">
        <v>173</v>
      </c>
      <c r="BD18" s="53"/>
      <c r="BE18" s="75" t="s">
        <v>174</v>
      </c>
      <c r="BF18" s="280" t="s">
        <v>187</v>
      </c>
      <c r="BG18" s="50"/>
      <c r="BH18" s="51" t="s">
        <v>188</v>
      </c>
      <c r="BI18" s="282" t="s">
        <v>189</v>
      </c>
      <c r="BJ18" s="53"/>
      <c r="BK18" s="54" t="s">
        <v>190</v>
      </c>
      <c r="BL18" s="280" t="s">
        <v>191</v>
      </c>
      <c r="BM18" s="50"/>
      <c r="BN18" s="51" t="s">
        <v>193</v>
      </c>
    </row>
    <row r="19" customFormat="false" ht="17.25" hidden="false" customHeight="true" outlineLevel="0" collapsed="false">
      <c r="B19" s="270"/>
      <c r="C19" s="85"/>
      <c r="D19" s="80"/>
      <c r="E19" s="44" t="s">
        <v>48</v>
      </c>
      <c r="F19" s="81"/>
      <c r="G19" s="78" t="s">
        <v>155</v>
      </c>
      <c r="H19" s="53"/>
      <c r="I19" s="54" t="s">
        <v>155</v>
      </c>
      <c r="J19" s="49" t="s">
        <v>46</v>
      </c>
      <c r="K19" s="154"/>
      <c r="L19" s="154" t="s">
        <v>46</v>
      </c>
      <c r="M19" s="78" t="s">
        <v>46</v>
      </c>
      <c r="N19" s="53"/>
      <c r="O19" s="153" t="s">
        <v>46</v>
      </c>
      <c r="P19" s="78" t="s">
        <v>46</v>
      </c>
      <c r="Q19" s="53"/>
      <c r="R19" s="54" t="s">
        <v>46</v>
      </c>
      <c r="S19" s="276" t="s">
        <v>179</v>
      </c>
      <c r="T19" s="50"/>
      <c r="U19" s="51" t="s">
        <v>180</v>
      </c>
      <c r="V19" s="277" t="s">
        <v>158</v>
      </c>
      <c r="W19" s="53"/>
      <c r="X19" s="54" t="s">
        <v>159</v>
      </c>
      <c r="Y19" s="280" t="s">
        <v>181</v>
      </c>
      <c r="Z19" s="50"/>
      <c r="AA19" s="57" t="s">
        <v>161</v>
      </c>
      <c r="AB19" s="277" t="s">
        <v>181</v>
      </c>
      <c r="AC19" s="53"/>
      <c r="AD19" s="54" t="s">
        <v>161</v>
      </c>
      <c r="AE19" s="49" t="s">
        <v>182</v>
      </c>
      <c r="AF19" s="50"/>
      <c r="AG19" s="51" t="s">
        <v>183</v>
      </c>
      <c r="AH19" s="78" t="s">
        <v>164</v>
      </c>
      <c r="AI19" s="53"/>
      <c r="AJ19" s="54" t="s">
        <v>165</v>
      </c>
      <c r="AK19" s="283" t="s">
        <v>159</v>
      </c>
      <c r="AL19" s="109"/>
      <c r="AM19" s="187" t="s">
        <v>184</v>
      </c>
      <c r="AN19" s="55" t="s">
        <v>166</v>
      </c>
      <c r="AO19" s="56"/>
      <c r="AP19" s="57" t="s">
        <v>167</v>
      </c>
      <c r="AQ19" s="279" t="s">
        <v>168</v>
      </c>
      <c r="AR19" s="74"/>
      <c r="AS19" s="75" t="s">
        <v>169</v>
      </c>
      <c r="AT19" s="49" t="s">
        <v>185</v>
      </c>
      <c r="AU19" s="50"/>
      <c r="AV19" s="51" t="s">
        <v>171</v>
      </c>
      <c r="AW19" s="78" t="s">
        <v>185</v>
      </c>
      <c r="AX19" s="53"/>
      <c r="AY19" s="54" t="s">
        <v>172</v>
      </c>
      <c r="AZ19" s="49" t="s">
        <v>186</v>
      </c>
      <c r="BA19" s="50"/>
      <c r="BB19" s="51" t="s">
        <v>172</v>
      </c>
      <c r="BC19" s="279" t="s">
        <v>173</v>
      </c>
      <c r="BD19" s="53"/>
      <c r="BE19" s="75" t="s">
        <v>174</v>
      </c>
      <c r="BF19" s="280" t="s">
        <v>187</v>
      </c>
      <c r="BG19" s="50"/>
      <c r="BH19" s="51" t="s">
        <v>188</v>
      </c>
      <c r="BI19" s="282" t="s">
        <v>189</v>
      </c>
      <c r="BJ19" s="53"/>
      <c r="BK19" s="54" t="s">
        <v>190</v>
      </c>
      <c r="BL19" s="280" t="s">
        <v>191</v>
      </c>
      <c r="BM19" s="50"/>
      <c r="BN19" s="51" t="s">
        <v>194</v>
      </c>
    </row>
    <row r="20" customFormat="false" ht="17.25" hidden="false" customHeight="true" outlineLevel="0" collapsed="false">
      <c r="B20" s="270"/>
      <c r="C20" s="85"/>
      <c r="D20" s="80"/>
      <c r="E20" s="44" t="s">
        <v>49</v>
      </c>
      <c r="F20" s="81"/>
      <c r="G20" s="78" t="s">
        <v>155</v>
      </c>
      <c r="H20" s="53"/>
      <c r="I20" s="54" t="s">
        <v>155</v>
      </c>
      <c r="J20" s="49" t="s">
        <v>46</v>
      </c>
      <c r="K20" s="154"/>
      <c r="L20" s="154" t="s">
        <v>46</v>
      </c>
      <c r="M20" s="78" t="s">
        <v>46</v>
      </c>
      <c r="N20" s="53"/>
      <c r="O20" s="153" t="s">
        <v>46</v>
      </c>
      <c r="P20" s="78" t="s">
        <v>46</v>
      </c>
      <c r="Q20" s="53"/>
      <c r="R20" s="54" t="s">
        <v>46</v>
      </c>
      <c r="S20" s="276" t="s">
        <v>179</v>
      </c>
      <c r="T20" s="50"/>
      <c r="U20" s="51" t="s">
        <v>180</v>
      </c>
      <c r="V20" s="277" t="s">
        <v>158</v>
      </c>
      <c r="W20" s="53"/>
      <c r="X20" s="54" t="s">
        <v>159</v>
      </c>
      <c r="Y20" s="280" t="s">
        <v>181</v>
      </c>
      <c r="Z20" s="50"/>
      <c r="AA20" s="57" t="s">
        <v>161</v>
      </c>
      <c r="AB20" s="277" t="s">
        <v>181</v>
      </c>
      <c r="AC20" s="53"/>
      <c r="AD20" s="54" t="s">
        <v>161</v>
      </c>
      <c r="AE20" s="49" t="s">
        <v>182</v>
      </c>
      <c r="AF20" s="50"/>
      <c r="AG20" s="51" t="s">
        <v>183</v>
      </c>
      <c r="AH20" s="78" t="s">
        <v>164</v>
      </c>
      <c r="AI20" s="53"/>
      <c r="AJ20" s="54" t="s">
        <v>165</v>
      </c>
      <c r="AK20" s="283" t="s">
        <v>159</v>
      </c>
      <c r="AL20" s="109"/>
      <c r="AM20" s="187" t="s">
        <v>184</v>
      </c>
      <c r="AN20" s="55" t="s">
        <v>166</v>
      </c>
      <c r="AO20" s="56"/>
      <c r="AP20" s="57" t="s">
        <v>167</v>
      </c>
      <c r="AQ20" s="279" t="s">
        <v>168</v>
      </c>
      <c r="AR20" s="74"/>
      <c r="AS20" s="75" t="s">
        <v>169</v>
      </c>
      <c r="AT20" s="49" t="s">
        <v>185</v>
      </c>
      <c r="AU20" s="50"/>
      <c r="AV20" s="51" t="s">
        <v>171</v>
      </c>
      <c r="AW20" s="78" t="s">
        <v>185</v>
      </c>
      <c r="AX20" s="53"/>
      <c r="AY20" s="54" t="s">
        <v>172</v>
      </c>
      <c r="AZ20" s="49" t="s">
        <v>186</v>
      </c>
      <c r="BA20" s="50"/>
      <c r="BB20" s="51" t="s">
        <v>172</v>
      </c>
      <c r="BC20" s="279" t="s">
        <v>173</v>
      </c>
      <c r="BD20" s="53"/>
      <c r="BE20" s="75" t="s">
        <v>174</v>
      </c>
      <c r="BF20" s="280" t="s">
        <v>187</v>
      </c>
      <c r="BG20" s="50"/>
      <c r="BH20" s="51" t="s">
        <v>188</v>
      </c>
      <c r="BI20" s="282" t="s">
        <v>189</v>
      </c>
      <c r="BJ20" s="53"/>
      <c r="BK20" s="54" t="s">
        <v>190</v>
      </c>
      <c r="BL20" s="280" t="s">
        <v>191</v>
      </c>
      <c r="BM20" s="50"/>
      <c r="BN20" s="51" t="s">
        <v>195</v>
      </c>
    </row>
    <row r="21" customFormat="false" ht="17.25" hidden="false" customHeight="true" outlineLevel="0" collapsed="false">
      <c r="B21" s="270"/>
      <c r="C21" s="85"/>
      <c r="D21" s="80" t="s">
        <v>50</v>
      </c>
      <c r="E21" s="44" t="s">
        <v>45</v>
      </c>
      <c r="F21" s="81"/>
      <c r="G21" s="78" t="s">
        <v>155</v>
      </c>
      <c r="H21" s="53"/>
      <c r="I21" s="54" t="s">
        <v>155</v>
      </c>
      <c r="J21" s="49" t="s">
        <v>46</v>
      </c>
      <c r="K21" s="154"/>
      <c r="L21" s="154" t="s">
        <v>46</v>
      </c>
      <c r="M21" s="78" t="s">
        <v>46</v>
      </c>
      <c r="N21" s="53"/>
      <c r="O21" s="153" t="s">
        <v>46</v>
      </c>
      <c r="P21" s="78" t="s">
        <v>46</v>
      </c>
      <c r="Q21" s="53"/>
      <c r="R21" s="54" t="s">
        <v>46</v>
      </c>
      <c r="S21" s="276" t="s">
        <v>179</v>
      </c>
      <c r="T21" s="50"/>
      <c r="U21" s="51" t="s">
        <v>180</v>
      </c>
      <c r="V21" s="277" t="s">
        <v>158</v>
      </c>
      <c r="W21" s="53"/>
      <c r="X21" s="54" t="s">
        <v>159</v>
      </c>
      <c r="Y21" s="280" t="s">
        <v>181</v>
      </c>
      <c r="Z21" s="50"/>
      <c r="AA21" s="57" t="s">
        <v>161</v>
      </c>
      <c r="AB21" s="277" t="s">
        <v>181</v>
      </c>
      <c r="AC21" s="53"/>
      <c r="AD21" s="54" t="s">
        <v>161</v>
      </c>
      <c r="AE21" s="49" t="s">
        <v>182</v>
      </c>
      <c r="AF21" s="50"/>
      <c r="AG21" s="51" t="s">
        <v>183</v>
      </c>
      <c r="AH21" s="78" t="s">
        <v>164</v>
      </c>
      <c r="AI21" s="53"/>
      <c r="AJ21" s="54" t="s">
        <v>165</v>
      </c>
      <c r="AK21" s="283" t="s">
        <v>159</v>
      </c>
      <c r="AL21" s="109"/>
      <c r="AM21" s="187" t="s">
        <v>184</v>
      </c>
      <c r="AN21" s="55" t="s">
        <v>166</v>
      </c>
      <c r="AO21" s="56"/>
      <c r="AP21" s="57" t="s">
        <v>167</v>
      </c>
      <c r="AQ21" s="279" t="s">
        <v>168</v>
      </c>
      <c r="AR21" s="74"/>
      <c r="AS21" s="75" t="s">
        <v>169</v>
      </c>
      <c r="AT21" s="49" t="s">
        <v>185</v>
      </c>
      <c r="AU21" s="50"/>
      <c r="AV21" s="51" t="s">
        <v>171</v>
      </c>
      <c r="AW21" s="78" t="s">
        <v>185</v>
      </c>
      <c r="AX21" s="53"/>
      <c r="AY21" s="54" t="s">
        <v>172</v>
      </c>
      <c r="AZ21" s="49" t="s">
        <v>186</v>
      </c>
      <c r="BA21" s="50"/>
      <c r="BB21" s="51" t="s">
        <v>172</v>
      </c>
      <c r="BC21" s="279" t="s">
        <v>173</v>
      </c>
      <c r="BD21" s="53"/>
      <c r="BE21" s="75" t="s">
        <v>174</v>
      </c>
      <c r="BF21" s="280" t="s">
        <v>187</v>
      </c>
      <c r="BG21" s="50"/>
      <c r="BH21" s="51" t="s">
        <v>188</v>
      </c>
      <c r="BI21" s="282" t="s">
        <v>189</v>
      </c>
      <c r="BJ21" s="53"/>
      <c r="BK21" s="54" t="s">
        <v>190</v>
      </c>
      <c r="BL21" s="280" t="s">
        <v>191</v>
      </c>
      <c r="BM21" s="50"/>
      <c r="BN21" s="51" t="s">
        <v>196</v>
      </c>
    </row>
    <row r="22" customFormat="false" ht="17.25" hidden="false" customHeight="true" outlineLevel="0" collapsed="false">
      <c r="B22" s="270"/>
      <c r="C22" s="85"/>
      <c r="D22" s="80"/>
      <c r="E22" s="44" t="s">
        <v>47</v>
      </c>
      <c r="F22" s="81"/>
      <c r="G22" s="78" t="s">
        <v>155</v>
      </c>
      <c r="H22" s="53"/>
      <c r="I22" s="54" t="s">
        <v>155</v>
      </c>
      <c r="J22" s="49" t="s">
        <v>46</v>
      </c>
      <c r="K22" s="154"/>
      <c r="L22" s="154" t="s">
        <v>46</v>
      </c>
      <c r="M22" s="78" t="s">
        <v>46</v>
      </c>
      <c r="N22" s="53"/>
      <c r="O22" s="153" t="s">
        <v>46</v>
      </c>
      <c r="P22" s="78" t="s">
        <v>46</v>
      </c>
      <c r="Q22" s="53"/>
      <c r="R22" s="54" t="s">
        <v>46</v>
      </c>
      <c r="S22" s="276" t="s">
        <v>179</v>
      </c>
      <c r="T22" s="50"/>
      <c r="U22" s="51" t="s">
        <v>180</v>
      </c>
      <c r="V22" s="277" t="s">
        <v>158</v>
      </c>
      <c r="W22" s="53"/>
      <c r="X22" s="54" t="s">
        <v>159</v>
      </c>
      <c r="Y22" s="280" t="s">
        <v>181</v>
      </c>
      <c r="Z22" s="50"/>
      <c r="AA22" s="57" t="s">
        <v>161</v>
      </c>
      <c r="AB22" s="277" t="s">
        <v>181</v>
      </c>
      <c r="AC22" s="53"/>
      <c r="AD22" s="54" t="s">
        <v>161</v>
      </c>
      <c r="AE22" s="49" t="s">
        <v>182</v>
      </c>
      <c r="AF22" s="50"/>
      <c r="AG22" s="51" t="s">
        <v>183</v>
      </c>
      <c r="AH22" s="78" t="s">
        <v>164</v>
      </c>
      <c r="AI22" s="53"/>
      <c r="AJ22" s="54" t="s">
        <v>165</v>
      </c>
      <c r="AK22" s="283" t="s">
        <v>159</v>
      </c>
      <c r="AL22" s="109"/>
      <c r="AM22" s="187" t="s">
        <v>184</v>
      </c>
      <c r="AN22" s="55" t="s">
        <v>166</v>
      </c>
      <c r="AO22" s="56"/>
      <c r="AP22" s="57" t="s">
        <v>167</v>
      </c>
      <c r="AQ22" s="279" t="s">
        <v>168</v>
      </c>
      <c r="AR22" s="74"/>
      <c r="AS22" s="75" t="s">
        <v>169</v>
      </c>
      <c r="AT22" s="49" t="s">
        <v>185</v>
      </c>
      <c r="AU22" s="50"/>
      <c r="AV22" s="51" t="s">
        <v>171</v>
      </c>
      <c r="AW22" s="78" t="s">
        <v>185</v>
      </c>
      <c r="AX22" s="53"/>
      <c r="AY22" s="54" t="s">
        <v>172</v>
      </c>
      <c r="AZ22" s="49" t="s">
        <v>186</v>
      </c>
      <c r="BA22" s="50"/>
      <c r="BB22" s="51" t="s">
        <v>172</v>
      </c>
      <c r="BC22" s="279" t="s">
        <v>173</v>
      </c>
      <c r="BD22" s="53"/>
      <c r="BE22" s="75" t="s">
        <v>174</v>
      </c>
      <c r="BF22" s="280" t="s">
        <v>187</v>
      </c>
      <c r="BG22" s="50"/>
      <c r="BH22" s="51" t="s">
        <v>188</v>
      </c>
      <c r="BI22" s="282" t="s">
        <v>189</v>
      </c>
      <c r="BJ22" s="53"/>
      <c r="BK22" s="54" t="s">
        <v>190</v>
      </c>
      <c r="BL22" s="280" t="s">
        <v>191</v>
      </c>
      <c r="BM22" s="50"/>
      <c r="BN22" s="51" t="s">
        <v>197</v>
      </c>
    </row>
    <row r="23" customFormat="false" ht="17.25" hidden="false" customHeight="true" outlineLevel="0" collapsed="false">
      <c r="B23" s="270"/>
      <c r="C23" s="85"/>
      <c r="D23" s="80"/>
      <c r="E23" s="44" t="s">
        <v>48</v>
      </c>
      <c r="F23" s="81"/>
      <c r="G23" s="78" t="s">
        <v>155</v>
      </c>
      <c r="H23" s="53"/>
      <c r="I23" s="54" t="s">
        <v>155</v>
      </c>
      <c r="J23" s="49" t="s">
        <v>46</v>
      </c>
      <c r="K23" s="154"/>
      <c r="L23" s="154" t="s">
        <v>46</v>
      </c>
      <c r="M23" s="78" t="s">
        <v>46</v>
      </c>
      <c r="N23" s="53"/>
      <c r="O23" s="153" t="s">
        <v>46</v>
      </c>
      <c r="P23" s="78" t="s">
        <v>46</v>
      </c>
      <c r="Q23" s="53"/>
      <c r="R23" s="54" t="s">
        <v>46</v>
      </c>
      <c r="S23" s="276" t="s">
        <v>179</v>
      </c>
      <c r="T23" s="50"/>
      <c r="U23" s="51" t="s">
        <v>180</v>
      </c>
      <c r="V23" s="277" t="s">
        <v>158</v>
      </c>
      <c r="W23" s="53"/>
      <c r="X23" s="54" t="s">
        <v>159</v>
      </c>
      <c r="Y23" s="280" t="s">
        <v>181</v>
      </c>
      <c r="Z23" s="50"/>
      <c r="AA23" s="57" t="s">
        <v>161</v>
      </c>
      <c r="AB23" s="277" t="s">
        <v>181</v>
      </c>
      <c r="AC23" s="53"/>
      <c r="AD23" s="54" t="s">
        <v>161</v>
      </c>
      <c r="AE23" s="49" t="s">
        <v>182</v>
      </c>
      <c r="AF23" s="50"/>
      <c r="AG23" s="51" t="s">
        <v>183</v>
      </c>
      <c r="AH23" s="78" t="s">
        <v>164</v>
      </c>
      <c r="AI23" s="53"/>
      <c r="AJ23" s="54" t="s">
        <v>165</v>
      </c>
      <c r="AK23" s="283" t="s">
        <v>159</v>
      </c>
      <c r="AL23" s="109"/>
      <c r="AM23" s="187" t="s">
        <v>184</v>
      </c>
      <c r="AN23" s="55" t="s">
        <v>166</v>
      </c>
      <c r="AO23" s="56"/>
      <c r="AP23" s="57" t="s">
        <v>167</v>
      </c>
      <c r="AQ23" s="279" t="s">
        <v>168</v>
      </c>
      <c r="AR23" s="74"/>
      <c r="AS23" s="75" t="s">
        <v>169</v>
      </c>
      <c r="AT23" s="49" t="s">
        <v>185</v>
      </c>
      <c r="AU23" s="50"/>
      <c r="AV23" s="51" t="s">
        <v>171</v>
      </c>
      <c r="AW23" s="78" t="s">
        <v>185</v>
      </c>
      <c r="AX23" s="53"/>
      <c r="AY23" s="54" t="s">
        <v>172</v>
      </c>
      <c r="AZ23" s="49" t="s">
        <v>186</v>
      </c>
      <c r="BA23" s="50"/>
      <c r="BB23" s="51" t="s">
        <v>172</v>
      </c>
      <c r="BC23" s="279" t="s">
        <v>173</v>
      </c>
      <c r="BD23" s="53"/>
      <c r="BE23" s="75" t="s">
        <v>174</v>
      </c>
      <c r="BF23" s="280" t="s">
        <v>187</v>
      </c>
      <c r="BG23" s="50"/>
      <c r="BH23" s="51" t="s">
        <v>188</v>
      </c>
      <c r="BI23" s="282" t="s">
        <v>189</v>
      </c>
      <c r="BJ23" s="53"/>
      <c r="BK23" s="54" t="s">
        <v>190</v>
      </c>
      <c r="BL23" s="280" t="s">
        <v>191</v>
      </c>
      <c r="BM23" s="50"/>
      <c r="BN23" s="51" t="s">
        <v>198</v>
      </c>
    </row>
    <row r="24" customFormat="false" ht="17.25" hidden="false" customHeight="true" outlineLevel="0" collapsed="false">
      <c r="B24" s="270"/>
      <c r="C24" s="85"/>
      <c r="D24" s="80"/>
      <c r="E24" s="44" t="s">
        <v>49</v>
      </c>
      <c r="F24" s="81"/>
      <c r="G24" s="78" t="s">
        <v>155</v>
      </c>
      <c r="H24" s="53"/>
      <c r="I24" s="54" t="s">
        <v>155</v>
      </c>
      <c r="J24" s="49" t="s">
        <v>46</v>
      </c>
      <c r="K24" s="154"/>
      <c r="L24" s="154" t="s">
        <v>46</v>
      </c>
      <c r="M24" s="78" t="s">
        <v>46</v>
      </c>
      <c r="N24" s="53"/>
      <c r="O24" s="153" t="s">
        <v>46</v>
      </c>
      <c r="P24" s="78" t="s">
        <v>46</v>
      </c>
      <c r="Q24" s="53"/>
      <c r="R24" s="54" t="s">
        <v>46</v>
      </c>
      <c r="S24" s="276" t="s">
        <v>179</v>
      </c>
      <c r="T24" s="50"/>
      <c r="U24" s="51" t="s">
        <v>180</v>
      </c>
      <c r="V24" s="277" t="s">
        <v>158</v>
      </c>
      <c r="W24" s="53"/>
      <c r="X24" s="54" t="s">
        <v>159</v>
      </c>
      <c r="Y24" s="280" t="s">
        <v>181</v>
      </c>
      <c r="Z24" s="50"/>
      <c r="AA24" s="57" t="s">
        <v>161</v>
      </c>
      <c r="AB24" s="277" t="s">
        <v>181</v>
      </c>
      <c r="AC24" s="53"/>
      <c r="AD24" s="54" t="s">
        <v>161</v>
      </c>
      <c r="AE24" s="49" t="s">
        <v>182</v>
      </c>
      <c r="AF24" s="50"/>
      <c r="AG24" s="51" t="s">
        <v>183</v>
      </c>
      <c r="AH24" s="78" t="s">
        <v>164</v>
      </c>
      <c r="AI24" s="53"/>
      <c r="AJ24" s="54" t="s">
        <v>165</v>
      </c>
      <c r="AK24" s="283" t="s">
        <v>159</v>
      </c>
      <c r="AL24" s="109"/>
      <c r="AM24" s="187" t="s">
        <v>184</v>
      </c>
      <c r="AN24" s="55" t="s">
        <v>166</v>
      </c>
      <c r="AO24" s="56"/>
      <c r="AP24" s="57" t="s">
        <v>167</v>
      </c>
      <c r="AQ24" s="279" t="s">
        <v>168</v>
      </c>
      <c r="AR24" s="74"/>
      <c r="AS24" s="75" t="s">
        <v>169</v>
      </c>
      <c r="AT24" s="49" t="s">
        <v>185</v>
      </c>
      <c r="AU24" s="50"/>
      <c r="AV24" s="51" t="s">
        <v>171</v>
      </c>
      <c r="AW24" s="78" t="s">
        <v>185</v>
      </c>
      <c r="AX24" s="53"/>
      <c r="AY24" s="54" t="s">
        <v>172</v>
      </c>
      <c r="AZ24" s="49" t="s">
        <v>186</v>
      </c>
      <c r="BA24" s="50"/>
      <c r="BB24" s="51" t="s">
        <v>172</v>
      </c>
      <c r="BC24" s="279" t="s">
        <v>173</v>
      </c>
      <c r="BD24" s="53"/>
      <c r="BE24" s="75" t="s">
        <v>174</v>
      </c>
      <c r="BF24" s="280" t="s">
        <v>187</v>
      </c>
      <c r="BG24" s="50"/>
      <c r="BH24" s="51" t="s">
        <v>188</v>
      </c>
      <c r="BI24" s="282" t="s">
        <v>189</v>
      </c>
      <c r="BJ24" s="53"/>
      <c r="BK24" s="54" t="s">
        <v>190</v>
      </c>
      <c r="BL24" s="280" t="s">
        <v>191</v>
      </c>
      <c r="BM24" s="50"/>
      <c r="BN24" s="51" t="s">
        <v>199</v>
      </c>
    </row>
    <row r="25" customFormat="false" ht="17.25" hidden="false" customHeight="true" outlineLevel="0" collapsed="false">
      <c r="B25" s="270"/>
      <c r="C25" s="85"/>
      <c r="D25" s="80" t="s">
        <v>51</v>
      </c>
      <c r="E25" s="44" t="s">
        <v>45</v>
      </c>
      <c r="F25" s="81"/>
      <c r="G25" s="78" t="s">
        <v>155</v>
      </c>
      <c r="H25" s="53"/>
      <c r="I25" s="54" t="s">
        <v>155</v>
      </c>
      <c r="J25" s="49" t="s">
        <v>46</v>
      </c>
      <c r="K25" s="154"/>
      <c r="L25" s="154" t="s">
        <v>46</v>
      </c>
      <c r="M25" s="78" t="s">
        <v>46</v>
      </c>
      <c r="N25" s="53"/>
      <c r="O25" s="153" t="s">
        <v>46</v>
      </c>
      <c r="P25" s="78" t="s">
        <v>46</v>
      </c>
      <c r="Q25" s="53"/>
      <c r="R25" s="54" t="s">
        <v>46</v>
      </c>
      <c r="S25" s="276" t="s">
        <v>179</v>
      </c>
      <c r="T25" s="50"/>
      <c r="U25" s="51" t="s">
        <v>180</v>
      </c>
      <c r="V25" s="277" t="s">
        <v>158</v>
      </c>
      <c r="W25" s="53"/>
      <c r="X25" s="54" t="s">
        <v>159</v>
      </c>
      <c r="Y25" s="280" t="s">
        <v>181</v>
      </c>
      <c r="Z25" s="50"/>
      <c r="AA25" s="57" t="s">
        <v>161</v>
      </c>
      <c r="AB25" s="277" t="s">
        <v>181</v>
      </c>
      <c r="AC25" s="53"/>
      <c r="AD25" s="54" t="s">
        <v>161</v>
      </c>
      <c r="AE25" s="49" t="s">
        <v>182</v>
      </c>
      <c r="AF25" s="50"/>
      <c r="AG25" s="51" t="s">
        <v>183</v>
      </c>
      <c r="AH25" s="78" t="s">
        <v>176</v>
      </c>
      <c r="AI25" s="53"/>
      <c r="AJ25" s="54" t="s">
        <v>177</v>
      </c>
      <c r="AK25" s="283" t="s">
        <v>159</v>
      </c>
      <c r="AL25" s="109"/>
      <c r="AM25" s="187" t="s">
        <v>184</v>
      </c>
      <c r="AN25" s="55" t="s">
        <v>166</v>
      </c>
      <c r="AO25" s="56"/>
      <c r="AP25" s="57" t="s">
        <v>167</v>
      </c>
      <c r="AQ25" s="279" t="s">
        <v>168</v>
      </c>
      <c r="AR25" s="74"/>
      <c r="AS25" s="75" t="s">
        <v>169</v>
      </c>
      <c r="AT25" s="49" t="s">
        <v>185</v>
      </c>
      <c r="AU25" s="50"/>
      <c r="AV25" s="51" t="s">
        <v>171</v>
      </c>
      <c r="AW25" s="78" t="s">
        <v>185</v>
      </c>
      <c r="AX25" s="53"/>
      <c r="AY25" s="54" t="s">
        <v>172</v>
      </c>
      <c r="AZ25" s="49" t="s">
        <v>186</v>
      </c>
      <c r="BA25" s="50"/>
      <c r="BB25" s="51" t="s">
        <v>172</v>
      </c>
      <c r="BC25" s="279" t="s">
        <v>173</v>
      </c>
      <c r="BD25" s="53"/>
      <c r="BE25" s="75" t="s">
        <v>174</v>
      </c>
      <c r="BF25" s="280" t="s">
        <v>187</v>
      </c>
      <c r="BG25" s="50"/>
      <c r="BH25" s="51" t="s">
        <v>188</v>
      </c>
      <c r="BI25" s="282" t="s">
        <v>189</v>
      </c>
      <c r="BJ25" s="53"/>
      <c r="BK25" s="54" t="s">
        <v>190</v>
      </c>
      <c r="BL25" s="280" t="s">
        <v>191</v>
      </c>
      <c r="BM25" s="50"/>
      <c r="BN25" s="51" t="s">
        <v>200</v>
      </c>
    </row>
    <row r="26" customFormat="false" ht="17.25" hidden="false" customHeight="true" outlineLevel="0" collapsed="false">
      <c r="B26" s="270"/>
      <c r="C26" s="85"/>
      <c r="D26" s="80"/>
      <c r="E26" s="44" t="s">
        <v>47</v>
      </c>
      <c r="F26" s="81"/>
      <c r="G26" s="78" t="s">
        <v>155</v>
      </c>
      <c r="H26" s="53"/>
      <c r="I26" s="54" t="s">
        <v>155</v>
      </c>
      <c r="J26" s="49" t="s">
        <v>46</v>
      </c>
      <c r="K26" s="154"/>
      <c r="L26" s="154" t="s">
        <v>46</v>
      </c>
      <c r="M26" s="78" t="s">
        <v>46</v>
      </c>
      <c r="N26" s="53"/>
      <c r="O26" s="153" t="s">
        <v>46</v>
      </c>
      <c r="P26" s="78" t="s">
        <v>46</v>
      </c>
      <c r="Q26" s="53"/>
      <c r="R26" s="54" t="s">
        <v>46</v>
      </c>
      <c r="S26" s="276" t="s">
        <v>179</v>
      </c>
      <c r="T26" s="50"/>
      <c r="U26" s="51" t="s">
        <v>180</v>
      </c>
      <c r="V26" s="277" t="s">
        <v>158</v>
      </c>
      <c r="W26" s="53"/>
      <c r="X26" s="54" t="s">
        <v>159</v>
      </c>
      <c r="Y26" s="280" t="s">
        <v>181</v>
      </c>
      <c r="Z26" s="50"/>
      <c r="AA26" s="57" t="s">
        <v>161</v>
      </c>
      <c r="AB26" s="277" t="s">
        <v>181</v>
      </c>
      <c r="AC26" s="53"/>
      <c r="AD26" s="54" t="s">
        <v>161</v>
      </c>
      <c r="AE26" s="49" t="s">
        <v>182</v>
      </c>
      <c r="AF26" s="50"/>
      <c r="AG26" s="51" t="s">
        <v>183</v>
      </c>
      <c r="AH26" s="78" t="s">
        <v>176</v>
      </c>
      <c r="AI26" s="53"/>
      <c r="AJ26" s="54" t="s">
        <v>177</v>
      </c>
      <c r="AK26" s="283" t="s">
        <v>159</v>
      </c>
      <c r="AL26" s="109"/>
      <c r="AM26" s="187" t="s">
        <v>184</v>
      </c>
      <c r="AN26" s="55" t="s">
        <v>166</v>
      </c>
      <c r="AO26" s="56"/>
      <c r="AP26" s="57" t="s">
        <v>167</v>
      </c>
      <c r="AQ26" s="279" t="s">
        <v>168</v>
      </c>
      <c r="AR26" s="74"/>
      <c r="AS26" s="75" t="s">
        <v>169</v>
      </c>
      <c r="AT26" s="49" t="s">
        <v>185</v>
      </c>
      <c r="AU26" s="50"/>
      <c r="AV26" s="51" t="s">
        <v>171</v>
      </c>
      <c r="AW26" s="78" t="s">
        <v>185</v>
      </c>
      <c r="AX26" s="53"/>
      <c r="AY26" s="54" t="s">
        <v>172</v>
      </c>
      <c r="AZ26" s="49" t="s">
        <v>186</v>
      </c>
      <c r="BA26" s="50"/>
      <c r="BB26" s="51" t="s">
        <v>172</v>
      </c>
      <c r="BC26" s="279" t="s">
        <v>173</v>
      </c>
      <c r="BD26" s="53"/>
      <c r="BE26" s="75" t="s">
        <v>174</v>
      </c>
      <c r="BF26" s="280" t="s">
        <v>187</v>
      </c>
      <c r="BG26" s="50"/>
      <c r="BH26" s="51" t="s">
        <v>188</v>
      </c>
      <c r="BI26" s="282" t="s">
        <v>189</v>
      </c>
      <c r="BJ26" s="53"/>
      <c r="BK26" s="54" t="s">
        <v>190</v>
      </c>
      <c r="BL26" s="280" t="s">
        <v>191</v>
      </c>
      <c r="BM26" s="50"/>
      <c r="BN26" s="51" t="s">
        <v>201</v>
      </c>
    </row>
    <row r="27" customFormat="false" ht="17.25" hidden="false" customHeight="true" outlineLevel="0" collapsed="false">
      <c r="B27" s="270"/>
      <c r="C27" s="85"/>
      <c r="D27" s="80"/>
      <c r="E27" s="44" t="s">
        <v>48</v>
      </c>
      <c r="F27" s="81"/>
      <c r="G27" s="78" t="s">
        <v>155</v>
      </c>
      <c r="H27" s="53"/>
      <c r="I27" s="54" t="s">
        <v>155</v>
      </c>
      <c r="J27" s="49" t="s">
        <v>46</v>
      </c>
      <c r="K27" s="154"/>
      <c r="L27" s="154" t="s">
        <v>46</v>
      </c>
      <c r="M27" s="78" t="s">
        <v>46</v>
      </c>
      <c r="N27" s="53"/>
      <c r="O27" s="153" t="s">
        <v>46</v>
      </c>
      <c r="P27" s="78" t="s">
        <v>46</v>
      </c>
      <c r="Q27" s="53"/>
      <c r="R27" s="54" t="s">
        <v>46</v>
      </c>
      <c r="S27" s="276" t="s">
        <v>179</v>
      </c>
      <c r="T27" s="50"/>
      <c r="U27" s="51" t="s">
        <v>180</v>
      </c>
      <c r="V27" s="277" t="s">
        <v>158</v>
      </c>
      <c r="W27" s="53"/>
      <c r="X27" s="54" t="s">
        <v>159</v>
      </c>
      <c r="Y27" s="280" t="s">
        <v>181</v>
      </c>
      <c r="Z27" s="50"/>
      <c r="AA27" s="57" t="s">
        <v>161</v>
      </c>
      <c r="AB27" s="277" t="s">
        <v>181</v>
      </c>
      <c r="AC27" s="53"/>
      <c r="AD27" s="54" t="s">
        <v>161</v>
      </c>
      <c r="AE27" s="49" t="s">
        <v>182</v>
      </c>
      <c r="AF27" s="50"/>
      <c r="AG27" s="51" t="s">
        <v>183</v>
      </c>
      <c r="AH27" s="78" t="s">
        <v>176</v>
      </c>
      <c r="AI27" s="53"/>
      <c r="AJ27" s="54" t="s">
        <v>177</v>
      </c>
      <c r="AK27" s="283" t="s">
        <v>159</v>
      </c>
      <c r="AL27" s="109"/>
      <c r="AM27" s="187" t="s">
        <v>184</v>
      </c>
      <c r="AN27" s="55" t="s">
        <v>166</v>
      </c>
      <c r="AO27" s="56"/>
      <c r="AP27" s="57" t="s">
        <v>167</v>
      </c>
      <c r="AQ27" s="279" t="s">
        <v>168</v>
      </c>
      <c r="AR27" s="74"/>
      <c r="AS27" s="75" t="s">
        <v>169</v>
      </c>
      <c r="AT27" s="49" t="s">
        <v>185</v>
      </c>
      <c r="AU27" s="50"/>
      <c r="AV27" s="51" t="s">
        <v>171</v>
      </c>
      <c r="AW27" s="78" t="s">
        <v>185</v>
      </c>
      <c r="AX27" s="53"/>
      <c r="AY27" s="54" t="s">
        <v>172</v>
      </c>
      <c r="AZ27" s="49" t="s">
        <v>186</v>
      </c>
      <c r="BA27" s="50"/>
      <c r="BB27" s="51" t="s">
        <v>172</v>
      </c>
      <c r="BC27" s="279" t="s">
        <v>173</v>
      </c>
      <c r="BD27" s="53"/>
      <c r="BE27" s="75" t="s">
        <v>174</v>
      </c>
      <c r="BF27" s="280" t="s">
        <v>187</v>
      </c>
      <c r="BG27" s="50"/>
      <c r="BH27" s="51" t="s">
        <v>188</v>
      </c>
      <c r="BI27" s="282" t="s">
        <v>189</v>
      </c>
      <c r="BJ27" s="53"/>
      <c r="BK27" s="54" t="s">
        <v>190</v>
      </c>
      <c r="BL27" s="280" t="s">
        <v>191</v>
      </c>
      <c r="BM27" s="50"/>
      <c r="BN27" s="51" t="s">
        <v>202</v>
      </c>
    </row>
    <row r="28" customFormat="false" ht="17.25" hidden="false" customHeight="true" outlineLevel="0" collapsed="false">
      <c r="B28" s="270"/>
      <c r="C28" s="85"/>
      <c r="D28" s="80"/>
      <c r="E28" s="44" t="s">
        <v>49</v>
      </c>
      <c r="F28" s="81"/>
      <c r="G28" s="78" t="s">
        <v>155</v>
      </c>
      <c r="H28" s="53"/>
      <c r="I28" s="54" t="s">
        <v>155</v>
      </c>
      <c r="J28" s="49" t="s">
        <v>46</v>
      </c>
      <c r="K28" s="154"/>
      <c r="L28" s="154" t="s">
        <v>46</v>
      </c>
      <c r="M28" s="78" t="s">
        <v>46</v>
      </c>
      <c r="N28" s="53"/>
      <c r="O28" s="153" t="s">
        <v>46</v>
      </c>
      <c r="P28" s="78" t="s">
        <v>46</v>
      </c>
      <c r="Q28" s="53"/>
      <c r="R28" s="54" t="s">
        <v>46</v>
      </c>
      <c r="S28" s="276" t="s">
        <v>179</v>
      </c>
      <c r="T28" s="50"/>
      <c r="U28" s="51" t="s">
        <v>180</v>
      </c>
      <c r="V28" s="277" t="s">
        <v>158</v>
      </c>
      <c r="W28" s="53"/>
      <c r="X28" s="54" t="s">
        <v>159</v>
      </c>
      <c r="Y28" s="280" t="s">
        <v>181</v>
      </c>
      <c r="Z28" s="50"/>
      <c r="AA28" s="57" t="s">
        <v>161</v>
      </c>
      <c r="AB28" s="277" t="s">
        <v>181</v>
      </c>
      <c r="AC28" s="53"/>
      <c r="AD28" s="54" t="s">
        <v>161</v>
      </c>
      <c r="AE28" s="49" t="s">
        <v>182</v>
      </c>
      <c r="AF28" s="50"/>
      <c r="AG28" s="51" t="s">
        <v>183</v>
      </c>
      <c r="AH28" s="78" t="s">
        <v>176</v>
      </c>
      <c r="AI28" s="53"/>
      <c r="AJ28" s="54" t="s">
        <v>177</v>
      </c>
      <c r="AK28" s="283" t="s">
        <v>159</v>
      </c>
      <c r="AL28" s="109"/>
      <c r="AM28" s="187" t="s">
        <v>184</v>
      </c>
      <c r="AN28" s="55" t="s">
        <v>166</v>
      </c>
      <c r="AO28" s="56"/>
      <c r="AP28" s="57" t="s">
        <v>167</v>
      </c>
      <c r="AQ28" s="279" t="s">
        <v>168</v>
      </c>
      <c r="AR28" s="74"/>
      <c r="AS28" s="75" t="s">
        <v>169</v>
      </c>
      <c r="AT28" s="49" t="s">
        <v>185</v>
      </c>
      <c r="AU28" s="50"/>
      <c r="AV28" s="51" t="s">
        <v>171</v>
      </c>
      <c r="AW28" s="78" t="s">
        <v>185</v>
      </c>
      <c r="AX28" s="53"/>
      <c r="AY28" s="54" t="s">
        <v>172</v>
      </c>
      <c r="AZ28" s="49" t="s">
        <v>186</v>
      </c>
      <c r="BA28" s="50"/>
      <c r="BB28" s="51" t="s">
        <v>172</v>
      </c>
      <c r="BC28" s="279" t="s">
        <v>173</v>
      </c>
      <c r="BD28" s="53"/>
      <c r="BE28" s="75" t="s">
        <v>174</v>
      </c>
      <c r="BF28" s="280" t="s">
        <v>187</v>
      </c>
      <c r="BG28" s="50"/>
      <c r="BH28" s="51" t="s">
        <v>188</v>
      </c>
      <c r="BI28" s="282" t="s">
        <v>189</v>
      </c>
      <c r="BJ28" s="53"/>
      <c r="BK28" s="54" t="s">
        <v>190</v>
      </c>
      <c r="BL28" s="280" t="s">
        <v>191</v>
      </c>
      <c r="BM28" s="50"/>
      <c r="BN28" s="51" t="s">
        <v>203</v>
      </c>
    </row>
    <row r="29" customFormat="false" ht="17.25" hidden="false" customHeight="true" outlineLevel="0" collapsed="false">
      <c r="B29" s="270"/>
      <c r="C29" s="85" t="s">
        <v>204</v>
      </c>
      <c r="D29" s="80" t="s">
        <v>44</v>
      </c>
      <c r="E29" s="44" t="s">
        <v>45</v>
      </c>
      <c r="F29" s="91"/>
      <c r="G29" s="78" t="s">
        <v>155</v>
      </c>
      <c r="H29" s="53"/>
      <c r="I29" s="54" t="s">
        <v>155</v>
      </c>
      <c r="J29" s="49" t="s">
        <v>46</v>
      </c>
      <c r="K29" s="154"/>
      <c r="L29" s="154" t="s">
        <v>46</v>
      </c>
      <c r="M29" s="78" t="s">
        <v>46</v>
      </c>
      <c r="N29" s="53"/>
      <c r="O29" s="153" t="s">
        <v>46</v>
      </c>
      <c r="P29" s="78" t="s">
        <v>46</v>
      </c>
      <c r="Q29" s="53"/>
      <c r="R29" s="54" t="s">
        <v>46</v>
      </c>
      <c r="S29" s="276" t="s">
        <v>179</v>
      </c>
      <c r="T29" s="50"/>
      <c r="U29" s="51" t="s">
        <v>180</v>
      </c>
      <c r="V29" s="277" t="s">
        <v>158</v>
      </c>
      <c r="W29" s="53"/>
      <c r="X29" s="54" t="s">
        <v>159</v>
      </c>
      <c r="Y29" s="280" t="s">
        <v>181</v>
      </c>
      <c r="Z29" s="50"/>
      <c r="AA29" s="57" t="s">
        <v>161</v>
      </c>
      <c r="AB29" s="277" t="s">
        <v>181</v>
      </c>
      <c r="AC29" s="53"/>
      <c r="AD29" s="54" t="s">
        <v>161</v>
      </c>
      <c r="AE29" s="49" t="s">
        <v>182</v>
      </c>
      <c r="AF29" s="50"/>
      <c r="AG29" s="51" t="s">
        <v>183</v>
      </c>
      <c r="AH29" s="78" t="s">
        <v>164</v>
      </c>
      <c r="AI29" s="53"/>
      <c r="AJ29" s="54" t="s">
        <v>165</v>
      </c>
      <c r="AK29" s="283" t="s">
        <v>159</v>
      </c>
      <c r="AL29" s="109"/>
      <c r="AM29" s="187" t="s">
        <v>184</v>
      </c>
      <c r="AN29" s="55" t="s">
        <v>166</v>
      </c>
      <c r="AO29" s="50"/>
      <c r="AP29" s="51" t="s">
        <v>205</v>
      </c>
      <c r="AQ29" s="279" t="s">
        <v>169</v>
      </c>
      <c r="AR29" s="74"/>
      <c r="AS29" s="75" t="s">
        <v>206</v>
      </c>
      <c r="AT29" s="49" t="s">
        <v>185</v>
      </c>
      <c r="AU29" s="50"/>
      <c r="AV29" s="51" t="s">
        <v>171</v>
      </c>
      <c r="AW29" s="78" t="s">
        <v>185</v>
      </c>
      <c r="AX29" s="53"/>
      <c r="AY29" s="54" t="s">
        <v>172</v>
      </c>
      <c r="AZ29" s="49" t="s">
        <v>186</v>
      </c>
      <c r="BA29" s="50"/>
      <c r="BB29" s="51" t="s">
        <v>172</v>
      </c>
      <c r="BC29" s="277" t="s">
        <v>174</v>
      </c>
      <c r="BD29" s="53"/>
      <c r="BE29" s="75" t="s">
        <v>174</v>
      </c>
      <c r="BF29" s="280" t="s">
        <v>187</v>
      </c>
      <c r="BG29" s="50"/>
      <c r="BH29" s="51" t="s">
        <v>188</v>
      </c>
      <c r="BI29" s="282" t="s">
        <v>189</v>
      </c>
      <c r="BJ29" s="53"/>
      <c r="BK29" s="54" t="s">
        <v>190</v>
      </c>
      <c r="BL29" s="280" t="s">
        <v>191</v>
      </c>
      <c r="BM29" s="50"/>
      <c r="BN29" s="51" t="s">
        <v>207</v>
      </c>
    </row>
    <row r="30" customFormat="false" ht="17.25" hidden="false" customHeight="true" outlineLevel="0" collapsed="false">
      <c r="B30" s="270"/>
      <c r="C30" s="85"/>
      <c r="D30" s="80"/>
      <c r="E30" s="44" t="s">
        <v>47</v>
      </c>
      <c r="F30" s="91"/>
      <c r="G30" s="78" t="s">
        <v>155</v>
      </c>
      <c r="H30" s="53"/>
      <c r="I30" s="54" t="s">
        <v>155</v>
      </c>
      <c r="J30" s="49" t="s">
        <v>46</v>
      </c>
      <c r="K30" s="154"/>
      <c r="L30" s="154" t="s">
        <v>46</v>
      </c>
      <c r="M30" s="78" t="s">
        <v>46</v>
      </c>
      <c r="N30" s="53"/>
      <c r="O30" s="153" t="s">
        <v>46</v>
      </c>
      <c r="P30" s="78" t="s">
        <v>46</v>
      </c>
      <c r="Q30" s="53"/>
      <c r="R30" s="54" t="s">
        <v>46</v>
      </c>
      <c r="S30" s="276" t="s">
        <v>179</v>
      </c>
      <c r="T30" s="50"/>
      <c r="U30" s="51" t="s">
        <v>180</v>
      </c>
      <c r="V30" s="277" t="s">
        <v>158</v>
      </c>
      <c r="W30" s="53"/>
      <c r="X30" s="54" t="s">
        <v>159</v>
      </c>
      <c r="Y30" s="280" t="s">
        <v>181</v>
      </c>
      <c r="Z30" s="50"/>
      <c r="AA30" s="57" t="s">
        <v>161</v>
      </c>
      <c r="AB30" s="277" t="s">
        <v>181</v>
      </c>
      <c r="AC30" s="53"/>
      <c r="AD30" s="54" t="s">
        <v>161</v>
      </c>
      <c r="AE30" s="49" t="s">
        <v>182</v>
      </c>
      <c r="AF30" s="50"/>
      <c r="AG30" s="51" t="s">
        <v>183</v>
      </c>
      <c r="AH30" s="78" t="s">
        <v>164</v>
      </c>
      <c r="AI30" s="53"/>
      <c r="AJ30" s="54" t="s">
        <v>165</v>
      </c>
      <c r="AK30" s="283" t="s">
        <v>159</v>
      </c>
      <c r="AL30" s="109"/>
      <c r="AM30" s="187" t="s">
        <v>184</v>
      </c>
      <c r="AN30" s="55" t="s">
        <v>166</v>
      </c>
      <c r="AO30" s="50"/>
      <c r="AP30" s="51" t="s">
        <v>205</v>
      </c>
      <c r="AQ30" s="279" t="s">
        <v>169</v>
      </c>
      <c r="AR30" s="74"/>
      <c r="AS30" s="75" t="s">
        <v>206</v>
      </c>
      <c r="AT30" s="49" t="s">
        <v>185</v>
      </c>
      <c r="AU30" s="50"/>
      <c r="AV30" s="51" t="s">
        <v>171</v>
      </c>
      <c r="AW30" s="78" t="s">
        <v>185</v>
      </c>
      <c r="AX30" s="53"/>
      <c r="AY30" s="54" t="s">
        <v>172</v>
      </c>
      <c r="AZ30" s="49" t="s">
        <v>186</v>
      </c>
      <c r="BA30" s="50"/>
      <c r="BB30" s="51" t="s">
        <v>172</v>
      </c>
      <c r="BC30" s="277" t="s">
        <v>174</v>
      </c>
      <c r="BD30" s="53"/>
      <c r="BE30" s="75" t="s">
        <v>174</v>
      </c>
      <c r="BF30" s="280" t="s">
        <v>187</v>
      </c>
      <c r="BG30" s="50"/>
      <c r="BH30" s="51" t="s">
        <v>188</v>
      </c>
      <c r="BI30" s="282" t="s">
        <v>189</v>
      </c>
      <c r="BJ30" s="53"/>
      <c r="BK30" s="54" t="s">
        <v>190</v>
      </c>
      <c r="BL30" s="280" t="s">
        <v>191</v>
      </c>
      <c r="BM30" s="50"/>
      <c r="BN30" s="51" t="s">
        <v>208</v>
      </c>
    </row>
    <row r="31" customFormat="false" ht="17.25" hidden="false" customHeight="true" outlineLevel="0" collapsed="false">
      <c r="B31" s="270"/>
      <c r="C31" s="85"/>
      <c r="D31" s="80"/>
      <c r="E31" s="44" t="s">
        <v>48</v>
      </c>
      <c r="F31" s="91"/>
      <c r="G31" s="78" t="s">
        <v>155</v>
      </c>
      <c r="H31" s="53"/>
      <c r="I31" s="54" t="s">
        <v>155</v>
      </c>
      <c r="J31" s="49" t="s">
        <v>46</v>
      </c>
      <c r="K31" s="154"/>
      <c r="L31" s="154" t="s">
        <v>46</v>
      </c>
      <c r="M31" s="78" t="s">
        <v>46</v>
      </c>
      <c r="N31" s="53"/>
      <c r="O31" s="153" t="s">
        <v>46</v>
      </c>
      <c r="P31" s="78" t="s">
        <v>46</v>
      </c>
      <c r="Q31" s="53"/>
      <c r="R31" s="54" t="s">
        <v>46</v>
      </c>
      <c r="S31" s="276" t="s">
        <v>179</v>
      </c>
      <c r="T31" s="50"/>
      <c r="U31" s="51" t="s">
        <v>180</v>
      </c>
      <c r="V31" s="277" t="s">
        <v>158</v>
      </c>
      <c r="W31" s="53"/>
      <c r="X31" s="54" t="s">
        <v>159</v>
      </c>
      <c r="Y31" s="280" t="s">
        <v>181</v>
      </c>
      <c r="Z31" s="50"/>
      <c r="AA31" s="57" t="s">
        <v>161</v>
      </c>
      <c r="AB31" s="277" t="s">
        <v>181</v>
      </c>
      <c r="AC31" s="53"/>
      <c r="AD31" s="54" t="s">
        <v>161</v>
      </c>
      <c r="AE31" s="49" t="s">
        <v>182</v>
      </c>
      <c r="AF31" s="50"/>
      <c r="AG31" s="51" t="s">
        <v>183</v>
      </c>
      <c r="AH31" s="78" t="s">
        <v>164</v>
      </c>
      <c r="AI31" s="53"/>
      <c r="AJ31" s="54" t="s">
        <v>165</v>
      </c>
      <c r="AK31" s="283" t="s">
        <v>159</v>
      </c>
      <c r="AL31" s="109"/>
      <c r="AM31" s="187" t="s">
        <v>184</v>
      </c>
      <c r="AN31" s="55" t="s">
        <v>166</v>
      </c>
      <c r="AO31" s="50"/>
      <c r="AP31" s="51" t="s">
        <v>205</v>
      </c>
      <c r="AQ31" s="279" t="s">
        <v>169</v>
      </c>
      <c r="AR31" s="74"/>
      <c r="AS31" s="75" t="s">
        <v>206</v>
      </c>
      <c r="AT31" s="49" t="s">
        <v>185</v>
      </c>
      <c r="AU31" s="50"/>
      <c r="AV31" s="51" t="s">
        <v>171</v>
      </c>
      <c r="AW31" s="78" t="s">
        <v>185</v>
      </c>
      <c r="AX31" s="53"/>
      <c r="AY31" s="54" t="s">
        <v>172</v>
      </c>
      <c r="AZ31" s="49" t="s">
        <v>186</v>
      </c>
      <c r="BA31" s="50"/>
      <c r="BB31" s="51" t="s">
        <v>172</v>
      </c>
      <c r="BC31" s="277" t="s">
        <v>174</v>
      </c>
      <c r="BD31" s="53"/>
      <c r="BE31" s="75" t="s">
        <v>174</v>
      </c>
      <c r="BF31" s="280" t="s">
        <v>187</v>
      </c>
      <c r="BG31" s="50"/>
      <c r="BH31" s="51" t="s">
        <v>188</v>
      </c>
      <c r="BI31" s="282" t="s">
        <v>189</v>
      </c>
      <c r="BJ31" s="53"/>
      <c r="BK31" s="54" t="s">
        <v>190</v>
      </c>
      <c r="BL31" s="280" t="s">
        <v>191</v>
      </c>
      <c r="BM31" s="50"/>
      <c r="BN31" s="51" t="s">
        <v>209</v>
      </c>
    </row>
    <row r="32" customFormat="false" ht="17.25" hidden="false" customHeight="true" outlineLevel="0" collapsed="false">
      <c r="B32" s="270"/>
      <c r="C32" s="85"/>
      <c r="D32" s="80"/>
      <c r="E32" s="44" t="s">
        <v>49</v>
      </c>
      <c r="F32" s="91"/>
      <c r="G32" s="78" t="s">
        <v>155</v>
      </c>
      <c r="H32" s="53"/>
      <c r="I32" s="54" t="s">
        <v>155</v>
      </c>
      <c r="J32" s="49" t="s">
        <v>46</v>
      </c>
      <c r="K32" s="154"/>
      <c r="L32" s="154" t="s">
        <v>46</v>
      </c>
      <c r="M32" s="78" t="s">
        <v>46</v>
      </c>
      <c r="N32" s="53"/>
      <c r="O32" s="153" t="s">
        <v>46</v>
      </c>
      <c r="P32" s="78" t="s">
        <v>46</v>
      </c>
      <c r="Q32" s="53"/>
      <c r="R32" s="54" t="s">
        <v>46</v>
      </c>
      <c r="S32" s="276" t="s">
        <v>179</v>
      </c>
      <c r="T32" s="50"/>
      <c r="U32" s="51" t="s">
        <v>180</v>
      </c>
      <c r="V32" s="277" t="s">
        <v>158</v>
      </c>
      <c r="W32" s="53"/>
      <c r="X32" s="54" t="s">
        <v>159</v>
      </c>
      <c r="Y32" s="280" t="s">
        <v>181</v>
      </c>
      <c r="Z32" s="50"/>
      <c r="AA32" s="57" t="s">
        <v>161</v>
      </c>
      <c r="AB32" s="277" t="s">
        <v>181</v>
      </c>
      <c r="AC32" s="53"/>
      <c r="AD32" s="54" t="s">
        <v>161</v>
      </c>
      <c r="AE32" s="49" t="s">
        <v>182</v>
      </c>
      <c r="AF32" s="50"/>
      <c r="AG32" s="51" t="s">
        <v>183</v>
      </c>
      <c r="AH32" s="78" t="s">
        <v>164</v>
      </c>
      <c r="AI32" s="53"/>
      <c r="AJ32" s="54" t="s">
        <v>165</v>
      </c>
      <c r="AK32" s="283" t="s">
        <v>159</v>
      </c>
      <c r="AL32" s="109"/>
      <c r="AM32" s="187" t="s">
        <v>184</v>
      </c>
      <c r="AN32" s="55" t="s">
        <v>166</v>
      </c>
      <c r="AO32" s="50"/>
      <c r="AP32" s="51" t="s">
        <v>205</v>
      </c>
      <c r="AQ32" s="279" t="s">
        <v>169</v>
      </c>
      <c r="AR32" s="74"/>
      <c r="AS32" s="75" t="s">
        <v>206</v>
      </c>
      <c r="AT32" s="49" t="s">
        <v>185</v>
      </c>
      <c r="AU32" s="50"/>
      <c r="AV32" s="51" t="s">
        <v>171</v>
      </c>
      <c r="AW32" s="78" t="s">
        <v>185</v>
      </c>
      <c r="AX32" s="53"/>
      <c r="AY32" s="54" t="s">
        <v>172</v>
      </c>
      <c r="AZ32" s="49" t="s">
        <v>186</v>
      </c>
      <c r="BA32" s="50"/>
      <c r="BB32" s="51" t="s">
        <v>172</v>
      </c>
      <c r="BC32" s="277" t="s">
        <v>174</v>
      </c>
      <c r="BD32" s="53"/>
      <c r="BE32" s="75" t="s">
        <v>174</v>
      </c>
      <c r="BF32" s="280" t="s">
        <v>187</v>
      </c>
      <c r="BG32" s="50"/>
      <c r="BH32" s="51" t="s">
        <v>188</v>
      </c>
      <c r="BI32" s="282" t="s">
        <v>189</v>
      </c>
      <c r="BJ32" s="53"/>
      <c r="BK32" s="54" t="s">
        <v>190</v>
      </c>
      <c r="BL32" s="280" t="s">
        <v>191</v>
      </c>
      <c r="BM32" s="50"/>
      <c r="BN32" s="51" t="s">
        <v>210</v>
      </c>
    </row>
    <row r="33" customFormat="false" ht="17.25" hidden="false" customHeight="true" outlineLevel="0" collapsed="false">
      <c r="B33" s="270"/>
      <c r="C33" s="85"/>
      <c r="D33" s="80" t="s">
        <v>55</v>
      </c>
      <c r="E33" s="44" t="s">
        <v>45</v>
      </c>
      <c r="F33" s="91"/>
      <c r="G33" s="78" t="s">
        <v>155</v>
      </c>
      <c r="H33" s="53"/>
      <c r="I33" s="54" t="s">
        <v>155</v>
      </c>
      <c r="J33" s="49" t="s">
        <v>46</v>
      </c>
      <c r="K33" s="154"/>
      <c r="L33" s="154" t="s">
        <v>46</v>
      </c>
      <c r="M33" s="78" t="s">
        <v>46</v>
      </c>
      <c r="N33" s="53"/>
      <c r="O33" s="153" t="s">
        <v>46</v>
      </c>
      <c r="P33" s="78" t="s">
        <v>46</v>
      </c>
      <c r="Q33" s="53"/>
      <c r="R33" s="54" t="s">
        <v>46</v>
      </c>
      <c r="S33" s="276" t="s">
        <v>179</v>
      </c>
      <c r="T33" s="50"/>
      <c r="U33" s="51" t="s">
        <v>180</v>
      </c>
      <c r="V33" s="277" t="s">
        <v>158</v>
      </c>
      <c r="W33" s="53"/>
      <c r="X33" s="54" t="s">
        <v>159</v>
      </c>
      <c r="Y33" s="280" t="s">
        <v>181</v>
      </c>
      <c r="Z33" s="50"/>
      <c r="AA33" s="57" t="s">
        <v>161</v>
      </c>
      <c r="AB33" s="277" t="s">
        <v>181</v>
      </c>
      <c r="AC33" s="53"/>
      <c r="AD33" s="54" t="s">
        <v>161</v>
      </c>
      <c r="AE33" s="49" t="s">
        <v>182</v>
      </c>
      <c r="AF33" s="50"/>
      <c r="AG33" s="51" t="s">
        <v>183</v>
      </c>
      <c r="AH33" s="78" t="s">
        <v>164</v>
      </c>
      <c r="AI33" s="53"/>
      <c r="AJ33" s="54" t="s">
        <v>165</v>
      </c>
      <c r="AK33" s="283" t="s">
        <v>159</v>
      </c>
      <c r="AL33" s="109"/>
      <c r="AM33" s="187" t="s">
        <v>184</v>
      </c>
      <c r="AN33" s="55" t="s">
        <v>166</v>
      </c>
      <c r="AO33" s="50"/>
      <c r="AP33" s="51" t="s">
        <v>205</v>
      </c>
      <c r="AQ33" s="279" t="s">
        <v>169</v>
      </c>
      <c r="AR33" s="74"/>
      <c r="AS33" s="75" t="s">
        <v>206</v>
      </c>
      <c r="AT33" s="49" t="s">
        <v>185</v>
      </c>
      <c r="AU33" s="50"/>
      <c r="AV33" s="51" t="s">
        <v>171</v>
      </c>
      <c r="AW33" s="78" t="s">
        <v>185</v>
      </c>
      <c r="AX33" s="53"/>
      <c r="AY33" s="54" t="s">
        <v>172</v>
      </c>
      <c r="AZ33" s="49" t="s">
        <v>186</v>
      </c>
      <c r="BA33" s="50"/>
      <c r="BB33" s="51" t="s">
        <v>172</v>
      </c>
      <c r="BC33" s="277" t="s">
        <v>174</v>
      </c>
      <c r="BD33" s="53"/>
      <c r="BE33" s="75" t="s">
        <v>174</v>
      </c>
      <c r="BF33" s="280" t="s">
        <v>187</v>
      </c>
      <c r="BG33" s="50"/>
      <c r="BH33" s="51" t="s">
        <v>188</v>
      </c>
      <c r="BI33" s="282" t="s">
        <v>189</v>
      </c>
      <c r="BJ33" s="53"/>
      <c r="BK33" s="54" t="s">
        <v>190</v>
      </c>
      <c r="BL33" s="280" t="s">
        <v>191</v>
      </c>
      <c r="BM33" s="50"/>
      <c r="BN33" s="51" t="s">
        <v>211</v>
      </c>
    </row>
    <row r="34" customFormat="false" ht="17.25" hidden="false" customHeight="true" outlineLevel="0" collapsed="false">
      <c r="B34" s="270"/>
      <c r="C34" s="85"/>
      <c r="D34" s="80"/>
      <c r="E34" s="44" t="s">
        <v>47</v>
      </c>
      <c r="F34" s="91"/>
      <c r="G34" s="78" t="s">
        <v>155</v>
      </c>
      <c r="H34" s="53"/>
      <c r="I34" s="54" t="s">
        <v>155</v>
      </c>
      <c r="J34" s="49" t="s">
        <v>46</v>
      </c>
      <c r="K34" s="154"/>
      <c r="L34" s="154" t="s">
        <v>46</v>
      </c>
      <c r="M34" s="78" t="s">
        <v>46</v>
      </c>
      <c r="N34" s="53"/>
      <c r="O34" s="153" t="s">
        <v>46</v>
      </c>
      <c r="P34" s="78" t="s">
        <v>46</v>
      </c>
      <c r="Q34" s="53"/>
      <c r="R34" s="54" t="s">
        <v>46</v>
      </c>
      <c r="S34" s="276" t="s">
        <v>179</v>
      </c>
      <c r="T34" s="50"/>
      <c r="U34" s="51" t="s">
        <v>180</v>
      </c>
      <c r="V34" s="277" t="s">
        <v>158</v>
      </c>
      <c r="W34" s="53"/>
      <c r="X34" s="54" t="s">
        <v>159</v>
      </c>
      <c r="Y34" s="280" t="s">
        <v>181</v>
      </c>
      <c r="Z34" s="50"/>
      <c r="AA34" s="57" t="s">
        <v>161</v>
      </c>
      <c r="AB34" s="277" t="s">
        <v>181</v>
      </c>
      <c r="AC34" s="53"/>
      <c r="AD34" s="54" t="s">
        <v>161</v>
      </c>
      <c r="AE34" s="49" t="s">
        <v>182</v>
      </c>
      <c r="AF34" s="50"/>
      <c r="AG34" s="51" t="s">
        <v>183</v>
      </c>
      <c r="AH34" s="78" t="s">
        <v>164</v>
      </c>
      <c r="AI34" s="53"/>
      <c r="AJ34" s="54" t="s">
        <v>165</v>
      </c>
      <c r="AK34" s="283" t="s">
        <v>159</v>
      </c>
      <c r="AL34" s="109"/>
      <c r="AM34" s="187" t="s">
        <v>184</v>
      </c>
      <c r="AN34" s="55" t="s">
        <v>166</v>
      </c>
      <c r="AO34" s="50"/>
      <c r="AP34" s="51" t="s">
        <v>205</v>
      </c>
      <c r="AQ34" s="279" t="s">
        <v>169</v>
      </c>
      <c r="AR34" s="74"/>
      <c r="AS34" s="75" t="s">
        <v>206</v>
      </c>
      <c r="AT34" s="49" t="s">
        <v>185</v>
      </c>
      <c r="AU34" s="50"/>
      <c r="AV34" s="51" t="s">
        <v>171</v>
      </c>
      <c r="AW34" s="78" t="s">
        <v>185</v>
      </c>
      <c r="AX34" s="53"/>
      <c r="AY34" s="54" t="s">
        <v>172</v>
      </c>
      <c r="AZ34" s="49" t="s">
        <v>186</v>
      </c>
      <c r="BA34" s="50"/>
      <c r="BB34" s="51" t="s">
        <v>172</v>
      </c>
      <c r="BC34" s="277" t="s">
        <v>174</v>
      </c>
      <c r="BD34" s="53"/>
      <c r="BE34" s="75" t="s">
        <v>174</v>
      </c>
      <c r="BF34" s="280" t="s">
        <v>187</v>
      </c>
      <c r="BG34" s="50"/>
      <c r="BH34" s="51" t="s">
        <v>188</v>
      </c>
      <c r="BI34" s="282" t="s">
        <v>189</v>
      </c>
      <c r="BJ34" s="53"/>
      <c r="BK34" s="54" t="s">
        <v>190</v>
      </c>
      <c r="BL34" s="280" t="s">
        <v>191</v>
      </c>
      <c r="BM34" s="50"/>
      <c r="BN34" s="51" t="s">
        <v>212</v>
      </c>
    </row>
    <row r="35" customFormat="false" ht="17.25" hidden="false" customHeight="true" outlineLevel="0" collapsed="false">
      <c r="B35" s="270"/>
      <c r="C35" s="85"/>
      <c r="D35" s="80"/>
      <c r="E35" s="44" t="s">
        <v>48</v>
      </c>
      <c r="F35" s="91"/>
      <c r="G35" s="78" t="s">
        <v>155</v>
      </c>
      <c r="H35" s="53"/>
      <c r="I35" s="54" t="s">
        <v>155</v>
      </c>
      <c r="J35" s="49" t="s">
        <v>46</v>
      </c>
      <c r="K35" s="154"/>
      <c r="L35" s="154" t="s">
        <v>46</v>
      </c>
      <c r="M35" s="78" t="s">
        <v>46</v>
      </c>
      <c r="N35" s="53"/>
      <c r="O35" s="153" t="s">
        <v>46</v>
      </c>
      <c r="P35" s="78" t="s">
        <v>46</v>
      </c>
      <c r="Q35" s="53"/>
      <c r="R35" s="54" t="s">
        <v>46</v>
      </c>
      <c r="S35" s="276" t="s">
        <v>179</v>
      </c>
      <c r="T35" s="50"/>
      <c r="U35" s="51" t="s">
        <v>180</v>
      </c>
      <c r="V35" s="277" t="s">
        <v>158</v>
      </c>
      <c r="W35" s="53"/>
      <c r="X35" s="54" t="s">
        <v>159</v>
      </c>
      <c r="Y35" s="280" t="s">
        <v>181</v>
      </c>
      <c r="Z35" s="50"/>
      <c r="AA35" s="57" t="s">
        <v>161</v>
      </c>
      <c r="AB35" s="277" t="s">
        <v>181</v>
      </c>
      <c r="AC35" s="53"/>
      <c r="AD35" s="54" t="s">
        <v>161</v>
      </c>
      <c r="AE35" s="49" t="s">
        <v>182</v>
      </c>
      <c r="AF35" s="50"/>
      <c r="AG35" s="51" t="s">
        <v>183</v>
      </c>
      <c r="AH35" s="78" t="s">
        <v>164</v>
      </c>
      <c r="AI35" s="53"/>
      <c r="AJ35" s="54" t="s">
        <v>165</v>
      </c>
      <c r="AK35" s="283" t="s">
        <v>159</v>
      </c>
      <c r="AL35" s="109"/>
      <c r="AM35" s="187" t="s">
        <v>184</v>
      </c>
      <c r="AN35" s="55" t="s">
        <v>166</v>
      </c>
      <c r="AO35" s="50"/>
      <c r="AP35" s="51" t="s">
        <v>205</v>
      </c>
      <c r="AQ35" s="279" t="s">
        <v>169</v>
      </c>
      <c r="AR35" s="74"/>
      <c r="AS35" s="75" t="s">
        <v>206</v>
      </c>
      <c r="AT35" s="49" t="s">
        <v>185</v>
      </c>
      <c r="AU35" s="50"/>
      <c r="AV35" s="51" t="s">
        <v>171</v>
      </c>
      <c r="AW35" s="78" t="s">
        <v>185</v>
      </c>
      <c r="AX35" s="53"/>
      <c r="AY35" s="54" t="s">
        <v>172</v>
      </c>
      <c r="AZ35" s="49" t="s">
        <v>186</v>
      </c>
      <c r="BA35" s="50"/>
      <c r="BB35" s="51" t="s">
        <v>172</v>
      </c>
      <c r="BC35" s="277" t="s">
        <v>174</v>
      </c>
      <c r="BD35" s="53"/>
      <c r="BE35" s="75" t="s">
        <v>174</v>
      </c>
      <c r="BF35" s="280" t="s">
        <v>187</v>
      </c>
      <c r="BG35" s="50"/>
      <c r="BH35" s="51" t="s">
        <v>188</v>
      </c>
      <c r="BI35" s="282" t="s">
        <v>189</v>
      </c>
      <c r="BJ35" s="53"/>
      <c r="BK35" s="54" t="s">
        <v>190</v>
      </c>
      <c r="BL35" s="280" t="s">
        <v>191</v>
      </c>
      <c r="BM35" s="50"/>
      <c r="BN35" s="51" t="s">
        <v>213</v>
      </c>
    </row>
    <row r="36" customFormat="false" ht="17.25" hidden="false" customHeight="true" outlineLevel="0" collapsed="false">
      <c r="B36" s="270"/>
      <c r="C36" s="85"/>
      <c r="D36" s="80"/>
      <c r="E36" s="44" t="s">
        <v>49</v>
      </c>
      <c r="F36" s="91"/>
      <c r="G36" s="78" t="s">
        <v>155</v>
      </c>
      <c r="H36" s="53"/>
      <c r="I36" s="54" t="s">
        <v>155</v>
      </c>
      <c r="J36" s="49" t="s">
        <v>46</v>
      </c>
      <c r="K36" s="154"/>
      <c r="L36" s="154" t="s">
        <v>46</v>
      </c>
      <c r="M36" s="78" t="s">
        <v>46</v>
      </c>
      <c r="N36" s="53"/>
      <c r="O36" s="153" t="s">
        <v>46</v>
      </c>
      <c r="P36" s="78" t="s">
        <v>46</v>
      </c>
      <c r="Q36" s="53"/>
      <c r="R36" s="54" t="s">
        <v>46</v>
      </c>
      <c r="S36" s="276" t="s">
        <v>179</v>
      </c>
      <c r="T36" s="50"/>
      <c r="U36" s="51" t="s">
        <v>180</v>
      </c>
      <c r="V36" s="277" t="s">
        <v>158</v>
      </c>
      <c r="W36" s="53"/>
      <c r="X36" s="54" t="s">
        <v>159</v>
      </c>
      <c r="Y36" s="280" t="s">
        <v>181</v>
      </c>
      <c r="Z36" s="50"/>
      <c r="AA36" s="57" t="s">
        <v>161</v>
      </c>
      <c r="AB36" s="277" t="s">
        <v>181</v>
      </c>
      <c r="AC36" s="53"/>
      <c r="AD36" s="54" t="s">
        <v>161</v>
      </c>
      <c r="AE36" s="49" t="s">
        <v>182</v>
      </c>
      <c r="AF36" s="50"/>
      <c r="AG36" s="51" t="s">
        <v>183</v>
      </c>
      <c r="AH36" s="78" t="s">
        <v>164</v>
      </c>
      <c r="AI36" s="53"/>
      <c r="AJ36" s="54" t="s">
        <v>165</v>
      </c>
      <c r="AK36" s="283" t="s">
        <v>159</v>
      </c>
      <c r="AL36" s="109"/>
      <c r="AM36" s="187" t="s">
        <v>184</v>
      </c>
      <c r="AN36" s="55" t="s">
        <v>166</v>
      </c>
      <c r="AO36" s="50"/>
      <c r="AP36" s="51" t="s">
        <v>205</v>
      </c>
      <c r="AQ36" s="279" t="s">
        <v>169</v>
      </c>
      <c r="AR36" s="74"/>
      <c r="AS36" s="75" t="s">
        <v>206</v>
      </c>
      <c r="AT36" s="49" t="s">
        <v>185</v>
      </c>
      <c r="AU36" s="50"/>
      <c r="AV36" s="51" t="s">
        <v>171</v>
      </c>
      <c r="AW36" s="78" t="s">
        <v>185</v>
      </c>
      <c r="AX36" s="53"/>
      <c r="AY36" s="54" t="s">
        <v>172</v>
      </c>
      <c r="AZ36" s="49" t="s">
        <v>186</v>
      </c>
      <c r="BA36" s="50"/>
      <c r="BB36" s="51" t="s">
        <v>172</v>
      </c>
      <c r="BC36" s="277" t="s">
        <v>174</v>
      </c>
      <c r="BD36" s="53"/>
      <c r="BE36" s="75" t="s">
        <v>174</v>
      </c>
      <c r="BF36" s="280" t="s">
        <v>187</v>
      </c>
      <c r="BG36" s="50"/>
      <c r="BH36" s="51" t="s">
        <v>188</v>
      </c>
      <c r="BI36" s="282" t="s">
        <v>189</v>
      </c>
      <c r="BJ36" s="53"/>
      <c r="BK36" s="54" t="s">
        <v>190</v>
      </c>
      <c r="BL36" s="280" t="s">
        <v>191</v>
      </c>
      <c r="BM36" s="50"/>
      <c r="BN36" s="51" t="s">
        <v>214</v>
      </c>
    </row>
    <row r="37" customFormat="false" ht="17.25" hidden="false" customHeight="true" outlineLevel="0" collapsed="false">
      <c r="B37" s="270"/>
      <c r="C37" s="85" t="s">
        <v>215</v>
      </c>
      <c r="D37" s="284" t="s">
        <v>44</v>
      </c>
      <c r="E37" s="285" t="s">
        <v>45</v>
      </c>
      <c r="F37" s="91"/>
      <c r="G37" s="78" t="s">
        <v>155</v>
      </c>
      <c r="H37" s="53"/>
      <c r="I37" s="54" t="s">
        <v>155</v>
      </c>
      <c r="J37" s="49" t="s">
        <v>46</v>
      </c>
      <c r="K37" s="154"/>
      <c r="L37" s="154" t="s">
        <v>46</v>
      </c>
      <c r="M37" s="78" t="s">
        <v>46</v>
      </c>
      <c r="N37" s="53"/>
      <c r="O37" s="153" t="s">
        <v>46</v>
      </c>
      <c r="P37" s="78" t="s">
        <v>46</v>
      </c>
      <c r="Q37" s="53"/>
      <c r="R37" s="54" t="s">
        <v>46</v>
      </c>
      <c r="S37" s="276" t="s">
        <v>157</v>
      </c>
      <c r="T37" s="50"/>
      <c r="U37" s="51" t="s">
        <v>156</v>
      </c>
      <c r="V37" s="277" t="s">
        <v>158</v>
      </c>
      <c r="W37" s="53"/>
      <c r="X37" s="54" t="s">
        <v>191</v>
      </c>
      <c r="Y37" s="280" t="s">
        <v>160</v>
      </c>
      <c r="Z37" s="50"/>
      <c r="AA37" s="57" t="s">
        <v>161</v>
      </c>
      <c r="AB37" s="277" t="s">
        <v>160</v>
      </c>
      <c r="AC37" s="53"/>
      <c r="AD37" s="54" t="s">
        <v>161</v>
      </c>
      <c r="AE37" s="49" t="s">
        <v>216</v>
      </c>
      <c r="AF37" s="50"/>
      <c r="AG37" s="51" t="s">
        <v>217</v>
      </c>
      <c r="AH37" s="78" t="s">
        <v>218</v>
      </c>
      <c r="AI37" s="53"/>
      <c r="AJ37" s="54" t="s">
        <v>219</v>
      </c>
      <c r="AK37" s="286" t="s">
        <v>159</v>
      </c>
      <c r="AL37" s="109"/>
      <c r="AM37" s="187" t="s">
        <v>184</v>
      </c>
      <c r="AN37" s="55" t="s">
        <v>220</v>
      </c>
      <c r="AO37" s="50"/>
      <c r="AP37" s="51" t="s">
        <v>221</v>
      </c>
      <c r="AQ37" s="279" t="s">
        <v>222</v>
      </c>
      <c r="AR37" s="74"/>
      <c r="AS37" s="75" t="s">
        <v>169</v>
      </c>
      <c r="AT37" s="49" t="s">
        <v>170</v>
      </c>
      <c r="AU37" s="50"/>
      <c r="AV37" s="51" t="s">
        <v>171</v>
      </c>
      <c r="AW37" s="78" t="s">
        <v>172</v>
      </c>
      <c r="AX37" s="53"/>
      <c r="AY37" s="54" t="s">
        <v>171</v>
      </c>
      <c r="AZ37" s="49" t="s">
        <v>172</v>
      </c>
      <c r="BA37" s="50"/>
      <c r="BB37" s="51" t="s">
        <v>171</v>
      </c>
      <c r="BC37" s="277" t="s">
        <v>174</v>
      </c>
      <c r="BD37" s="53"/>
      <c r="BE37" s="75" t="s">
        <v>174</v>
      </c>
      <c r="BF37" s="280" t="s">
        <v>159</v>
      </c>
      <c r="BG37" s="50"/>
      <c r="BH37" s="51" t="s">
        <v>223</v>
      </c>
      <c r="BI37" s="282" t="s">
        <v>159</v>
      </c>
      <c r="BJ37" s="53"/>
      <c r="BK37" s="54" t="s">
        <v>159</v>
      </c>
      <c r="BL37" s="280" t="s">
        <v>224</v>
      </c>
      <c r="BM37" s="50"/>
      <c r="BN37" s="51" t="s">
        <v>225</v>
      </c>
    </row>
    <row r="38" customFormat="false" ht="17.25" hidden="false" customHeight="true" outlineLevel="0" collapsed="false">
      <c r="B38" s="270"/>
      <c r="C38" s="85"/>
      <c r="D38" s="284"/>
      <c r="E38" s="44" t="s">
        <v>47</v>
      </c>
      <c r="F38" s="287"/>
      <c r="G38" s="78" t="s">
        <v>155</v>
      </c>
      <c r="H38" s="53"/>
      <c r="I38" s="54" t="s">
        <v>155</v>
      </c>
      <c r="J38" s="49" t="s">
        <v>46</v>
      </c>
      <c r="K38" s="154"/>
      <c r="L38" s="154" t="s">
        <v>46</v>
      </c>
      <c r="M38" s="78" t="s">
        <v>46</v>
      </c>
      <c r="N38" s="53"/>
      <c r="O38" s="153" t="s">
        <v>46</v>
      </c>
      <c r="P38" s="78" t="s">
        <v>46</v>
      </c>
      <c r="Q38" s="53"/>
      <c r="R38" s="54" t="s">
        <v>46</v>
      </c>
      <c r="S38" s="276" t="s">
        <v>157</v>
      </c>
      <c r="T38" s="50"/>
      <c r="U38" s="51" t="s">
        <v>156</v>
      </c>
      <c r="V38" s="277" t="s">
        <v>158</v>
      </c>
      <c r="W38" s="53"/>
      <c r="X38" s="54" t="s">
        <v>191</v>
      </c>
      <c r="Y38" s="280" t="s">
        <v>160</v>
      </c>
      <c r="Z38" s="50"/>
      <c r="AA38" s="57" t="s">
        <v>161</v>
      </c>
      <c r="AB38" s="277" t="s">
        <v>160</v>
      </c>
      <c r="AC38" s="53"/>
      <c r="AD38" s="54" t="s">
        <v>161</v>
      </c>
      <c r="AE38" s="49" t="s">
        <v>216</v>
      </c>
      <c r="AF38" s="50"/>
      <c r="AG38" s="51" t="s">
        <v>217</v>
      </c>
      <c r="AH38" s="78" t="s">
        <v>218</v>
      </c>
      <c r="AI38" s="53"/>
      <c r="AJ38" s="54" t="s">
        <v>219</v>
      </c>
      <c r="AK38" s="286" t="s">
        <v>159</v>
      </c>
      <c r="AL38" s="109"/>
      <c r="AM38" s="187" t="s">
        <v>184</v>
      </c>
      <c r="AN38" s="55" t="s">
        <v>220</v>
      </c>
      <c r="AO38" s="50"/>
      <c r="AP38" s="51" t="s">
        <v>221</v>
      </c>
      <c r="AQ38" s="279" t="s">
        <v>222</v>
      </c>
      <c r="AR38" s="74"/>
      <c r="AS38" s="75" t="s">
        <v>169</v>
      </c>
      <c r="AT38" s="49" t="s">
        <v>170</v>
      </c>
      <c r="AU38" s="50"/>
      <c r="AV38" s="51" t="s">
        <v>171</v>
      </c>
      <c r="AW38" s="78" t="s">
        <v>172</v>
      </c>
      <c r="AX38" s="53"/>
      <c r="AY38" s="54" t="s">
        <v>171</v>
      </c>
      <c r="AZ38" s="49" t="s">
        <v>172</v>
      </c>
      <c r="BA38" s="50"/>
      <c r="BB38" s="51" t="s">
        <v>171</v>
      </c>
      <c r="BC38" s="277" t="s">
        <v>174</v>
      </c>
      <c r="BD38" s="53"/>
      <c r="BE38" s="75" t="s">
        <v>174</v>
      </c>
      <c r="BF38" s="280" t="s">
        <v>159</v>
      </c>
      <c r="BG38" s="50"/>
      <c r="BH38" s="51" t="s">
        <v>223</v>
      </c>
      <c r="BI38" s="282" t="s">
        <v>159</v>
      </c>
      <c r="BJ38" s="53"/>
      <c r="BK38" s="54" t="s">
        <v>159</v>
      </c>
      <c r="BL38" s="280" t="s">
        <v>224</v>
      </c>
      <c r="BM38" s="50"/>
      <c r="BN38" s="51" t="s">
        <v>225</v>
      </c>
    </row>
    <row r="39" customFormat="false" ht="17.25" hidden="false" customHeight="true" outlineLevel="0" collapsed="false">
      <c r="B39" s="270"/>
      <c r="C39" s="85"/>
      <c r="D39" s="284"/>
      <c r="E39" s="44" t="s">
        <v>48</v>
      </c>
      <c r="F39" s="287"/>
      <c r="G39" s="78" t="s">
        <v>155</v>
      </c>
      <c r="H39" s="53"/>
      <c r="I39" s="54" t="s">
        <v>155</v>
      </c>
      <c r="J39" s="49" t="s">
        <v>46</v>
      </c>
      <c r="K39" s="154"/>
      <c r="L39" s="154" t="s">
        <v>46</v>
      </c>
      <c r="M39" s="78" t="s">
        <v>46</v>
      </c>
      <c r="N39" s="53"/>
      <c r="O39" s="153" t="s">
        <v>46</v>
      </c>
      <c r="P39" s="78" t="s">
        <v>46</v>
      </c>
      <c r="Q39" s="53"/>
      <c r="R39" s="54" t="s">
        <v>46</v>
      </c>
      <c r="S39" s="276" t="s">
        <v>157</v>
      </c>
      <c r="T39" s="50"/>
      <c r="U39" s="51" t="s">
        <v>156</v>
      </c>
      <c r="V39" s="277" t="s">
        <v>158</v>
      </c>
      <c r="W39" s="53"/>
      <c r="X39" s="54" t="s">
        <v>191</v>
      </c>
      <c r="Y39" s="280" t="s">
        <v>160</v>
      </c>
      <c r="Z39" s="50"/>
      <c r="AA39" s="57" t="s">
        <v>161</v>
      </c>
      <c r="AB39" s="277" t="s">
        <v>160</v>
      </c>
      <c r="AC39" s="53"/>
      <c r="AD39" s="54" t="s">
        <v>161</v>
      </c>
      <c r="AE39" s="49" t="s">
        <v>216</v>
      </c>
      <c r="AF39" s="50"/>
      <c r="AG39" s="51" t="s">
        <v>217</v>
      </c>
      <c r="AH39" s="78" t="s">
        <v>218</v>
      </c>
      <c r="AI39" s="53"/>
      <c r="AJ39" s="54" t="s">
        <v>219</v>
      </c>
      <c r="AK39" s="286" t="s">
        <v>159</v>
      </c>
      <c r="AL39" s="109"/>
      <c r="AM39" s="187" t="s">
        <v>184</v>
      </c>
      <c r="AN39" s="55" t="s">
        <v>220</v>
      </c>
      <c r="AO39" s="50"/>
      <c r="AP39" s="51" t="s">
        <v>221</v>
      </c>
      <c r="AQ39" s="279" t="s">
        <v>222</v>
      </c>
      <c r="AR39" s="74"/>
      <c r="AS39" s="75" t="s">
        <v>169</v>
      </c>
      <c r="AT39" s="49" t="s">
        <v>170</v>
      </c>
      <c r="AU39" s="50"/>
      <c r="AV39" s="51" t="s">
        <v>171</v>
      </c>
      <c r="AW39" s="78" t="s">
        <v>172</v>
      </c>
      <c r="AX39" s="53"/>
      <c r="AY39" s="54" t="s">
        <v>171</v>
      </c>
      <c r="AZ39" s="49" t="s">
        <v>172</v>
      </c>
      <c r="BA39" s="50"/>
      <c r="BB39" s="51" t="s">
        <v>171</v>
      </c>
      <c r="BC39" s="277" t="s">
        <v>174</v>
      </c>
      <c r="BD39" s="53"/>
      <c r="BE39" s="75" t="s">
        <v>174</v>
      </c>
      <c r="BF39" s="280" t="s">
        <v>159</v>
      </c>
      <c r="BG39" s="50"/>
      <c r="BH39" s="51" t="s">
        <v>223</v>
      </c>
      <c r="BI39" s="282" t="s">
        <v>159</v>
      </c>
      <c r="BJ39" s="53"/>
      <c r="BK39" s="54" t="s">
        <v>159</v>
      </c>
      <c r="BL39" s="280" t="s">
        <v>224</v>
      </c>
      <c r="BM39" s="50"/>
      <c r="BN39" s="51" t="s">
        <v>225</v>
      </c>
    </row>
    <row r="40" customFormat="false" ht="17.25" hidden="false" customHeight="true" outlineLevel="0" collapsed="false">
      <c r="B40" s="270"/>
      <c r="C40" s="85"/>
      <c r="D40" s="284"/>
      <c r="E40" s="44" t="s">
        <v>49</v>
      </c>
      <c r="F40" s="287"/>
      <c r="G40" s="78" t="s">
        <v>155</v>
      </c>
      <c r="H40" s="53"/>
      <c r="I40" s="54" t="s">
        <v>155</v>
      </c>
      <c r="J40" s="49" t="s">
        <v>46</v>
      </c>
      <c r="K40" s="154"/>
      <c r="L40" s="154" t="s">
        <v>46</v>
      </c>
      <c r="M40" s="78" t="s">
        <v>46</v>
      </c>
      <c r="N40" s="53"/>
      <c r="O40" s="153" t="s">
        <v>46</v>
      </c>
      <c r="P40" s="78" t="s">
        <v>46</v>
      </c>
      <c r="Q40" s="53"/>
      <c r="R40" s="54" t="s">
        <v>46</v>
      </c>
      <c r="S40" s="276" t="s">
        <v>157</v>
      </c>
      <c r="T40" s="50"/>
      <c r="U40" s="51" t="s">
        <v>156</v>
      </c>
      <c r="V40" s="277" t="s">
        <v>158</v>
      </c>
      <c r="W40" s="53"/>
      <c r="X40" s="54" t="s">
        <v>191</v>
      </c>
      <c r="Y40" s="280" t="s">
        <v>160</v>
      </c>
      <c r="Z40" s="50"/>
      <c r="AA40" s="57" t="s">
        <v>161</v>
      </c>
      <c r="AB40" s="277" t="s">
        <v>160</v>
      </c>
      <c r="AC40" s="53"/>
      <c r="AD40" s="54" t="s">
        <v>161</v>
      </c>
      <c r="AE40" s="49" t="s">
        <v>216</v>
      </c>
      <c r="AF40" s="50"/>
      <c r="AG40" s="51" t="s">
        <v>217</v>
      </c>
      <c r="AH40" s="78" t="s">
        <v>218</v>
      </c>
      <c r="AI40" s="53"/>
      <c r="AJ40" s="54" t="s">
        <v>219</v>
      </c>
      <c r="AK40" s="286" t="s">
        <v>159</v>
      </c>
      <c r="AL40" s="109"/>
      <c r="AM40" s="187" t="s">
        <v>184</v>
      </c>
      <c r="AN40" s="55" t="s">
        <v>220</v>
      </c>
      <c r="AO40" s="50"/>
      <c r="AP40" s="51" t="s">
        <v>221</v>
      </c>
      <c r="AQ40" s="279" t="s">
        <v>222</v>
      </c>
      <c r="AR40" s="74"/>
      <c r="AS40" s="75" t="s">
        <v>169</v>
      </c>
      <c r="AT40" s="49" t="s">
        <v>170</v>
      </c>
      <c r="AU40" s="50"/>
      <c r="AV40" s="51" t="s">
        <v>171</v>
      </c>
      <c r="AW40" s="78" t="s">
        <v>172</v>
      </c>
      <c r="AX40" s="53"/>
      <c r="AY40" s="54" t="s">
        <v>171</v>
      </c>
      <c r="AZ40" s="49" t="s">
        <v>172</v>
      </c>
      <c r="BA40" s="50"/>
      <c r="BB40" s="51" t="s">
        <v>171</v>
      </c>
      <c r="BC40" s="277" t="s">
        <v>174</v>
      </c>
      <c r="BD40" s="53"/>
      <c r="BE40" s="75" t="s">
        <v>174</v>
      </c>
      <c r="BF40" s="280" t="s">
        <v>159</v>
      </c>
      <c r="BG40" s="50"/>
      <c r="BH40" s="51" t="s">
        <v>223</v>
      </c>
      <c r="BI40" s="282" t="s">
        <v>159</v>
      </c>
      <c r="BJ40" s="53"/>
      <c r="BK40" s="54" t="s">
        <v>159</v>
      </c>
      <c r="BL40" s="280" t="s">
        <v>224</v>
      </c>
      <c r="BM40" s="50"/>
      <c r="BN40" s="51" t="s">
        <v>225</v>
      </c>
    </row>
    <row r="41" customFormat="false" ht="17.25" hidden="false" customHeight="true" outlineLevel="0" collapsed="false">
      <c r="B41" s="270"/>
      <c r="C41" s="85"/>
      <c r="D41" s="80" t="s">
        <v>50</v>
      </c>
      <c r="E41" s="44" t="s">
        <v>45</v>
      </c>
      <c r="F41" s="91"/>
      <c r="G41" s="78" t="s">
        <v>155</v>
      </c>
      <c r="H41" s="53"/>
      <c r="I41" s="54" t="s">
        <v>155</v>
      </c>
      <c r="J41" s="49" t="s">
        <v>46</v>
      </c>
      <c r="K41" s="154"/>
      <c r="L41" s="154" t="s">
        <v>46</v>
      </c>
      <c r="M41" s="78" t="s">
        <v>46</v>
      </c>
      <c r="N41" s="53"/>
      <c r="O41" s="153" t="s">
        <v>46</v>
      </c>
      <c r="P41" s="78" t="s">
        <v>46</v>
      </c>
      <c r="Q41" s="53"/>
      <c r="R41" s="54" t="s">
        <v>46</v>
      </c>
      <c r="S41" s="276" t="s">
        <v>157</v>
      </c>
      <c r="T41" s="50"/>
      <c r="U41" s="51" t="s">
        <v>156</v>
      </c>
      <c r="V41" s="277" t="s">
        <v>158</v>
      </c>
      <c r="W41" s="53"/>
      <c r="X41" s="54" t="s">
        <v>191</v>
      </c>
      <c r="Y41" s="280" t="s">
        <v>160</v>
      </c>
      <c r="Z41" s="50"/>
      <c r="AA41" s="57" t="s">
        <v>161</v>
      </c>
      <c r="AB41" s="277" t="s">
        <v>160</v>
      </c>
      <c r="AC41" s="53"/>
      <c r="AD41" s="54" t="s">
        <v>161</v>
      </c>
      <c r="AE41" s="49" t="s">
        <v>216</v>
      </c>
      <c r="AF41" s="50"/>
      <c r="AG41" s="51" t="s">
        <v>217</v>
      </c>
      <c r="AH41" s="78" t="s">
        <v>226</v>
      </c>
      <c r="AI41" s="53"/>
      <c r="AJ41" s="54" t="s">
        <v>219</v>
      </c>
      <c r="AK41" s="286" t="s">
        <v>159</v>
      </c>
      <c r="AL41" s="109"/>
      <c r="AM41" s="187" t="s">
        <v>184</v>
      </c>
      <c r="AN41" s="55" t="s">
        <v>220</v>
      </c>
      <c r="AO41" s="50"/>
      <c r="AP41" s="51" t="s">
        <v>221</v>
      </c>
      <c r="AQ41" s="279" t="s">
        <v>222</v>
      </c>
      <c r="AR41" s="74"/>
      <c r="AS41" s="75" t="s">
        <v>169</v>
      </c>
      <c r="AT41" s="49" t="s">
        <v>170</v>
      </c>
      <c r="AU41" s="50"/>
      <c r="AV41" s="51" t="s">
        <v>171</v>
      </c>
      <c r="AW41" s="78" t="s">
        <v>172</v>
      </c>
      <c r="AX41" s="53"/>
      <c r="AY41" s="54" t="s">
        <v>171</v>
      </c>
      <c r="AZ41" s="49" t="s">
        <v>172</v>
      </c>
      <c r="BA41" s="50"/>
      <c r="BB41" s="51" t="s">
        <v>171</v>
      </c>
      <c r="BC41" s="277" t="s">
        <v>174</v>
      </c>
      <c r="BD41" s="53"/>
      <c r="BE41" s="75" t="s">
        <v>174</v>
      </c>
      <c r="BF41" s="280" t="s">
        <v>159</v>
      </c>
      <c r="BG41" s="50"/>
      <c r="BH41" s="51" t="s">
        <v>223</v>
      </c>
      <c r="BI41" s="282" t="s">
        <v>159</v>
      </c>
      <c r="BJ41" s="53"/>
      <c r="BK41" s="54" t="s">
        <v>159</v>
      </c>
      <c r="BL41" s="280" t="s">
        <v>224</v>
      </c>
      <c r="BM41" s="50"/>
      <c r="BN41" s="51" t="s">
        <v>225</v>
      </c>
    </row>
    <row r="42" customFormat="false" ht="17.25" hidden="false" customHeight="true" outlineLevel="0" collapsed="false">
      <c r="B42" s="270"/>
      <c r="C42" s="85"/>
      <c r="D42" s="80"/>
      <c r="E42" s="44" t="s">
        <v>47</v>
      </c>
      <c r="F42" s="91"/>
      <c r="G42" s="78" t="s">
        <v>155</v>
      </c>
      <c r="H42" s="53"/>
      <c r="I42" s="54" t="s">
        <v>155</v>
      </c>
      <c r="J42" s="49" t="s">
        <v>46</v>
      </c>
      <c r="K42" s="154"/>
      <c r="L42" s="154" t="s">
        <v>46</v>
      </c>
      <c r="M42" s="78" t="s">
        <v>46</v>
      </c>
      <c r="N42" s="53"/>
      <c r="O42" s="153" t="s">
        <v>46</v>
      </c>
      <c r="P42" s="78" t="s">
        <v>46</v>
      </c>
      <c r="Q42" s="53"/>
      <c r="R42" s="54" t="s">
        <v>46</v>
      </c>
      <c r="S42" s="276" t="s">
        <v>157</v>
      </c>
      <c r="T42" s="50"/>
      <c r="U42" s="51" t="s">
        <v>156</v>
      </c>
      <c r="V42" s="277" t="s">
        <v>158</v>
      </c>
      <c r="W42" s="53"/>
      <c r="X42" s="54" t="s">
        <v>191</v>
      </c>
      <c r="Y42" s="280" t="s">
        <v>160</v>
      </c>
      <c r="Z42" s="50"/>
      <c r="AA42" s="57" t="s">
        <v>161</v>
      </c>
      <c r="AB42" s="277" t="s">
        <v>160</v>
      </c>
      <c r="AC42" s="53"/>
      <c r="AD42" s="54" t="s">
        <v>161</v>
      </c>
      <c r="AE42" s="49" t="s">
        <v>216</v>
      </c>
      <c r="AF42" s="50"/>
      <c r="AG42" s="51" t="s">
        <v>217</v>
      </c>
      <c r="AH42" s="78" t="s">
        <v>226</v>
      </c>
      <c r="AI42" s="53"/>
      <c r="AJ42" s="54" t="s">
        <v>219</v>
      </c>
      <c r="AK42" s="286" t="s">
        <v>159</v>
      </c>
      <c r="AL42" s="109"/>
      <c r="AM42" s="187" t="s">
        <v>184</v>
      </c>
      <c r="AN42" s="55" t="s">
        <v>220</v>
      </c>
      <c r="AO42" s="50"/>
      <c r="AP42" s="51" t="s">
        <v>221</v>
      </c>
      <c r="AQ42" s="279" t="s">
        <v>222</v>
      </c>
      <c r="AR42" s="74"/>
      <c r="AS42" s="75" t="s">
        <v>169</v>
      </c>
      <c r="AT42" s="49" t="s">
        <v>170</v>
      </c>
      <c r="AU42" s="50"/>
      <c r="AV42" s="51" t="s">
        <v>171</v>
      </c>
      <c r="AW42" s="78" t="s">
        <v>172</v>
      </c>
      <c r="AX42" s="53"/>
      <c r="AY42" s="54" t="s">
        <v>171</v>
      </c>
      <c r="AZ42" s="49" t="s">
        <v>172</v>
      </c>
      <c r="BA42" s="50"/>
      <c r="BB42" s="51" t="s">
        <v>171</v>
      </c>
      <c r="BC42" s="277" t="s">
        <v>174</v>
      </c>
      <c r="BD42" s="53"/>
      <c r="BE42" s="75" t="s">
        <v>174</v>
      </c>
      <c r="BF42" s="280" t="s">
        <v>159</v>
      </c>
      <c r="BG42" s="50"/>
      <c r="BH42" s="51" t="s">
        <v>223</v>
      </c>
      <c r="BI42" s="282" t="s">
        <v>159</v>
      </c>
      <c r="BJ42" s="53"/>
      <c r="BK42" s="54" t="s">
        <v>159</v>
      </c>
      <c r="BL42" s="280" t="s">
        <v>224</v>
      </c>
      <c r="BM42" s="50"/>
      <c r="BN42" s="51" t="s">
        <v>225</v>
      </c>
    </row>
    <row r="43" customFormat="false" ht="17.25" hidden="false" customHeight="true" outlineLevel="0" collapsed="false">
      <c r="B43" s="270"/>
      <c r="C43" s="85"/>
      <c r="D43" s="80"/>
      <c r="E43" s="44" t="s">
        <v>48</v>
      </c>
      <c r="F43" s="91"/>
      <c r="G43" s="78" t="s">
        <v>155</v>
      </c>
      <c r="H43" s="53"/>
      <c r="I43" s="54" t="s">
        <v>155</v>
      </c>
      <c r="J43" s="49" t="s">
        <v>46</v>
      </c>
      <c r="K43" s="154"/>
      <c r="L43" s="154" t="s">
        <v>46</v>
      </c>
      <c r="M43" s="78" t="s">
        <v>46</v>
      </c>
      <c r="N43" s="53"/>
      <c r="O43" s="153" t="s">
        <v>46</v>
      </c>
      <c r="P43" s="78" t="s">
        <v>46</v>
      </c>
      <c r="Q43" s="53"/>
      <c r="R43" s="54" t="s">
        <v>46</v>
      </c>
      <c r="S43" s="276" t="s">
        <v>157</v>
      </c>
      <c r="T43" s="50"/>
      <c r="U43" s="51" t="s">
        <v>156</v>
      </c>
      <c r="V43" s="277" t="s">
        <v>158</v>
      </c>
      <c r="W43" s="53"/>
      <c r="X43" s="54" t="s">
        <v>191</v>
      </c>
      <c r="Y43" s="280" t="s">
        <v>160</v>
      </c>
      <c r="Z43" s="50"/>
      <c r="AA43" s="57" t="s">
        <v>161</v>
      </c>
      <c r="AB43" s="277" t="s">
        <v>160</v>
      </c>
      <c r="AC43" s="53"/>
      <c r="AD43" s="54" t="s">
        <v>161</v>
      </c>
      <c r="AE43" s="49" t="s">
        <v>216</v>
      </c>
      <c r="AF43" s="50"/>
      <c r="AG43" s="51" t="s">
        <v>217</v>
      </c>
      <c r="AH43" s="78" t="s">
        <v>226</v>
      </c>
      <c r="AI43" s="53"/>
      <c r="AJ43" s="54" t="s">
        <v>219</v>
      </c>
      <c r="AK43" s="286" t="s">
        <v>159</v>
      </c>
      <c r="AL43" s="109"/>
      <c r="AM43" s="187" t="s">
        <v>184</v>
      </c>
      <c r="AN43" s="55" t="s">
        <v>220</v>
      </c>
      <c r="AO43" s="50"/>
      <c r="AP43" s="51" t="s">
        <v>221</v>
      </c>
      <c r="AQ43" s="279" t="s">
        <v>222</v>
      </c>
      <c r="AR43" s="74"/>
      <c r="AS43" s="75" t="s">
        <v>169</v>
      </c>
      <c r="AT43" s="49" t="s">
        <v>170</v>
      </c>
      <c r="AU43" s="50"/>
      <c r="AV43" s="51" t="s">
        <v>171</v>
      </c>
      <c r="AW43" s="78" t="s">
        <v>172</v>
      </c>
      <c r="AX43" s="53"/>
      <c r="AY43" s="54" t="s">
        <v>171</v>
      </c>
      <c r="AZ43" s="49" t="s">
        <v>172</v>
      </c>
      <c r="BA43" s="50"/>
      <c r="BB43" s="51" t="s">
        <v>171</v>
      </c>
      <c r="BC43" s="277" t="s">
        <v>174</v>
      </c>
      <c r="BD43" s="53"/>
      <c r="BE43" s="75" t="s">
        <v>174</v>
      </c>
      <c r="BF43" s="280" t="s">
        <v>159</v>
      </c>
      <c r="BG43" s="50"/>
      <c r="BH43" s="51" t="s">
        <v>223</v>
      </c>
      <c r="BI43" s="282" t="s">
        <v>159</v>
      </c>
      <c r="BJ43" s="53"/>
      <c r="BK43" s="54" t="s">
        <v>159</v>
      </c>
      <c r="BL43" s="280" t="s">
        <v>224</v>
      </c>
      <c r="BM43" s="50"/>
      <c r="BN43" s="51" t="s">
        <v>225</v>
      </c>
    </row>
    <row r="44" customFormat="false" ht="17.25" hidden="false" customHeight="true" outlineLevel="0" collapsed="false">
      <c r="B44" s="270"/>
      <c r="C44" s="85"/>
      <c r="D44" s="80"/>
      <c r="E44" s="44" t="s">
        <v>49</v>
      </c>
      <c r="F44" s="91"/>
      <c r="G44" s="78" t="s">
        <v>155</v>
      </c>
      <c r="H44" s="53"/>
      <c r="I44" s="54" t="s">
        <v>155</v>
      </c>
      <c r="J44" s="49" t="s">
        <v>46</v>
      </c>
      <c r="K44" s="154"/>
      <c r="L44" s="154" t="s">
        <v>46</v>
      </c>
      <c r="M44" s="78" t="s">
        <v>46</v>
      </c>
      <c r="N44" s="53"/>
      <c r="O44" s="153" t="s">
        <v>46</v>
      </c>
      <c r="P44" s="78" t="s">
        <v>46</v>
      </c>
      <c r="Q44" s="53"/>
      <c r="R44" s="54" t="s">
        <v>46</v>
      </c>
      <c r="S44" s="276" t="s">
        <v>157</v>
      </c>
      <c r="T44" s="50"/>
      <c r="U44" s="51" t="s">
        <v>156</v>
      </c>
      <c r="V44" s="277" t="s">
        <v>158</v>
      </c>
      <c r="W44" s="53"/>
      <c r="X44" s="54" t="s">
        <v>191</v>
      </c>
      <c r="Y44" s="280" t="s">
        <v>160</v>
      </c>
      <c r="Z44" s="50"/>
      <c r="AA44" s="57" t="s">
        <v>161</v>
      </c>
      <c r="AB44" s="277" t="s">
        <v>160</v>
      </c>
      <c r="AC44" s="53"/>
      <c r="AD44" s="54" t="s">
        <v>161</v>
      </c>
      <c r="AE44" s="49" t="s">
        <v>216</v>
      </c>
      <c r="AF44" s="50"/>
      <c r="AG44" s="51" t="s">
        <v>217</v>
      </c>
      <c r="AH44" s="78" t="s">
        <v>226</v>
      </c>
      <c r="AI44" s="53"/>
      <c r="AJ44" s="54" t="s">
        <v>219</v>
      </c>
      <c r="AK44" s="286" t="s">
        <v>159</v>
      </c>
      <c r="AL44" s="109"/>
      <c r="AM44" s="187" t="s">
        <v>184</v>
      </c>
      <c r="AN44" s="55" t="s">
        <v>220</v>
      </c>
      <c r="AO44" s="50"/>
      <c r="AP44" s="51" t="s">
        <v>221</v>
      </c>
      <c r="AQ44" s="279" t="s">
        <v>222</v>
      </c>
      <c r="AR44" s="74"/>
      <c r="AS44" s="75" t="s">
        <v>169</v>
      </c>
      <c r="AT44" s="49" t="s">
        <v>170</v>
      </c>
      <c r="AU44" s="50"/>
      <c r="AV44" s="51" t="s">
        <v>171</v>
      </c>
      <c r="AW44" s="78" t="s">
        <v>172</v>
      </c>
      <c r="AX44" s="53"/>
      <c r="AY44" s="54" t="s">
        <v>171</v>
      </c>
      <c r="AZ44" s="49" t="s">
        <v>172</v>
      </c>
      <c r="BA44" s="50"/>
      <c r="BB44" s="51" t="s">
        <v>171</v>
      </c>
      <c r="BC44" s="277" t="s">
        <v>174</v>
      </c>
      <c r="BD44" s="53"/>
      <c r="BE44" s="75" t="s">
        <v>174</v>
      </c>
      <c r="BF44" s="280" t="s">
        <v>159</v>
      </c>
      <c r="BG44" s="50"/>
      <c r="BH44" s="51" t="s">
        <v>223</v>
      </c>
      <c r="BI44" s="282" t="s">
        <v>159</v>
      </c>
      <c r="BJ44" s="53"/>
      <c r="BK44" s="54" t="s">
        <v>159</v>
      </c>
      <c r="BL44" s="280" t="s">
        <v>224</v>
      </c>
      <c r="BM44" s="50"/>
      <c r="BN44" s="51" t="s">
        <v>225</v>
      </c>
    </row>
    <row r="45" customFormat="false" ht="17.25" hidden="false" customHeight="true" outlineLevel="0" collapsed="false">
      <c r="B45" s="270"/>
      <c r="C45" s="85"/>
      <c r="D45" s="80" t="s">
        <v>51</v>
      </c>
      <c r="E45" s="44" t="s">
        <v>45</v>
      </c>
      <c r="F45" s="91"/>
      <c r="G45" s="78" t="s">
        <v>155</v>
      </c>
      <c r="H45" s="53"/>
      <c r="I45" s="54" t="s">
        <v>155</v>
      </c>
      <c r="J45" s="49" t="s">
        <v>46</v>
      </c>
      <c r="K45" s="154"/>
      <c r="L45" s="154" t="s">
        <v>46</v>
      </c>
      <c r="M45" s="78" t="s">
        <v>46</v>
      </c>
      <c r="N45" s="53"/>
      <c r="O45" s="153" t="s">
        <v>46</v>
      </c>
      <c r="P45" s="78" t="s">
        <v>46</v>
      </c>
      <c r="Q45" s="53"/>
      <c r="R45" s="54" t="s">
        <v>46</v>
      </c>
      <c r="S45" s="276" t="s">
        <v>157</v>
      </c>
      <c r="T45" s="50"/>
      <c r="U45" s="51" t="s">
        <v>156</v>
      </c>
      <c r="V45" s="277" t="s">
        <v>158</v>
      </c>
      <c r="W45" s="53"/>
      <c r="X45" s="54" t="s">
        <v>191</v>
      </c>
      <c r="Y45" s="280" t="s">
        <v>160</v>
      </c>
      <c r="Z45" s="50"/>
      <c r="AA45" s="57" t="s">
        <v>161</v>
      </c>
      <c r="AB45" s="277" t="s">
        <v>160</v>
      </c>
      <c r="AC45" s="53"/>
      <c r="AD45" s="54" t="s">
        <v>161</v>
      </c>
      <c r="AE45" s="49" t="s">
        <v>216</v>
      </c>
      <c r="AF45" s="50"/>
      <c r="AG45" s="51" t="s">
        <v>217</v>
      </c>
      <c r="AH45" s="78" t="s">
        <v>226</v>
      </c>
      <c r="AI45" s="53"/>
      <c r="AJ45" s="54" t="s">
        <v>219</v>
      </c>
      <c r="AK45" s="286" t="s">
        <v>159</v>
      </c>
      <c r="AL45" s="109"/>
      <c r="AM45" s="187" t="s">
        <v>184</v>
      </c>
      <c r="AN45" s="55" t="s">
        <v>220</v>
      </c>
      <c r="AO45" s="50"/>
      <c r="AP45" s="51" t="s">
        <v>221</v>
      </c>
      <c r="AQ45" s="279" t="s">
        <v>222</v>
      </c>
      <c r="AR45" s="74"/>
      <c r="AS45" s="75" t="s">
        <v>169</v>
      </c>
      <c r="AT45" s="49" t="s">
        <v>170</v>
      </c>
      <c r="AU45" s="50"/>
      <c r="AV45" s="51" t="s">
        <v>171</v>
      </c>
      <c r="AW45" s="78" t="s">
        <v>172</v>
      </c>
      <c r="AX45" s="53"/>
      <c r="AY45" s="54" t="s">
        <v>171</v>
      </c>
      <c r="AZ45" s="49" t="s">
        <v>172</v>
      </c>
      <c r="BA45" s="50"/>
      <c r="BB45" s="51" t="s">
        <v>171</v>
      </c>
      <c r="BC45" s="277" t="s">
        <v>174</v>
      </c>
      <c r="BD45" s="53"/>
      <c r="BE45" s="75" t="s">
        <v>174</v>
      </c>
      <c r="BF45" s="280" t="s">
        <v>159</v>
      </c>
      <c r="BG45" s="50"/>
      <c r="BH45" s="51" t="s">
        <v>223</v>
      </c>
      <c r="BI45" s="282" t="s">
        <v>159</v>
      </c>
      <c r="BJ45" s="53"/>
      <c r="BK45" s="54" t="s">
        <v>159</v>
      </c>
      <c r="BL45" s="280" t="s">
        <v>224</v>
      </c>
      <c r="BM45" s="50"/>
      <c r="BN45" s="51" t="s">
        <v>225</v>
      </c>
    </row>
    <row r="46" customFormat="false" ht="17.25" hidden="false" customHeight="true" outlineLevel="0" collapsed="false">
      <c r="B46" s="270"/>
      <c r="C46" s="85"/>
      <c r="D46" s="80"/>
      <c r="E46" s="44" t="s">
        <v>47</v>
      </c>
      <c r="F46" s="91"/>
      <c r="G46" s="78" t="s">
        <v>155</v>
      </c>
      <c r="H46" s="53"/>
      <c r="I46" s="54" t="s">
        <v>155</v>
      </c>
      <c r="J46" s="49" t="s">
        <v>46</v>
      </c>
      <c r="K46" s="154"/>
      <c r="L46" s="154" t="s">
        <v>46</v>
      </c>
      <c r="M46" s="78" t="s">
        <v>46</v>
      </c>
      <c r="N46" s="53"/>
      <c r="O46" s="153" t="s">
        <v>46</v>
      </c>
      <c r="P46" s="78" t="s">
        <v>46</v>
      </c>
      <c r="Q46" s="53"/>
      <c r="R46" s="54" t="s">
        <v>46</v>
      </c>
      <c r="S46" s="276" t="s">
        <v>157</v>
      </c>
      <c r="T46" s="50"/>
      <c r="U46" s="51" t="s">
        <v>156</v>
      </c>
      <c r="V46" s="277" t="s">
        <v>158</v>
      </c>
      <c r="W46" s="53"/>
      <c r="X46" s="54" t="s">
        <v>191</v>
      </c>
      <c r="Y46" s="280" t="s">
        <v>160</v>
      </c>
      <c r="Z46" s="50"/>
      <c r="AA46" s="57" t="s">
        <v>161</v>
      </c>
      <c r="AB46" s="277" t="s">
        <v>160</v>
      </c>
      <c r="AC46" s="53"/>
      <c r="AD46" s="54" t="s">
        <v>161</v>
      </c>
      <c r="AE46" s="49" t="s">
        <v>216</v>
      </c>
      <c r="AF46" s="50"/>
      <c r="AG46" s="51" t="s">
        <v>217</v>
      </c>
      <c r="AH46" s="78" t="s">
        <v>226</v>
      </c>
      <c r="AI46" s="53"/>
      <c r="AJ46" s="54" t="s">
        <v>219</v>
      </c>
      <c r="AK46" s="286" t="s">
        <v>159</v>
      </c>
      <c r="AL46" s="109"/>
      <c r="AM46" s="187" t="s">
        <v>184</v>
      </c>
      <c r="AN46" s="55" t="s">
        <v>220</v>
      </c>
      <c r="AO46" s="50"/>
      <c r="AP46" s="51" t="s">
        <v>221</v>
      </c>
      <c r="AQ46" s="279" t="s">
        <v>222</v>
      </c>
      <c r="AR46" s="74"/>
      <c r="AS46" s="75" t="s">
        <v>169</v>
      </c>
      <c r="AT46" s="49" t="s">
        <v>170</v>
      </c>
      <c r="AU46" s="50"/>
      <c r="AV46" s="51" t="s">
        <v>171</v>
      </c>
      <c r="AW46" s="78" t="s">
        <v>172</v>
      </c>
      <c r="AX46" s="53"/>
      <c r="AY46" s="54" t="s">
        <v>171</v>
      </c>
      <c r="AZ46" s="49" t="s">
        <v>172</v>
      </c>
      <c r="BA46" s="50"/>
      <c r="BB46" s="51" t="s">
        <v>171</v>
      </c>
      <c r="BC46" s="277" t="s">
        <v>174</v>
      </c>
      <c r="BD46" s="53"/>
      <c r="BE46" s="75" t="s">
        <v>174</v>
      </c>
      <c r="BF46" s="280" t="s">
        <v>159</v>
      </c>
      <c r="BG46" s="50"/>
      <c r="BH46" s="51" t="s">
        <v>223</v>
      </c>
      <c r="BI46" s="282" t="s">
        <v>159</v>
      </c>
      <c r="BJ46" s="53"/>
      <c r="BK46" s="54" t="s">
        <v>159</v>
      </c>
      <c r="BL46" s="280" t="s">
        <v>224</v>
      </c>
      <c r="BM46" s="50"/>
      <c r="BN46" s="51" t="s">
        <v>225</v>
      </c>
    </row>
    <row r="47" customFormat="false" ht="17.25" hidden="false" customHeight="true" outlineLevel="0" collapsed="false">
      <c r="B47" s="270"/>
      <c r="C47" s="85"/>
      <c r="D47" s="80"/>
      <c r="E47" s="44" t="s">
        <v>48</v>
      </c>
      <c r="F47" s="91"/>
      <c r="G47" s="78" t="s">
        <v>155</v>
      </c>
      <c r="H47" s="53"/>
      <c r="I47" s="54" t="s">
        <v>155</v>
      </c>
      <c r="J47" s="49" t="s">
        <v>46</v>
      </c>
      <c r="K47" s="154"/>
      <c r="L47" s="154" t="s">
        <v>46</v>
      </c>
      <c r="M47" s="78" t="s">
        <v>46</v>
      </c>
      <c r="N47" s="53"/>
      <c r="O47" s="153" t="s">
        <v>46</v>
      </c>
      <c r="P47" s="78" t="s">
        <v>46</v>
      </c>
      <c r="Q47" s="53"/>
      <c r="R47" s="54" t="s">
        <v>46</v>
      </c>
      <c r="S47" s="276" t="s">
        <v>157</v>
      </c>
      <c r="T47" s="50"/>
      <c r="U47" s="51" t="s">
        <v>156</v>
      </c>
      <c r="V47" s="277" t="s">
        <v>158</v>
      </c>
      <c r="W47" s="53"/>
      <c r="X47" s="54" t="s">
        <v>191</v>
      </c>
      <c r="Y47" s="280" t="s">
        <v>160</v>
      </c>
      <c r="Z47" s="50"/>
      <c r="AA47" s="57" t="s">
        <v>161</v>
      </c>
      <c r="AB47" s="277" t="s">
        <v>160</v>
      </c>
      <c r="AC47" s="53"/>
      <c r="AD47" s="54" t="s">
        <v>161</v>
      </c>
      <c r="AE47" s="49" t="s">
        <v>216</v>
      </c>
      <c r="AF47" s="50"/>
      <c r="AG47" s="51" t="s">
        <v>217</v>
      </c>
      <c r="AH47" s="78" t="s">
        <v>226</v>
      </c>
      <c r="AI47" s="53"/>
      <c r="AJ47" s="54" t="s">
        <v>219</v>
      </c>
      <c r="AK47" s="286" t="s">
        <v>159</v>
      </c>
      <c r="AL47" s="109"/>
      <c r="AM47" s="187" t="s">
        <v>184</v>
      </c>
      <c r="AN47" s="55" t="s">
        <v>220</v>
      </c>
      <c r="AO47" s="50"/>
      <c r="AP47" s="51" t="s">
        <v>221</v>
      </c>
      <c r="AQ47" s="279" t="s">
        <v>222</v>
      </c>
      <c r="AR47" s="74"/>
      <c r="AS47" s="75" t="s">
        <v>169</v>
      </c>
      <c r="AT47" s="49" t="s">
        <v>170</v>
      </c>
      <c r="AU47" s="50"/>
      <c r="AV47" s="51" t="s">
        <v>171</v>
      </c>
      <c r="AW47" s="78" t="s">
        <v>172</v>
      </c>
      <c r="AX47" s="53"/>
      <c r="AY47" s="54" t="s">
        <v>171</v>
      </c>
      <c r="AZ47" s="49" t="s">
        <v>172</v>
      </c>
      <c r="BA47" s="50"/>
      <c r="BB47" s="51" t="s">
        <v>171</v>
      </c>
      <c r="BC47" s="277" t="s">
        <v>174</v>
      </c>
      <c r="BD47" s="53"/>
      <c r="BE47" s="75" t="s">
        <v>174</v>
      </c>
      <c r="BF47" s="280" t="s">
        <v>159</v>
      </c>
      <c r="BG47" s="50"/>
      <c r="BH47" s="51" t="s">
        <v>223</v>
      </c>
      <c r="BI47" s="282" t="s">
        <v>159</v>
      </c>
      <c r="BJ47" s="53"/>
      <c r="BK47" s="54" t="s">
        <v>159</v>
      </c>
      <c r="BL47" s="280" t="s">
        <v>224</v>
      </c>
      <c r="BM47" s="50"/>
      <c r="BN47" s="51" t="s">
        <v>225</v>
      </c>
    </row>
    <row r="48" customFormat="false" ht="17.25" hidden="false" customHeight="true" outlineLevel="0" collapsed="false">
      <c r="B48" s="270"/>
      <c r="C48" s="85"/>
      <c r="D48" s="80"/>
      <c r="E48" s="44" t="s">
        <v>49</v>
      </c>
      <c r="F48" s="91"/>
      <c r="G48" s="78" t="s">
        <v>155</v>
      </c>
      <c r="H48" s="53"/>
      <c r="I48" s="54" t="s">
        <v>155</v>
      </c>
      <c r="J48" s="49" t="s">
        <v>46</v>
      </c>
      <c r="K48" s="154"/>
      <c r="L48" s="154" t="s">
        <v>46</v>
      </c>
      <c r="M48" s="78" t="s">
        <v>46</v>
      </c>
      <c r="N48" s="53"/>
      <c r="O48" s="153" t="s">
        <v>46</v>
      </c>
      <c r="P48" s="78" t="s">
        <v>46</v>
      </c>
      <c r="Q48" s="53"/>
      <c r="R48" s="54" t="s">
        <v>46</v>
      </c>
      <c r="S48" s="276" t="s">
        <v>157</v>
      </c>
      <c r="T48" s="50"/>
      <c r="U48" s="51" t="s">
        <v>156</v>
      </c>
      <c r="V48" s="277" t="s">
        <v>158</v>
      </c>
      <c r="W48" s="53"/>
      <c r="X48" s="54" t="s">
        <v>191</v>
      </c>
      <c r="Y48" s="280" t="s">
        <v>160</v>
      </c>
      <c r="Z48" s="50"/>
      <c r="AA48" s="57" t="s">
        <v>161</v>
      </c>
      <c r="AB48" s="277" t="s">
        <v>160</v>
      </c>
      <c r="AC48" s="53"/>
      <c r="AD48" s="54" t="s">
        <v>161</v>
      </c>
      <c r="AE48" s="49" t="s">
        <v>216</v>
      </c>
      <c r="AF48" s="50"/>
      <c r="AG48" s="51" t="s">
        <v>217</v>
      </c>
      <c r="AH48" s="78" t="s">
        <v>226</v>
      </c>
      <c r="AI48" s="53"/>
      <c r="AJ48" s="54" t="s">
        <v>219</v>
      </c>
      <c r="AK48" s="286" t="s">
        <v>159</v>
      </c>
      <c r="AL48" s="109"/>
      <c r="AM48" s="187" t="s">
        <v>184</v>
      </c>
      <c r="AN48" s="55" t="s">
        <v>220</v>
      </c>
      <c r="AO48" s="50"/>
      <c r="AP48" s="51" t="s">
        <v>221</v>
      </c>
      <c r="AQ48" s="279" t="s">
        <v>222</v>
      </c>
      <c r="AR48" s="74"/>
      <c r="AS48" s="75" t="s">
        <v>169</v>
      </c>
      <c r="AT48" s="49" t="s">
        <v>170</v>
      </c>
      <c r="AU48" s="50"/>
      <c r="AV48" s="51" t="s">
        <v>171</v>
      </c>
      <c r="AW48" s="78" t="s">
        <v>172</v>
      </c>
      <c r="AX48" s="53"/>
      <c r="AY48" s="54" t="s">
        <v>171</v>
      </c>
      <c r="AZ48" s="49" t="s">
        <v>172</v>
      </c>
      <c r="BA48" s="50"/>
      <c r="BB48" s="51" t="s">
        <v>171</v>
      </c>
      <c r="BC48" s="277" t="s">
        <v>174</v>
      </c>
      <c r="BD48" s="53"/>
      <c r="BE48" s="75" t="s">
        <v>174</v>
      </c>
      <c r="BF48" s="280" t="s">
        <v>159</v>
      </c>
      <c r="BG48" s="50"/>
      <c r="BH48" s="51" t="s">
        <v>223</v>
      </c>
      <c r="BI48" s="282" t="s">
        <v>159</v>
      </c>
      <c r="BJ48" s="53"/>
      <c r="BK48" s="54" t="s">
        <v>159</v>
      </c>
      <c r="BL48" s="280" t="s">
        <v>224</v>
      </c>
      <c r="BM48" s="50"/>
      <c r="BN48" s="51" t="s">
        <v>225</v>
      </c>
    </row>
    <row r="49" customFormat="false" ht="17.25" hidden="false" customHeight="true" outlineLevel="0" collapsed="false">
      <c r="B49" s="270"/>
      <c r="C49" s="85" t="s">
        <v>227</v>
      </c>
      <c r="D49" s="80" t="s">
        <v>44</v>
      </c>
      <c r="E49" s="44" t="s">
        <v>45</v>
      </c>
      <c r="F49" s="91"/>
      <c r="G49" s="163" t="s">
        <v>155</v>
      </c>
      <c r="H49" s="100"/>
      <c r="I49" s="96" t="s">
        <v>155</v>
      </c>
      <c r="J49" s="49" t="s">
        <v>46</v>
      </c>
      <c r="K49" s="104"/>
      <c r="L49" s="154" t="s">
        <v>46</v>
      </c>
      <c r="M49" s="78" t="s">
        <v>46</v>
      </c>
      <c r="N49" s="53"/>
      <c r="O49" s="153" t="s">
        <v>46</v>
      </c>
      <c r="P49" s="78" t="s">
        <v>46</v>
      </c>
      <c r="Q49" s="53"/>
      <c r="R49" s="54" t="s">
        <v>46</v>
      </c>
      <c r="S49" s="276" t="s">
        <v>157</v>
      </c>
      <c r="T49" s="50"/>
      <c r="U49" s="51" t="s">
        <v>180</v>
      </c>
      <c r="V49" s="277" t="s">
        <v>158</v>
      </c>
      <c r="W49" s="100"/>
      <c r="X49" s="54" t="s">
        <v>191</v>
      </c>
      <c r="Y49" s="280" t="s">
        <v>160</v>
      </c>
      <c r="Z49" s="94"/>
      <c r="AA49" s="57" t="s">
        <v>228</v>
      </c>
      <c r="AB49" s="288" t="s">
        <v>160</v>
      </c>
      <c r="AC49" s="100"/>
      <c r="AD49" s="96" t="s">
        <v>228</v>
      </c>
      <c r="AE49" s="97" t="s">
        <v>229</v>
      </c>
      <c r="AF49" s="94"/>
      <c r="AG49" s="98" t="s">
        <v>230</v>
      </c>
      <c r="AH49" s="95" t="s">
        <v>218</v>
      </c>
      <c r="AI49" s="100"/>
      <c r="AJ49" s="96" t="s">
        <v>219</v>
      </c>
      <c r="AK49" s="286" t="s">
        <v>206</v>
      </c>
      <c r="AL49" s="170"/>
      <c r="AM49" s="171" t="s">
        <v>231</v>
      </c>
      <c r="AN49" s="55" t="s">
        <v>232</v>
      </c>
      <c r="AO49" s="94"/>
      <c r="AP49" s="51" t="s">
        <v>233</v>
      </c>
      <c r="AQ49" s="279" t="s">
        <v>222</v>
      </c>
      <c r="AR49" s="74"/>
      <c r="AS49" s="75" t="s">
        <v>169</v>
      </c>
      <c r="AT49" s="49" t="s">
        <v>185</v>
      </c>
      <c r="AU49" s="50"/>
      <c r="AV49" s="51" t="s">
        <v>171</v>
      </c>
      <c r="AW49" s="78" t="s">
        <v>185</v>
      </c>
      <c r="AX49" s="53"/>
      <c r="AY49" s="54" t="s">
        <v>172</v>
      </c>
      <c r="AZ49" s="49" t="s">
        <v>186</v>
      </c>
      <c r="BA49" s="50"/>
      <c r="BB49" s="51" t="s">
        <v>172</v>
      </c>
      <c r="BC49" s="277" t="s">
        <v>174</v>
      </c>
      <c r="BD49" s="100"/>
      <c r="BE49" s="75" t="s">
        <v>174</v>
      </c>
      <c r="BF49" s="280" t="s">
        <v>234</v>
      </c>
      <c r="BG49" s="50"/>
      <c r="BH49" s="51" t="s">
        <v>223</v>
      </c>
      <c r="BI49" s="282" t="s">
        <v>235</v>
      </c>
      <c r="BJ49" s="53"/>
      <c r="BK49" s="54" t="s">
        <v>234</v>
      </c>
      <c r="BL49" s="280" t="s">
        <v>234</v>
      </c>
      <c r="BM49" s="50"/>
      <c r="BN49" s="51" t="s">
        <v>225</v>
      </c>
    </row>
    <row r="50" customFormat="false" ht="17.25" hidden="false" customHeight="true" outlineLevel="0" collapsed="false">
      <c r="B50" s="270"/>
      <c r="C50" s="85"/>
      <c r="D50" s="80"/>
      <c r="E50" s="44" t="s">
        <v>47</v>
      </c>
      <c r="F50" s="91"/>
      <c r="G50" s="163" t="s">
        <v>155</v>
      </c>
      <c r="H50" s="100"/>
      <c r="I50" s="96" t="s">
        <v>155</v>
      </c>
      <c r="J50" s="49" t="s">
        <v>46</v>
      </c>
      <c r="K50" s="104"/>
      <c r="L50" s="154" t="s">
        <v>46</v>
      </c>
      <c r="M50" s="78" t="s">
        <v>46</v>
      </c>
      <c r="N50" s="53"/>
      <c r="O50" s="153" t="s">
        <v>46</v>
      </c>
      <c r="P50" s="78" t="s">
        <v>46</v>
      </c>
      <c r="Q50" s="53"/>
      <c r="R50" s="54" t="s">
        <v>46</v>
      </c>
      <c r="S50" s="276" t="s">
        <v>157</v>
      </c>
      <c r="T50" s="50"/>
      <c r="U50" s="51" t="s">
        <v>180</v>
      </c>
      <c r="V50" s="277" t="s">
        <v>158</v>
      </c>
      <c r="W50" s="100"/>
      <c r="X50" s="54" t="s">
        <v>191</v>
      </c>
      <c r="Y50" s="280" t="s">
        <v>160</v>
      </c>
      <c r="Z50" s="94"/>
      <c r="AA50" s="57" t="s">
        <v>228</v>
      </c>
      <c r="AB50" s="288" t="s">
        <v>160</v>
      </c>
      <c r="AC50" s="100"/>
      <c r="AD50" s="96" t="s">
        <v>228</v>
      </c>
      <c r="AE50" s="97" t="s">
        <v>229</v>
      </c>
      <c r="AF50" s="94"/>
      <c r="AG50" s="98" t="s">
        <v>230</v>
      </c>
      <c r="AH50" s="95" t="s">
        <v>218</v>
      </c>
      <c r="AI50" s="100"/>
      <c r="AJ50" s="96" t="s">
        <v>219</v>
      </c>
      <c r="AK50" s="286" t="s">
        <v>206</v>
      </c>
      <c r="AL50" s="170"/>
      <c r="AM50" s="171" t="s">
        <v>231</v>
      </c>
      <c r="AN50" s="55" t="s">
        <v>232</v>
      </c>
      <c r="AO50" s="94"/>
      <c r="AP50" s="51" t="s">
        <v>233</v>
      </c>
      <c r="AQ50" s="279" t="s">
        <v>222</v>
      </c>
      <c r="AR50" s="74"/>
      <c r="AS50" s="75" t="s">
        <v>169</v>
      </c>
      <c r="AT50" s="49" t="s">
        <v>185</v>
      </c>
      <c r="AU50" s="50"/>
      <c r="AV50" s="51" t="s">
        <v>171</v>
      </c>
      <c r="AW50" s="78" t="s">
        <v>185</v>
      </c>
      <c r="AX50" s="53"/>
      <c r="AY50" s="54" t="s">
        <v>172</v>
      </c>
      <c r="AZ50" s="49" t="s">
        <v>186</v>
      </c>
      <c r="BA50" s="50"/>
      <c r="BB50" s="51" t="s">
        <v>172</v>
      </c>
      <c r="BC50" s="277" t="s">
        <v>174</v>
      </c>
      <c r="BD50" s="100"/>
      <c r="BE50" s="75" t="s">
        <v>174</v>
      </c>
      <c r="BF50" s="280" t="s">
        <v>234</v>
      </c>
      <c r="BG50" s="50"/>
      <c r="BH50" s="51" t="s">
        <v>223</v>
      </c>
      <c r="BI50" s="282" t="s">
        <v>235</v>
      </c>
      <c r="BJ50" s="53"/>
      <c r="BK50" s="54" t="s">
        <v>234</v>
      </c>
      <c r="BL50" s="280" t="s">
        <v>234</v>
      </c>
      <c r="BM50" s="50"/>
      <c r="BN50" s="51" t="s">
        <v>225</v>
      </c>
    </row>
    <row r="51" customFormat="false" ht="17.25" hidden="false" customHeight="true" outlineLevel="0" collapsed="false">
      <c r="B51" s="270"/>
      <c r="C51" s="85"/>
      <c r="D51" s="80"/>
      <c r="E51" s="44" t="s">
        <v>48</v>
      </c>
      <c r="F51" s="91"/>
      <c r="G51" s="163" t="s">
        <v>155</v>
      </c>
      <c r="H51" s="100"/>
      <c r="I51" s="96" t="s">
        <v>155</v>
      </c>
      <c r="J51" s="49" t="s">
        <v>46</v>
      </c>
      <c r="K51" s="104"/>
      <c r="L51" s="154" t="s">
        <v>46</v>
      </c>
      <c r="M51" s="78" t="s">
        <v>46</v>
      </c>
      <c r="N51" s="53"/>
      <c r="O51" s="153" t="s">
        <v>46</v>
      </c>
      <c r="P51" s="78" t="s">
        <v>46</v>
      </c>
      <c r="Q51" s="53"/>
      <c r="R51" s="54" t="s">
        <v>46</v>
      </c>
      <c r="S51" s="276" t="s">
        <v>157</v>
      </c>
      <c r="T51" s="50"/>
      <c r="U51" s="51" t="s">
        <v>180</v>
      </c>
      <c r="V51" s="277" t="s">
        <v>158</v>
      </c>
      <c r="W51" s="100"/>
      <c r="X51" s="54" t="s">
        <v>191</v>
      </c>
      <c r="Y51" s="280" t="s">
        <v>160</v>
      </c>
      <c r="Z51" s="94"/>
      <c r="AA51" s="57" t="s">
        <v>228</v>
      </c>
      <c r="AB51" s="288" t="s">
        <v>160</v>
      </c>
      <c r="AC51" s="100"/>
      <c r="AD51" s="96" t="s">
        <v>228</v>
      </c>
      <c r="AE51" s="97" t="s">
        <v>229</v>
      </c>
      <c r="AF51" s="94"/>
      <c r="AG51" s="98" t="s">
        <v>230</v>
      </c>
      <c r="AH51" s="95" t="s">
        <v>218</v>
      </c>
      <c r="AI51" s="100"/>
      <c r="AJ51" s="96" t="s">
        <v>219</v>
      </c>
      <c r="AK51" s="286" t="s">
        <v>206</v>
      </c>
      <c r="AL51" s="170"/>
      <c r="AM51" s="171" t="s">
        <v>231</v>
      </c>
      <c r="AN51" s="55" t="s">
        <v>232</v>
      </c>
      <c r="AO51" s="94"/>
      <c r="AP51" s="51" t="s">
        <v>233</v>
      </c>
      <c r="AQ51" s="279" t="s">
        <v>222</v>
      </c>
      <c r="AR51" s="74"/>
      <c r="AS51" s="75" t="s">
        <v>169</v>
      </c>
      <c r="AT51" s="49" t="s">
        <v>185</v>
      </c>
      <c r="AU51" s="50"/>
      <c r="AV51" s="51" t="s">
        <v>171</v>
      </c>
      <c r="AW51" s="78" t="s">
        <v>185</v>
      </c>
      <c r="AX51" s="53"/>
      <c r="AY51" s="54" t="s">
        <v>172</v>
      </c>
      <c r="AZ51" s="49" t="s">
        <v>186</v>
      </c>
      <c r="BA51" s="50"/>
      <c r="BB51" s="51" t="s">
        <v>172</v>
      </c>
      <c r="BC51" s="277" t="s">
        <v>174</v>
      </c>
      <c r="BD51" s="100"/>
      <c r="BE51" s="75" t="s">
        <v>174</v>
      </c>
      <c r="BF51" s="280" t="s">
        <v>234</v>
      </c>
      <c r="BG51" s="50"/>
      <c r="BH51" s="51" t="s">
        <v>223</v>
      </c>
      <c r="BI51" s="282" t="s">
        <v>235</v>
      </c>
      <c r="BJ51" s="53"/>
      <c r="BK51" s="54" t="s">
        <v>234</v>
      </c>
      <c r="BL51" s="280" t="s">
        <v>234</v>
      </c>
      <c r="BM51" s="50"/>
      <c r="BN51" s="51" t="s">
        <v>225</v>
      </c>
    </row>
    <row r="52" customFormat="false" ht="17.25" hidden="false" customHeight="true" outlineLevel="0" collapsed="false">
      <c r="B52" s="270"/>
      <c r="C52" s="85"/>
      <c r="D52" s="80"/>
      <c r="E52" s="44" t="s">
        <v>49</v>
      </c>
      <c r="F52" s="91"/>
      <c r="G52" s="163" t="s">
        <v>155</v>
      </c>
      <c r="H52" s="100"/>
      <c r="I52" s="96" t="s">
        <v>155</v>
      </c>
      <c r="J52" s="49" t="s">
        <v>46</v>
      </c>
      <c r="K52" s="104"/>
      <c r="L52" s="154" t="s">
        <v>46</v>
      </c>
      <c r="M52" s="78" t="s">
        <v>46</v>
      </c>
      <c r="N52" s="53"/>
      <c r="O52" s="153" t="s">
        <v>46</v>
      </c>
      <c r="P52" s="78" t="s">
        <v>46</v>
      </c>
      <c r="Q52" s="53"/>
      <c r="R52" s="54" t="s">
        <v>46</v>
      </c>
      <c r="S52" s="276" t="s">
        <v>157</v>
      </c>
      <c r="T52" s="50"/>
      <c r="U52" s="51" t="s">
        <v>180</v>
      </c>
      <c r="V52" s="277" t="s">
        <v>158</v>
      </c>
      <c r="W52" s="100"/>
      <c r="X52" s="54" t="s">
        <v>191</v>
      </c>
      <c r="Y52" s="280" t="s">
        <v>160</v>
      </c>
      <c r="Z52" s="94"/>
      <c r="AA52" s="57" t="s">
        <v>228</v>
      </c>
      <c r="AB52" s="288" t="s">
        <v>160</v>
      </c>
      <c r="AC52" s="100"/>
      <c r="AD52" s="96" t="s">
        <v>228</v>
      </c>
      <c r="AE52" s="97" t="s">
        <v>229</v>
      </c>
      <c r="AF52" s="94"/>
      <c r="AG52" s="98" t="s">
        <v>230</v>
      </c>
      <c r="AH52" s="95" t="s">
        <v>218</v>
      </c>
      <c r="AI52" s="100"/>
      <c r="AJ52" s="96" t="s">
        <v>219</v>
      </c>
      <c r="AK52" s="286" t="s">
        <v>206</v>
      </c>
      <c r="AL52" s="170"/>
      <c r="AM52" s="171" t="s">
        <v>231</v>
      </c>
      <c r="AN52" s="55" t="s">
        <v>232</v>
      </c>
      <c r="AO52" s="94"/>
      <c r="AP52" s="51" t="s">
        <v>233</v>
      </c>
      <c r="AQ52" s="279" t="s">
        <v>222</v>
      </c>
      <c r="AR52" s="74"/>
      <c r="AS52" s="75" t="s">
        <v>169</v>
      </c>
      <c r="AT52" s="49" t="s">
        <v>185</v>
      </c>
      <c r="AU52" s="50"/>
      <c r="AV52" s="51" t="s">
        <v>171</v>
      </c>
      <c r="AW52" s="78" t="s">
        <v>185</v>
      </c>
      <c r="AX52" s="53"/>
      <c r="AY52" s="54" t="s">
        <v>172</v>
      </c>
      <c r="AZ52" s="49" t="s">
        <v>186</v>
      </c>
      <c r="BA52" s="50"/>
      <c r="BB52" s="51" t="s">
        <v>172</v>
      </c>
      <c r="BC52" s="277" t="s">
        <v>174</v>
      </c>
      <c r="BD52" s="100"/>
      <c r="BE52" s="75" t="s">
        <v>174</v>
      </c>
      <c r="BF52" s="280" t="s">
        <v>234</v>
      </c>
      <c r="BG52" s="50"/>
      <c r="BH52" s="51" t="s">
        <v>223</v>
      </c>
      <c r="BI52" s="282" t="s">
        <v>235</v>
      </c>
      <c r="BJ52" s="53"/>
      <c r="BK52" s="54" t="s">
        <v>234</v>
      </c>
      <c r="BL52" s="280" t="s">
        <v>234</v>
      </c>
      <c r="BM52" s="50"/>
      <c r="BN52" s="51" t="s">
        <v>225</v>
      </c>
    </row>
    <row r="53" customFormat="false" ht="17.25" hidden="false" customHeight="true" outlineLevel="0" collapsed="false">
      <c r="B53" s="270"/>
      <c r="C53" s="85"/>
      <c r="D53" s="80" t="s">
        <v>50</v>
      </c>
      <c r="E53" s="44" t="s">
        <v>45</v>
      </c>
      <c r="F53" s="91"/>
      <c r="G53" s="163" t="s">
        <v>155</v>
      </c>
      <c r="H53" s="100"/>
      <c r="I53" s="96" t="s">
        <v>155</v>
      </c>
      <c r="J53" s="49" t="s">
        <v>46</v>
      </c>
      <c r="K53" s="104"/>
      <c r="L53" s="154" t="s">
        <v>46</v>
      </c>
      <c r="M53" s="78" t="s">
        <v>46</v>
      </c>
      <c r="N53" s="53"/>
      <c r="O53" s="153" t="s">
        <v>46</v>
      </c>
      <c r="P53" s="78" t="s">
        <v>46</v>
      </c>
      <c r="Q53" s="53"/>
      <c r="R53" s="54" t="s">
        <v>46</v>
      </c>
      <c r="S53" s="276" t="s">
        <v>157</v>
      </c>
      <c r="T53" s="50"/>
      <c r="U53" s="51" t="s">
        <v>180</v>
      </c>
      <c r="V53" s="277" t="s">
        <v>158</v>
      </c>
      <c r="W53" s="100"/>
      <c r="X53" s="54" t="s">
        <v>191</v>
      </c>
      <c r="Y53" s="280" t="s">
        <v>160</v>
      </c>
      <c r="Z53" s="94"/>
      <c r="AA53" s="57" t="s">
        <v>228</v>
      </c>
      <c r="AB53" s="288" t="s">
        <v>160</v>
      </c>
      <c r="AC53" s="100"/>
      <c r="AD53" s="96" t="s">
        <v>228</v>
      </c>
      <c r="AE53" s="97" t="s">
        <v>229</v>
      </c>
      <c r="AF53" s="94"/>
      <c r="AG53" s="98" t="s">
        <v>230</v>
      </c>
      <c r="AH53" s="95" t="s">
        <v>218</v>
      </c>
      <c r="AI53" s="100"/>
      <c r="AJ53" s="96" t="s">
        <v>219</v>
      </c>
      <c r="AK53" s="286" t="s">
        <v>206</v>
      </c>
      <c r="AL53" s="170"/>
      <c r="AM53" s="171" t="s">
        <v>231</v>
      </c>
      <c r="AN53" s="55" t="s">
        <v>232</v>
      </c>
      <c r="AO53" s="94"/>
      <c r="AP53" s="51" t="s">
        <v>233</v>
      </c>
      <c r="AQ53" s="279" t="s">
        <v>222</v>
      </c>
      <c r="AR53" s="74"/>
      <c r="AS53" s="75" t="s">
        <v>169</v>
      </c>
      <c r="AT53" s="49" t="s">
        <v>185</v>
      </c>
      <c r="AU53" s="50"/>
      <c r="AV53" s="51" t="s">
        <v>171</v>
      </c>
      <c r="AW53" s="78" t="s">
        <v>185</v>
      </c>
      <c r="AX53" s="53"/>
      <c r="AY53" s="54" t="s">
        <v>172</v>
      </c>
      <c r="AZ53" s="49" t="s">
        <v>186</v>
      </c>
      <c r="BA53" s="50"/>
      <c r="BB53" s="51" t="s">
        <v>172</v>
      </c>
      <c r="BC53" s="277" t="s">
        <v>174</v>
      </c>
      <c r="BD53" s="100"/>
      <c r="BE53" s="75" t="s">
        <v>174</v>
      </c>
      <c r="BF53" s="280" t="s">
        <v>234</v>
      </c>
      <c r="BG53" s="50"/>
      <c r="BH53" s="51" t="s">
        <v>223</v>
      </c>
      <c r="BI53" s="282" t="s">
        <v>235</v>
      </c>
      <c r="BJ53" s="53"/>
      <c r="BK53" s="54" t="s">
        <v>234</v>
      </c>
      <c r="BL53" s="280" t="s">
        <v>234</v>
      </c>
      <c r="BM53" s="50"/>
      <c r="BN53" s="51" t="s">
        <v>225</v>
      </c>
    </row>
    <row r="54" customFormat="false" ht="17.25" hidden="false" customHeight="true" outlineLevel="0" collapsed="false">
      <c r="B54" s="270"/>
      <c r="C54" s="85"/>
      <c r="D54" s="80"/>
      <c r="E54" s="44" t="s">
        <v>47</v>
      </c>
      <c r="F54" s="91"/>
      <c r="G54" s="163" t="s">
        <v>155</v>
      </c>
      <c r="H54" s="100"/>
      <c r="I54" s="96" t="s">
        <v>155</v>
      </c>
      <c r="J54" s="49" t="s">
        <v>46</v>
      </c>
      <c r="K54" s="104"/>
      <c r="L54" s="154" t="s">
        <v>46</v>
      </c>
      <c r="M54" s="78" t="s">
        <v>46</v>
      </c>
      <c r="N54" s="53"/>
      <c r="O54" s="153" t="s">
        <v>46</v>
      </c>
      <c r="P54" s="78" t="s">
        <v>46</v>
      </c>
      <c r="Q54" s="53"/>
      <c r="R54" s="54" t="s">
        <v>46</v>
      </c>
      <c r="S54" s="276" t="s">
        <v>157</v>
      </c>
      <c r="T54" s="50"/>
      <c r="U54" s="51" t="s">
        <v>180</v>
      </c>
      <c r="V54" s="277" t="s">
        <v>158</v>
      </c>
      <c r="W54" s="100"/>
      <c r="X54" s="54" t="s">
        <v>191</v>
      </c>
      <c r="Y54" s="280" t="s">
        <v>160</v>
      </c>
      <c r="Z54" s="94"/>
      <c r="AA54" s="57" t="s">
        <v>228</v>
      </c>
      <c r="AB54" s="288" t="s">
        <v>160</v>
      </c>
      <c r="AC54" s="100"/>
      <c r="AD54" s="96" t="s">
        <v>228</v>
      </c>
      <c r="AE54" s="97" t="s">
        <v>229</v>
      </c>
      <c r="AF54" s="94"/>
      <c r="AG54" s="98" t="s">
        <v>230</v>
      </c>
      <c r="AH54" s="95" t="s">
        <v>218</v>
      </c>
      <c r="AI54" s="100"/>
      <c r="AJ54" s="96" t="s">
        <v>219</v>
      </c>
      <c r="AK54" s="286" t="s">
        <v>206</v>
      </c>
      <c r="AL54" s="170"/>
      <c r="AM54" s="171" t="s">
        <v>231</v>
      </c>
      <c r="AN54" s="55" t="s">
        <v>232</v>
      </c>
      <c r="AO54" s="94"/>
      <c r="AP54" s="51" t="s">
        <v>233</v>
      </c>
      <c r="AQ54" s="279" t="s">
        <v>222</v>
      </c>
      <c r="AR54" s="74"/>
      <c r="AS54" s="75" t="s">
        <v>169</v>
      </c>
      <c r="AT54" s="49" t="s">
        <v>185</v>
      </c>
      <c r="AU54" s="50"/>
      <c r="AV54" s="51" t="s">
        <v>171</v>
      </c>
      <c r="AW54" s="78" t="s">
        <v>185</v>
      </c>
      <c r="AX54" s="53"/>
      <c r="AY54" s="54" t="s">
        <v>172</v>
      </c>
      <c r="AZ54" s="49" t="s">
        <v>186</v>
      </c>
      <c r="BA54" s="50"/>
      <c r="BB54" s="51" t="s">
        <v>172</v>
      </c>
      <c r="BC54" s="277" t="s">
        <v>174</v>
      </c>
      <c r="BD54" s="100"/>
      <c r="BE54" s="75" t="s">
        <v>174</v>
      </c>
      <c r="BF54" s="280" t="s">
        <v>234</v>
      </c>
      <c r="BG54" s="50"/>
      <c r="BH54" s="51" t="s">
        <v>223</v>
      </c>
      <c r="BI54" s="282" t="s">
        <v>235</v>
      </c>
      <c r="BJ54" s="53"/>
      <c r="BK54" s="54" t="s">
        <v>234</v>
      </c>
      <c r="BL54" s="280" t="s">
        <v>234</v>
      </c>
      <c r="BM54" s="50"/>
      <c r="BN54" s="51" t="s">
        <v>225</v>
      </c>
    </row>
    <row r="55" customFormat="false" ht="17.25" hidden="false" customHeight="true" outlineLevel="0" collapsed="false">
      <c r="B55" s="270"/>
      <c r="C55" s="85"/>
      <c r="D55" s="80"/>
      <c r="E55" s="44" t="s">
        <v>48</v>
      </c>
      <c r="F55" s="91"/>
      <c r="G55" s="163" t="s">
        <v>155</v>
      </c>
      <c r="H55" s="100"/>
      <c r="I55" s="96" t="s">
        <v>155</v>
      </c>
      <c r="J55" s="49" t="s">
        <v>46</v>
      </c>
      <c r="K55" s="104"/>
      <c r="L55" s="154" t="s">
        <v>46</v>
      </c>
      <c r="M55" s="78" t="s">
        <v>46</v>
      </c>
      <c r="N55" s="53"/>
      <c r="O55" s="153" t="s">
        <v>46</v>
      </c>
      <c r="P55" s="78" t="s">
        <v>46</v>
      </c>
      <c r="Q55" s="53"/>
      <c r="R55" s="54" t="s">
        <v>46</v>
      </c>
      <c r="S55" s="276" t="s">
        <v>157</v>
      </c>
      <c r="T55" s="50"/>
      <c r="U55" s="51" t="s">
        <v>180</v>
      </c>
      <c r="V55" s="277" t="s">
        <v>158</v>
      </c>
      <c r="W55" s="100"/>
      <c r="X55" s="54" t="s">
        <v>191</v>
      </c>
      <c r="Y55" s="280" t="s">
        <v>160</v>
      </c>
      <c r="Z55" s="94"/>
      <c r="AA55" s="57" t="s">
        <v>228</v>
      </c>
      <c r="AB55" s="288" t="s">
        <v>160</v>
      </c>
      <c r="AC55" s="100"/>
      <c r="AD55" s="96" t="s">
        <v>228</v>
      </c>
      <c r="AE55" s="97" t="s">
        <v>229</v>
      </c>
      <c r="AF55" s="94"/>
      <c r="AG55" s="98" t="s">
        <v>230</v>
      </c>
      <c r="AH55" s="95" t="s">
        <v>218</v>
      </c>
      <c r="AI55" s="100"/>
      <c r="AJ55" s="96" t="s">
        <v>219</v>
      </c>
      <c r="AK55" s="286" t="s">
        <v>206</v>
      </c>
      <c r="AL55" s="170"/>
      <c r="AM55" s="171" t="s">
        <v>231</v>
      </c>
      <c r="AN55" s="55" t="s">
        <v>232</v>
      </c>
      <c r="AO55" s="94"/>
      <c r="AP55" s="51" t="s">
        <v>233</v>
      </c>
      <c r="AQ55" s="279" t="s">
        <v>222</v>
      </c>
      <c r="AR55" s="74"/>
      <c r="AS55" s="75" t="s">
        <v>169</v>
      </c>
      <c r="AT55" s="49" t="s">
        <v>185</v>
      </c>
      <c r="AU55" s="50"/>
      <c r="AV55" s="51" t="s">
        <v>171</v>
      </c>
      <c r="AW55" s="78" t="s">
        <v>185</v>
      </c>
      <c r="AX55" s="53"/>
      <c r="AY55" s="54" t="s">
        <v>172</v>
      </c>
      <c r="AZ55" s="49" t="s">
        <v>186</v>
      </c>
      <c r="BA55" s="50"/>
      <c r="BB55" s="51" t="s">
        <v>172</v>
      </c>
      <c r="BC55" s="277" t="s">
        <v>174</v>
      </c>
      <c r="BD55" s="100"/>
      <c r="BE55" s="75" t="s">
        <v>174</v>
      </c>
      <c r="BF55" s="280" t="s">
        <v>234</v>
      </c>
      <c r="BG55" s="50"/>
      <c r="BH55" s="51" t="s">
        <v>223</v>
      </c>
      <c r="BI55" s="282" t="s">
        <v>235</v>
      </c>
      <c r="BJ55" s="53"/>
      <c r="BK55" s="54" t="s">
        <v>234</v>
      </c>
      <c r="BL55" s="280" t="s">
        <v>234</v>
      </c>
      <c r="BM55" s="50"/>
      <c r="BN55" s="51" t="s">
        <v>225</v>
      </c>
    </row>
    <row r="56" customFormat="false" ht="17.25" hidden="false" customHeight="true" outlineLevel="0" collapsed="false">
      <c r="B56" s="270"/>
      <c r="C56" s="85"/>
      <c r="D56" s="80"/>
      <c r="E56" s="44" t="s">
        <v>49</v>
      </c>
      <c r="F56" s="91"/>
      <c r="G56" s="163" t="s">
        <v>155</v>
      </c>
      <c r="H56" s="100"/>
      <c r="I56" s="96" t="s">
        <v>155</v>
      </c>
      <c r="J56" s="49" t="s">
        <v>46</v>
      </c>
      <c r="K56" s="104"/>
      <c r="L56" s="154" t="s">
        <v>46</v>
      </c>
      <c r="M56" s="78" t="s">
        <v>46</v>
      </c>
      <c r="N56" s="53"/>
      <c r="O56" s="153" t="s">
        <v>46</v>
      </c>
      <c r="P56" s="78" t="s">
        <v>46</v>
      </c>
      <c r="Q56" s="53"/>
      <c r="R56" s="54" t="s">
        <v>46</v>
      </c>
      <c r="S56" s="276" t="s">
        <v>157</v>
      </c>
      <c r="T56" s="50"/>
      <c r="U56" s="51" t="s">
        <v>180</v>
      </c>
      <c r="V56" s="277" t="s">
        <v>158</v>
      </c>
      <c r="W56" s="100"/>
      <c r="X56" s="54" t="s">
        <v>191</v>
      </c>
      <c r="Y56" s="280" t="s">
        <v>160</v>
      </c>
      <c r="Z56" s="94"/>
      <c r="AA56" s="57" t="s">
        <v>228</v>
      </c>
      <c r="AB56" s="288" t="s">
        <v>160</v>
      </c>
      <c r="AC56" s="100"/>
      <c r="AD56" s="96" t="s">
        <v>228</v>
      </c>
      <c r="AE56" s="97" t="s">
        <v>229</v>
      </c>
      <c r="AF56" s="94"/>
      <c r="AG56" s="98" t="s">
        <v>230</v>
      </c>
      <c r="AH56" s="95" t="s">
        <v>218</v>
      </c>
      <c r="AI56" s="100"/>
      <c r="AJ56" s="96" t="s">
        <v>219</v>
      </c>
      <c r="AK56" s="286" t="s">
        <v>206</v>
      </c>
      <c r="AL56" s="170"/>
      <c r="AM56" s="171" t="s">
        <v>231</v>
      </c>
      <c r="AN56" s="55" t="s">
        <v>232</v>
      </c>
      <c r="AO56" s="94"/>
      <c r="AP56" s="51" t="s">
        <v>233</v>
      </c>
      <c r="AQ56" s="279" t="s">
        <v>222</v>
      </c>
      <c r="AR56" s="74"/>
      <c r="AS56" s="75" t="s">
        <v>169</v>
      </c>
      <c r="AT56" s="49" t="s">
        <v>185</v>
      </c>
      <c r="AU56" s="50"/>
      <c r="AV56" s="51" t="s">
        <v>171</v>
      </c>
      <c r="AW56" s="78" t="s">
        <v>185</v>
      </c>
      <c r="AX56" s="53"/>
      <c r="AY56" s="54" t="s">
        <v>172</v>
      </c>
      <c r="AZ56" s="49" t="s">
        <v>186</v>
      </c>
      <c r="BA56" s="50"/>
      <c r="BB56" s="51" t="s">
        <v>172</v>
      </c>
      <c r="BC56" s="277" t="s">
        <v>174</v>
      </c>
      <c r="BD56" s="100"/>
      <c r="BE56" s="75" t="s">
        <v>174</v>
      </c>
      <c r="BF56" s="280" t="s">
        <v>234</v>
      </c>
      <c r="BG56" s="50"/>
      <c r="BH56" s="51" t="s">
        <v>223</v>
      </c>
      <c r="BI56" s="282" t="s">
        <v>235</v>
      </c>
      <c r="BJ56" s="53"/>
      <c r="BK56" s="54" t="s">
        <v>234</v>
      </c>
      <c r="BL56" s="280" t="s">
        <v>234</v>
      </c>
      <c r="BM56" s="50"/>
      <c r="BN56" s="51" t="s">
        <v>225</v>
      </c>
    </row>
    <row r="57" customFormat="false" ht="17.25" hidden="false" customHeight="true" outlineLevel="0" collapsed="false">
      <c r="B57" s="270"/>
      <c r="C57" s="85"/>
      <c r="D57" s="80" t="s">
        <v>51</v>
      </c>
      <c r="E57" s="44" t="s">
        <v>45</v>
      </c>
      <c r="F57" s="91"/>
      <c r="G57" s="163" t="s">
        <v>155</v>
      </c>
      <c r="H57" s="100"/>
      <c r="I57" s="96" t="s">
        <v>155</v>
      </c>
      <c r="J57" s="49" t="s">
        <v>46</v>
      </c>
      <c r="K57" s="104"/>
      <c r="L57" s="154" t="s">
        <v>46</v>
      </c>
      <c r="M57" s="78" t="s">
        <v>46</v>
      </c>
      <c r="N57" s="53"/>
      <c r="O57" s="153" t="s">
        <v>46</v>
      </c>
      <c r="P57" s="78" t="s">
        <v>46</v>
      </c>
      <c r="Q57" s="53"/>
      <c r="R57" s="54" t="s">
        <v>46</v>
      </c>
      <c r="S57" s="276" t="s">
        <v>157</v>
      </c>
      <c r="T57" s="50"/>
      <c r="U57" s="51" t="s">
        <v>180</v>
      </c>
      <c r="V57" s="277" t="s">
        <v>158</v>
      </c>
      <c r="W57" s="100"/>
      <c r="X57" s="54" t="s">
        <v>191</v>
      </c>
      <c r="Y57" s="280" t="s">
        <v>160</v>
      </c>
      <c r="Z57" s="94"/>
      <c r="AA57" s="57" t="s">
        <v>228</v>
      </c>
      <c r="AB57" s="288" t="s">
        <v>160</v>
      </c>
      <c r="AC57" s="100"/>
      <c r="AD57" s="96" t="s">
        <v>228</v>
      </c>
      <c r="AE57" s="97" t="s">
        <v>229</v>
      </c>
      <c r="AF57" s="94"/>
      <c r="AG57" s="98" t="s">
        <v>230</v>
      </c>
      <c r="AH57" s="95" t="s">
        <v>226</v>
      </c>
      <c r="AI57" s="100"/>
      <c r="AJ57" s="96" t="s">
        <v>219</v>
      </c>
      <c r="AK57" s="286" t="s">
        <v>206</v>
      </c>
      <c r="AL57" s="170"/>
      <c r="AM57" s="171" t="s">
        <v>231</v>
      </c>
      <c r="AN57" s="55" t="s">
        <v>232</v>
      </c>
      <c r="AO57" s="94"/>
      <c r="AP57" s="51" t="s">
        <v>233</v>
      </c>
      <c r="AQ57" s="279" t="s">
        <v>222</v>
      </c>
      <c r="AR57" s="74"/>
      <c r="AS57" s="75" t="s">
        <v>169</v>
      </c>
      <c r="AT57" s="49" t="s">
        <v>185</v>
      </c>
      <c r="AU57" s="50"/>
      <c r="AV57" s="51" t="s">
        <v>171</v>
      </c>
      <c r="AW57" s="78" t="s">
        <v>185</v>
      </c>
      <c r="AX57" s="53"/>
      <c r="AY57" s="54" t="s">
        <v>172</v>
      </c>
      <c r="AZ57" s="49" t="s">
        <v>186</v>
      </c>
      <c r="BA57" s="50"/>
      <c r="BB57" s="51" t="s">
        <v>172</v>
      </c>
      <c r="BC57" s="277" t="s">
        <v>174</v>
      </c>
      <c r="BD57" s="100"/>
      <c r="BE57" s="75" t="s">
        <v>174</v>
      </c>
      <c r="BF57" s="280" t="s">
        <v>234</v>
      </c>
      <c r="BG57" s="50"/>
      <c r="BH57" s="51" t="s">
        <v>223</v>
      </c>
      <c r="BI57" s="282" t="s">
        <v>235</v>
      </c>
      <c r="BJ57" s="53"/>
      <c r="BK57" s="54" t="s">
        <v>234</v>
      </c>
      <c r="BL57" s="280" t="s">
        <v>234</v>
      </c>
      <c r="BM57" s="50"/>
      <c r="BN57" s="51" t="s">
        <v>225</v>
      </c>
    </row>
    <row r="58" customFormat="false" ht="17.25" hidden="false" customHeight="true" outlineLevel="0" collapsed="false">
      <c r="B58" s="270"/>
      <c r="C58" s="85"/>
      <c r="D58" s="80"/>
      <c r="E58" s="44" t="s">
        <v>47</v>
      </c>
      <c r="F58" s="91"/>
      <c r="G58" s="163" t="s">
        <v>155</v>
      </c>
      <c r="H58" s="100"/>
      <c r="I58" s="96" t="s">
        <v>155</v>
      </c>
      <c r="J58" s="49" t="s">
        <v>46</v>
      </c>
      <c r="K58" s="104"/>
      <c r="L58" s="154" t="s">
        <v>46</v>
      </c>
      <c r="M58" s="78" t="s">
        <v>46</v>
      </c>
      <c r="N58" s="53"/>
      <c r="O58" s="153" t="s">
        <v>46</v>
      </c>
      <c r="P58" s="78" t="s">
        <v>46</v>
      </c>
      <c r="Q58" s="53"/>
      <c r="R58" s="54" t="s">
        <v>46</v>
      </c>
      <c r="S58" s="276" t="s">
        <v>157</v>
      </c>
      <c r="T58" s="50"/>
      <c r="U58" s="51" t="s">
        <v>180</v>
      </c>
      <c r="V58" s="277" t="s">
        <v>158</v>
      </c>
      <c r="W58" s="100"/>
      <c r="X58" s="54" t="s">
        <v>191</v>
      </c>
      <c r="Y58" s="280" t="s">
        <v>160</v>
      </c>
      <c r="Z58" s="94"/>
      <c r="AA58" s="57" t="s">
        <v>228</v>
      </c>
      <c r="AB58" s="288" t="s">
        <v>160</v>
      </c>
      <c r="AC58" s="100"/>
      <c r="AD58" s="96" t="s">
        <v>228</v>
      </c>
      <c r="AE58" s="97" t="s">
        <v>229</v>
      </c>
      <c r="AF58" s="94"/>
      <c r="AG58" s="98" t="s">
        <v>230</v>
      </c>
      <c r="AH58" s="95" t="s">
        <v>226</v>
      </c>
      <c r="AI58" s="100"/>
      <c r="AJ58" s="96" t="s">
        <v>219</v>
      </c>
      <c r="AK58" s="286" t="s">
        <v>206</v>
      </c>
      <c r="AL58" s="170"/>
      <c r="AM58" s="171" t="s">
        <v>231</v>
      </c>
      <c r="AN58" s="55" t="s">
        <v>232</v>
      </c>
      <c r="AO58" s="94"/>
      <c r="AP58" s="51" t="s">
        <v>233</v>
      </c>
      <c r="AQ58" s="279" t="s">
        <v>222</v>
      </c>
      <c r="AR58" s="74"/>
      <c r="AS58" s="75" t="s">
        <v>169</v>
      </c>
      <c r="AT58" s="49" t="s">
        <v>185</v>
      </c>
      <c r="AU58" s="50"/>
      <c r="AV58" s="51" t="s">
        <v>171</v>
      </c>
      <c r="AW58" s="78" t="s">
        <v>185</v>
      </c>
      <c r="AX58" s="53"/>
      <c r="AY58" s="54" t="s">
        <v>172</v>
      </c>
      <c r="AZ58" s="49" t="s">
        <v>186</v>
      </c>
      <c r="BA58" s="50"/>
      <c r="BB58" s="51" t="s">
        <v>172</v>
      </c>
      <c r="BC58" s="277" t="s">
        <v>174</v>
      </c>
      <c r="BD58" s="100"/>
      <c r="BE58" s="75" t="s">
        <v>174</v>
      </c>
      <c r="BF58" s="280" t="s">
        <v>234</v>
      </c>
      <c r="BG58" s="50"/>
      <c r="BH58" s="51" t="s">
        <v>223</v>
      </c>
      <c r="BI58" s="282" t="s">
        <v>235</v>
      </c>
      <c r="BJ58" s="53"/>
      <c r="BK58" s="54" t="s">
        <v>234</v>
      </c>
      <c r="BL58" s="280" t="s">
        <v>234</v>
      </c>
      <c r="BM58" s="50"/>
      <c r="BN58" s="51" t="s">
        <v>225</v>
      </c>
    </row>
    <row r="59" customFormat="false" ht="17.25" hidden="false" customHeight="true" outlineLevel="0" collapsed="false">
      <c r="B59" s="270"/>
      <c r="C59" s="85"/>
      <c r="D59" s="80"/>
      <c r="E59" s="44" t="s">
        <v>48</v>
      </c>
      <c r="F59" s="91"/>
      <c r="G59" s="163" t="s">
        <v>155</v>
      </c>
      <c r="H59" s="100"/>
      <c r="I59" s="96" t="s">
        <v>155</v>
      </c>
      <c r="J59" s="49" t="s">
        <v>46</v>
      </c>
      <c r="K59" s="104"/>
      <c r="L59" s="154" t="s">
        <v>46</v>
      </c>
      <c r="M59" s="78" t="s">
        <v>46</v>
      </c>
      <c r="N59" s="53"/>
      <c r="O59" s="153" t="s">
        <v>46</v>
      </c>
      <c r="P59" s="78" t="s">
        <v>46</v>
      </c>
      <c r="Q59" s="53"/>
      <c r="R59" s="54" t="s">
        <v>46</v>
      </c>
      <c r="S59" s="276" t="s">
        <v>157</v>
      </c>
      <c r="T59" s="50"/>
      <c r="U59" s="51" t="s">
        <v>180</v>
      </c>
      <c r="V59" s="277" t="s">
        <v>158</v>
      </c>
      <c r="W59" s="100"/>
      <c r="X59" s="54" t="s">
        <v>191</v>
      </c>
      <c r="Y59" s="280" t="s">
        <v>160</v>
      </c>
      <c r="Z59" s="94"/>
      <c r="AA59" s="57" t="s">
        <v>228</v>
      </c>
      <c r="AB59" s="288" t="s">
        <v>160</v>
      </c>
      <c r="AC59" s="100"/>
      <c r="AD59" s="96" t="s">
        <v>228</v>
      </c>
      <c r="AE59" s="97" t="s">
        <v>229</v>
      </c>
      <c r="AF59" s="94"/>
      <c r="AG59" s="98" t="s">
        <v>230</v>
      </c>
      <c r="AH59" s="95" t="s">
        <v>226</v>
      </c>
      <c r="AI59" s="100"/>
      <c r="AJ59" s="96" t="s">
        <v>219</v>
      </c>
      <c r="AK59" s="286" t="s">
        <v>206</v>
      </c>
      <c r="AL59" s="170"/>
      <c r="AM59" s="171" t="s">
        <v>231</v>
      </c>
      <c r="AN59" s="55" t="s">
        <v>232</v>
      </c>
      <c r="AO59" s="94"/>
      <c r="AP59" s="51" t="s">
        <v>233</v>
      </c>
      <c r="AQ59" s="279" t="s">
        <v>222</v>
      </c>
      <c r="AR59" s="74"/>
      <c r="AS59" s="75" t="s">
        <v>169</v>
      </c>
      <c r="AT59" s="49" t="s">
        <v>185</v>
      </c>
      <c r="AU59" s="50"/>
      <c r="AV59" s="51" t="s">
        <v>171</v>
      </c>
      <c r="AW59" s="78" t="s">
        <v>185</v>
      </c>
      <c r="AX59" s="53"/>
      <c r="AY59" s="54" t="s">
        <v>172</v>
      </c>
      <c r="AZ59" s="49" t="s">
        <v>186</v>
      </c>
      <c r="BA59" s="50"/>
      <c r="BB59" s="51" t="s">
        <v>172</v>
      </c>
      <c r="BC59" s="277" t="s">
        <v>174</v>
      </c>
      <c r="BD59" s="100"/>
      <c r="BE59" s="75" t="s">
        <v>174</v>
      </c>
      <c r="BF59" s="280" t="s">
        <v>234</v>
      </c>
      <c r="BG59" s="50"/>
      <c r="BH59" s="51" t="s">
        <v>223</v>
      </c>
      <c r="BI59" s="282" t="s">
        <v>235</v>
      </c>
      <c r="BJ59" s="53"/>
      <c r="BK59" s="54" t="s">
        <v>234</v>
      </c>
      <c r="BL59" s="280" t="s">
        <v>234</v>
      </c>
      <c r="BM59" s="50"/>
      <c r="BN59" s="51" t="s">
        <v>225</v>
      </c>
    </row>
    <row r="60" customFormat="false" ht="17.25" hidden="false" customHeight="true" outlineLevel="0" collapsed="false">
      <c r="B60" s="270"/>
      <c r="C60" s="85"/>
      <c r="D60" s="80"/>
      <c r="E60" s="44" t="s">
        <v>49</v>
      </c>
      <c r="F60" s="91"/>
      <c r="G60" s="163" t="s">
        <v>155</v>
      </c>
      <c r="H60" s="100"/>
      <c r="I60" s="96" t="s">
        <v>155</v>
      </c>
      <c r="J60" s="49" t="s">
        <v>46</v>
      </c>
      <c r="K60" s="104"/>
      <c r="L60" s="154" t="s">
        <v>46</v>
      </c>
      <c r="M60" s="78" t="s">
        <v>46</v>
      </c>
      <c r="N60" s="53"/>
      <c r="O60" s="153" t="s">
        <v>46</v>
      </c>
      <c r="P60" s="78" t="s">
        <v>46</v>
      </c>
      <c r="Q60" s="53"/>
      <c r="R60" s="54" t="s">
        <v>46</v>
      </c>
      <c r="S60" s="276" t="s">
        <v>157</v>
      </c>
      <c r="T60" s="50"/>
      <c r="U60" s="51" t="s">
        <v>180</v>
      </c>
      <c r="V60" s="277" t="s">
        <v>158</v>
      </c>
      <c r="W60" s="100"/>
      <c r="X60" s="54" t="s">
        <v>191</v>
      </c>
      <c r="Y60" s="280" t="s">
        <v>160</v>
      </c>
      <c r="Z60" s="94"/>
      <c r="AA60" s="57" t="s">
        <v>228</v>
      </c>
      <c r="AB60" s="288" t="s">
        <v>160</v>
      </c>
      <c r="AC60" s="100"/>
      <c r="AD60" s="96" t="s">
        <v>228</v>
      </c>
      <c r="AE60" s="97" t="s">
        <v>229</v>
      </c>
      <c r="AF60" s="94"/>
      <c r="AG60" s="98" t="s">
        <v>230</v>
      </c>
      <c r="AH60" s="95" t="s">
        <v>226</v>
      </c>
      <c r="AI60" s="100"/>
      <c r="AJ60" s="96" t="s">
        <v>219</v>
      </c>
      <c r="AK60" s="286" t="s">
        <v>206</v>
      </c>
      <c r="AL60" s="170"/>
      <c r="AM60" s="171" t="s">
        <v>231</v>
      </c>
      <c r="AN60" s="55" t="s">
        <v>232</v>
      </c>
      <c r="AO60" s="94"/>
      <c r="AP60" s="51" t="s">
        <v>233</v>
      </c>
      <c r="AQ60" s="279" t="s">
        <v>222</v>
      </c>
      <c r="AR60" s="74"/>
      <c r="AS60" s="75" t="s">
        <v>169</v>
      </c>
      <c r="AT60" s="49" t="s">
        <v>185</v>
      </c>
      <c r="AU60" s="50"/>
      <c r="AV60" s="51" t="s">
        <v>171</v>
      </c>
      <c r="AW60" s="78" t="s">
        <v>185</v>
      </c>
      <c r="AX60" s="53"/>
      <c r="AY60" s="54" t="s">
        <v>172</v>
      </c>
      <c r="AZ60" s="49" t="s">
        <v>186</v>
      </c>
      <c r="BA60" s="50"/>
      <c r="BB60" s="51" t="s">
        <v>172</v>
      </c>
      <c r="BC60" s="277" t="s">
        <v>174</v>
      </c>
      <c r="BD60" s="100"/>
      <c r="BE60" s="75" t="s">
        <v>174</v>
      </c>
      <c r="BF60" s="280" t="s">
        <v>234</v>
      </c>
      <c r="BG60" s="50"/>
      <c r="BH60" s="51" t="s">
        <v>223</v>
      </c>
      <c r="BI60" s="282" t="s">
        <v>235</v>
      </c>
      <c r="BJ60" s="53"/>
      <c r="BK60" s="54" t="s">
        <v>234</v>
      </c>
      <c r="BL60" s="280" t="s">
        <v>234</v>
      </c>
      <c r="BM60" s="50"/>
      <c r="BN60" s="51" t="s">
        <v>225</v>
      </c>
    </row>
    <row r="61" customFormat="false" ht="17.25" hidden="false" customHeight="true" outlineLevel="0" collapsed="false">
      <c r="B61" s="270"/>
      <c r="C61" s="85" t="s">
        <v>236</v>
      </c>
      <c r="D61" s="80" t="s">
        <v>44</v>
      </c>
      <c r="E61" s="44" t="s">
        <v>45</v>
      </c>
      <c r="F61" s="91"/>
      <c r="G61" s="163" t="s">
        <v>155</v>
      </c>
      <c r="H61" s="100"/>
      <c r="I61" s="96" t="s">
        <v>155</v>
      </c>
      <c r="J61" s="49" t="s">
        <v>46</v>
      </c>
      <c r="K61" s="104"/>
      <c r="L61" s="154" t="s">
        <v>46</v>
      </c>
      <c r="M61" s="78" t="s">
        <v>46</v>
      </c>
      <c r="N61" s="53"/>
      <c r="O61" s="153" t="s">
        <v>46</v>
      </c>
      <c r="P61" s="78" t="s">
        <v>46</v>
      </c>
      <c r="Q61" s="53"/>
      <c r="R61" s="54" t="s">
        <v>46</v>
      </c>
      <c r="S61" s="276" t="s">
        <v>157</v>
      </c>
      <c r="T61" s="50"/>
      <c r="U61" s="51" t="s">
        <v>180</v>
      </c>
      <c r="V61" s="277" t="s">
        <v>158</v>
      </c>
      <c r="W61" s="100"/>
      <c r="X61" s="54" t="s">
        <v>191</v>
      </c>
      <c r="Y61" s="280" t="s">
        <v>160</v>
      </c>
      <c r="Z61" s="94"/>
      <c r="AA61" s="57" t="s">
        <v>228</v>
      </c>
      <c r="AB61" s="288" t="s">
        <v>160</v>
      </c>
      <c r="AC61" s="100"/>
      <c r="AD61" s="96" t="s">
        <v>228</v>
      </c>
      <c r="AE61" s="97" t="s">
        <v>229</v>
      </c>
      <c r="AF61" s="94"/>
      <c r="AG61" s="98" t="s">
        <v>230</v>
      </c>
      <c r="AH61" s="95" t="s">
        <v>218</v>
      </c>
      <c r="AI61" s="100"/>
      <c r="AJ61" s="96" t="s">
        <v>219</v>
      </c>
      <c r="AK61" s="286" t="s">
        <v>206</v>
      </c>
      <c r="AL61" s="170"/>
      <c r="AM61" s="171" t="s">
        <v>231</v>
      </c>
      <c r="AN61" s="55" t="s">
        <v>232</v>
      </c>
      <c r="AO61" s="94"/>
      <c r="AP61" s="51" t="s">
        <v>233</v>
      </c>
      <c r="AQ61" s="279" t="s">
        <v>222</v>
      </c>
      <c r="AR61" s="74"/>
      <c r="AS61" s="75" t="s">
        <v>169</v>
      </c>
      <c r="AT61" s="49" t="s">
        <v>185</v>
      </c>
      <c r="AU61" s="50"/>
      <c r="AV61" s="51" t="s">
        <v>171</v>
      </c>
      <c r="AW61" s="78" t="s">
        <v>185</v>
      </c>
      <c r="AX61" s="53"/>
      <c r="AY61" s="54" t="s">
        <v>172</v>
      </c>
      <c r="AZ61" s="49" t="s">
        <v>186</v>
      </c>
      <c r="BA61" s="50"/>
      <c r="BB61" s="51" t="s">
        <v>172</v>
      </c>
      <c r="BC61" s="277" t="s">
        <v>174</v>
      </c>
      <c r="BD61" s="100"/>
      <c r="BE61" s="75" t="s">
        <v>174</v>
      </c>
      <c r="BF61" s="280" t="s">
        <v>234</v>
      </c>
      <c r="BG61" s="50"/>
      <c r="BH61" s="51" t="s">
        <v>223</v>
      </c>
      <c r="BI61" s="282" t="s">
        <v>235</v>
      </c>
      <c r="BJ61" s="53"/>
      <c r="BK61" s="54" t="s">
        <v>234</v>
      </c>
      <c r="BL61" s="280" t="s">
        <v>234</v>
      </c>
      <c r="BM61" s="50"/>
      <c r="BN61" s="51" t="s">
        <v>225</v>
      </c>
    </row>
    <row r="62" customFormat="false" ht="17.25" hidden="false" customHeight="true" outlineLevel="0" collapsed="false">
      <c r="B62" s="270"/>
      <c r="C62" s="85"/>
      <c r="D62" s="80"/>
      <c r="E62" s="44" t="s">
        <v>47</v>
      </c>
      <c r="F62" s="91"/>
      <c r="G62" s="163" t="s">
        <v>155</v>
      </c>
      <c r="H62" s="100"/>
      <c r="I62" s="96" t="s">
        <v>155</v>
      </c>
      <c r="J62" s="49" t="s">
        <v>46</v>
      </c>
      <c r="K62" s="104"/>
      <c r="L62" s="154" t="s">
        <v>46</v>
      </c>
      <c r="M62" s="78" t="s">
        <v>46</v>
      </c>
      <c r="N62" s="53"/>
      <c r="O62" s="153" t="s">
        <v>46</v>
      </c>
      <c r="P62" s="78" t="s">
        <v>46</v>
      </c>
      <c r="Q62" s="53"/>
      <c r="R62" s="54" t="s">
        <v>46</v>
      </c>
      <c r="S62" s="276" t="s">
        <v>157</v>
      </c>
      <c r="T62" s="50"/>
      <c r="U62" s="51" t="s">
        <v>180</v>
      </c>
      <c r="V62" s="277" t="s">
        <v>158</v>
      </c>
      <c r="W62" s="100"/>
      <c r="X62" s="54" t="s">
        <v>191</v>
      </c>
      <c r="Y62" s="280" t="s">
        <v>160</v>
      </c>
      <c r="Z62" s="94"/>
      <c r="AA62" s="57" t="s">
        <v>228</v>
      </c>
      <c r="AB62" s="288" t="s">
        <v>160</v>
      </c>
      <c r="AC62" s="100"/>
      <c r="AD62" s="96" t="s">
        <v>228</v>
      </c>
      <c r="AE62" s="97" t="s">
        <v>229</v>
      </c>
      <c r="AF62" s="94"/>
      <c r="AG62" s="98" t="s">
        <v>230</v>
      </c>
      <c r="AH62" s="95" t="s">
        <v>218</v>
      </c>
      <c r="AI62" s="100"/>
      <c r="AJ62" s="96" t="s">
        <v>219</v>
      </c>
      <c r="AK62" s="286" t="s">
        <v>206</v>
      </c>
      <c r="AL62" s="170"/>
      <c r="AM62" s="171" t="s">
        <v>231</v>
      </c>
      <c r="AN62" s="55" t="s">
        <v>232</v>
      </c>
      <c r="AO62" s="94"/>
      <c r="AP62" s="51" t="s">
        <v>233</v>
      </c>
      <c r="AQ62" s="279" t="s">
        <v>222</v>
      </c>
      <c r="AR62" s="74"/>
      <c r="AS62" s="75" t="s">
        <v>169</v>
      </c>
      <c r="AT62" s="49" t="s">
        <v>185</v>
      </c>
      <c r="AU62" s="50"/>
      <c r="AV62" s="51" t="s">
        <v>171</v>
      </c>
      <c r="AW62" s="78" t="s">
        <v>185</v>
      </c>
      <c r="AX62" s="53"/>
      <c r="AY62" s="54" t="s">
        <v>172</v>
      </c>
      <c r="AZ62" s="49" t="s">
        <v>186</v>
      </c>
      <c r="BA62" s="50"/>
      <c r="BB62" s="51" t="s">
        <v>172</v>
      </c>
      <c r="BC62" s="277" t="s">
        <v>174</v>
      </c>
      <c r="BD62" s="100"/>
      <c r="BE62" s="75" t="s">
        <v>174</v>
      </c>
      <c r="BF62" s="280" t="s">
        <v>234</v>
      </c>
      <c r="BG62" s="50"/>
      <c r="BH62" s="51" t="s">
        <v>223</v>
      </c>
      <c r="BI62" s="282" t="s">
        <v>235</v>
      </c>
      <c r="BJ62" s="53"/>
      <c r="BK62" s="54" t="s">
        <v>234</v>
      </c>
      <c r="BL62" s="280" t="s">
        <v>234</v>
      </c>
      <c r="BM62" s="50"/>
      <c r="BN62" s="51" t="s">
        <v>225</v>
      </c>
    </row>
    <row r="63" customFormat="false" ht="17.25" hidden="false" customHeight="true" outlineLevel="0" collapsed="false">
      <c r="B63" s="270"/>
      <c r="C63" s="85"/>
      <c r="D63" s="80"/>
      <c r="E63" s="44" t="s">
        <v>48</v>
      </c>
      <c r="F63" s="91"/>
      <c r="G63" s="163" t="s">
        <v>155</v>
      </c>
      <c r="H63" s="100"/>
      <c r="I63" s="96" t="s">
        <v>155</v>
      </c>
      <c r="J63" s="49" t="s">
        <v>46</v>
      </c>
      <c r="K63" s="104"/>
      <c r="L63" s="154" t="s">
        <v>46</v>
      </c>
      <c r="M63" s="78" t="s">
        <v>46</v>
      </c>
      <c r="N63" s="53"/>
      <c r="O63" s="153" t="s">
        <v>46</v>
      </c>
      <c r="P63" s="78" t="s">
        <v>46</v>
      </c>
      <c r="Q63" s="53"/>
      <c r="R63" s="54" t="s">
        <v>46</v>
      </c>
      <c r="S63" s="276" t="s">
        <v>157</v>
      </c>
      <c r="T63" s="50"/>
      <c r="U63" s="51" t="s">
        <v>180</v>
      </c>
      <c r="V63" s="277" t="s">
        <v>158</v>
      </c>
      <c r="W63" s="100"/>
      <c r="X63" s="54" t="s">
        <v>191</v>
      </c>
      <c r="Y63" s="280" t="s">
        <v>160</v>
      </c>
      <c r="Z63" s="94"/>
      <c r="AA63" s="57" t="s">
        <v>228</v>
      </c>
      <c r="AB63" s="288" t="s">
        <v>160</v>
      </c>
      <c r="AC63" s="100"/>
      <c r="AD63" s="96" t="s">
        <v>228</v>
      </c>
      <c r="AE63" s="97" t="s">
        <v>229</v>
      </c>
      <c r="AF63" s="94"/>
      <c r="AG63" s="98" t="s">
        <v>230</v>
      </c>
      <c r="AH63" s="95" t="s">
        <v>218</v>
      </c>
      <c r="AI63" s="100"/>
      <c r="AJ63" s="96" t="s">
        <v>219</v>
      </c>
      <c r="AK63" s="286" t="s">
        <v>206</v>
      </c>
      <c r="AL63" s="170"/>
      <c r="AM63" s="171" t="s">
        <v>231</v>
      </c>
      <c r="AN63" s="55" t="s">
        <v>232</v>
      </c>
      <c r="AO63" s="94"/>
      <c r="AP63" s="51" t="s">
        <v>233</v>
      </c>
      <c r="AQ63" s="279" t="s">
        <v>222</v>
      </c>
      <c r="AR63" s="74"/>
      <c r="AS63" s="75" t="s">
        <v>169</v>
      </c>
      <c r="AT63" s="49" t="s">
        <v>185</v>
      </c>
      <c r="AU63" s="50"/>
      <c r="AV63" s="51" t="s">
        <v>171</v>
      </c>
      <c r="AW63" s="78" t="s">
        <v>185</v>
      </c>
      <c r="AX63" s="53"/>
      <c r="AY63" s="54" t="s">
        <v>172</v>
      </c>
      <c r="AZ63" s="49" t="s">
        <v>186</v>
      </c>
      <c r="BA63" s="50"/>
      <c r="BB63" s="51" t="s">
        <v>172</v>
      </c>
      <c r="BC63" s="277" t="s">
        <v>174</v>
      </c>
      <c r="BD63" s="100"/>
      <c r="BE63" s="75" t="s">
        <v>174</v>
      </c>
      <c r="BF63" s="280" t="s">
        <v>234</v>
      </c>
      <c r="BG63" s="50"/>
      <c r="BH63" s="51" t="s">
        <v>223</v>
      </c>
      <c r="BI63" s="282" t="s">
        <v>235</v>
      </c>
      <c r="BJ63" s="53"/>
      <c r="BK63" s="54" t="s">
        <v>234</v>
      </c>
      <c r="BL63" s="280" t="s">
        <v>234</v>
      </c>
      <c r="BM63" s="50"/>
      <c r="BN63" s="51" t="s">
        <v>225</v>
      </c>
    </row>
    <row r="64" customFormat="false" ht="17.25" hidden="false" customHeight="true" outlineLevel="0" collapsed="false">
      <c r="B64" s="270"/>
      <c r="C64" s="85"/>
      <c r="D64" s="80"/>
      <c r="E64" s="44" t="s">
        <v>49</v>
      </c>
      <c r="F64" s="91"/>
      <c r="G64" s="163" t="s">
        <v>155</v>
      </c>
      <c r="H64" s="100"/>
      <c r="I64" s="96" t="s">
        <v>155</v>
      </c>
      <c r="J64" s="49" t="s">
        <v>46</v>
      </c>
      <c r="K64" s="104"/>
      <c r="L64" s="154" t="s">
        <v>46</v>
      </c>
      <c r="M64" s="78" t="s">
        <v>46</v>
      </c>
      <c r="N64" s="53"/>
      <c r="O64" s="153" t="s">
        <v>46</v>
      </c>
      <c r="P64" s="78" t="s">
        <v>46</v>
      </c>
      <c r="Q64" s="53"/>
      <c r="R64" s="54" t="s">
        <v>46</v>
      </c>
      <c r="S64" s="276" t="s">
        <v>157</v>
      </c>
      <c r="T64" s="50"/>
      <c r="U64" s="51" t="s">
        <v>180</v>
      </c>
      <c r="V64" s="277" t="s">
        <v>158</v>
      </c>
      <c r="W64" s="100"/>
      <c r="X64" s="54" t="s">
        <v>191</v>
      </c>
      <c r="Y64" s="280" t="s">
        <v>160</v>
      </c>
      <c r="Z64" s="94"/>
      <c r="AA64" s="57" t="s">
        <v>228</v>
      </c>
      <c r="AB64" s="288" t="s">
        <v>160</v>
      </c>
      <c r="AC64" s="100"/>
      <c r="AD64" s="96" t="s">
        <v>228</v>
      </c>
      <c r="AE64" s="97" t="s">
        <v>229</v>
      </c>
      <c r="AF64" s="94"/>
      <c r="AG64" s="98" t="s">
        <v>230</v>
      </c>
      <c r="AH64" s="95" t="s">
        <v>218</v>
      </c>
      <c r="AI64" s="100"/>
      <c r="AJ64" s="96" t="s">
        <v>219</v>
      </c>
      <c r="AK64" s="286" t="s">
        <v>206</v>
      </c>
      <c r="AL64" s="170"/>
      <c r="AM64" s="171" t="s">
        <v>231</v>
      </c>
      <c r="AN64" s="55" t="s">
        <v>232</v>
      </c>
      <c r="AO64" s="94"/>
      <c r="AP64" s="51" t="s">
        <v>233</v>
      </c>
      <c r="AQ64" s="279" t="s">
        <v>222</v>
      </c>
      <c r="AR64" s="74"/>
      <c r="AS64" s="75" t="s">
        <v>169</v>
      </c>
      <c r="AT64" s="49" t="s">
        <v>185</v>
      </c>
      <c r="AU64" s="50"/>
      <c r="AV64" s="51" t="s">
        <v>171</v>
      </c>
      <c r="AW64" s="78" t="s">
        <v>185</v>
      </c>
      <c r="AX64" s="53"/>
      <c r="AY64" s="54" t="s">
        <v>172</v>
      </c>
      <c r="AZ64" s="49" t="s">
        <v>186</v>
      </c>
      <c r="BA64" s="50"/>
      <c r="BB64" s="51" t="s">
        <v>172</v>
      </c>
      <c r="BC64" s="277" t="s">
        <v>174</v>
      </c>
      <c r="BD64" s="100"/>
      <c r="BE64" s="75" t="s">
        <v>174</v>
      </c>
      <c r="BF64" s="280" t="s">
        <v>234</v>
      </c>
      <c r="BG64" s="50"/>
      <c r="BH64" s="51" t="s">
        <v>223</v>
      </c>
      <c r="BI64" s="282" t="s">
        <v>235</v>
      </c>
      <c r="BJ64" s="53"/>
      <c r="BK64" s="54" t="s">
        <v>234</v>
      </c>
      <c r="BL64" s="280" t="s">
        <v>234</v>
      </c>
      <c r="BM64" s="50"/>
      <c r="BN64" s="51" t="s">
        <v>225</v>
      </c>
    </row>
    <row r="65" customFormat="false" ht="17.25" hidden="false" customHeight="true" outlineLevel="0" collapsed="false">
      <c r="B65" s="270"/>
      <c r="C65" s="85"/>
      <c r="D65" s="80" t="s">
        <v>55</v>
      </c>
      <c r="E65" s="44" t="s">
        <v>45</v>
      </c>
      <c r="F65" s="91"/>
      <c r="G65" s="163" t="s">
        <v>155</v>
      </c>
      <c r="H65" s="100"/>
      <c r="I65" s="96" t="s">
        <v>155</v>
      </c>
      <c r="J65" s="49" t="s">
        <v>46</v>
      </c>
      <c r="K65" s="104"/>
      <c r="L65" s="154" t="s">
        <v>46</v>
      </c>
      <c r="M65" s="78" t="s">
        <v>46</v>
      </c>
      <c r="N65" s="53"/>
      <c r="O65" s="153" t="s">
        <v>46</v>
      </c>
      <c r="P65" s="78" t="s">
        <v>46</v>
      </c>
      <c r="Q65" s="53"/>
      <c r="R65" s="54" t="s">
        <v>46</v>
      </c>
      <c r="S65" s="276" t="s">
        <v>157</v>
      </c>
      <c r="T65" s="50"/>
      <c r="U65" s="51" t="s">
        <v>180</v>
      </c>
      <c r="V65" s="277" t="s">
        <v>158</v>
      </c>
      <c r="W65" s="100"/>
      <c r="X65" s="54" t="s">
        <v>191</v>
      </c>
      <c r="Y65" s="280" t="s">
        <v>160</v>
      </c>
      <c r="Z65" s="94"/>
      <c r="AA65" s="57" t="s">
        <v>228</v>
      </c>
      <c r="AB65" s="288" t="s">
        <v>160</v>
      </c>
      <c r="AC65" s="100"/>
      <c r="AD65" s="96" t="s">
        <v>228</v>
      </c>
      <c r="AE65" s="97" t="s">
        <v>229</v>
      </c>
      <c r="AF65" s="94"/>
      <c r="AG65" s="98" t="s">
        <v>230</v>
      </c>
      <c r="AH65" s="95" t="s">
        <v>218</v>
      </c>
      <c r="AI65" s="100"/>
      <c r="AJ65" s="96" t="s">
        <v>219</v>
      </c>
      <c r="AK65" s="286" t="s">
        <v>206</v>
      </c>
      <c r="AL65" s="170"/>
      <c r="AM65" s="171" t="s">
        <v>231</v>
      </c>
      <c r="AN65" s="55" t="s">
        <v>232</v>
      </c>
      <c r="AO65" s="94"/>
      <c r="AP65" s="51" t="s">
        <v>233</v>
      </c>
      <c r="AQ65" s="279" t="s">
        <v>222</v>
      </c>
      <c r="AR65" s="74"/>
      <c r="AS65" s="75" t="s">
        <v>169</v>
      </c>
      <c r="AT65" s="49" t="s">
        <v>185</v>
      </c>
      <c r="AU65" s="50"/>
      <c r="AV65" s="51" t="s">
        <v>171</v>
      </c>
      <c r="AW65" s="78" t="s">
        <v>185</v>
      </c>
      <c r="AX65" s="53"/>
      <c r="AY65" s="54" t="s">
        <v>172</v>
      </c>
      <c r="AZ65" s="49" t="s">
        <v>186</v>
      </c>
      <c r="BA65" s="50"/>
      <c r="BB65" s="51" t="s">
        <v>172</v>
      </c>
      <c r="BC65" s="277" t="s">
        <v>174</v>
      </c>
      <c r="BD65" s="100"/>
      <c r="BE65" s="75" t="s">
        <v>174</v>
      </c>
      <c r="BF65" s="280" t="s">
        <v>234</v>
      </c>
      <c r="BG65" s="50"/>
      <c r="BH65" s="51" t="s">
        <v>223</v>
      </c>
      <c r="BI65" s="282" t="s">
        <v>235</v>
      </c>
      <c r="BJ65" s="53"/>
      <c r="BK65" s="54" t="s">
        <v>234</v>
      </c>
      <c r="BL65" s="280" t="s">
        <v>234</v>
      </c>
      <c r="BM65" s="50"/>
      <c r="BN65" s="51" t="s">
        <v>225</v>
      </c>
    </row>
    <row r="66" customFormat="false" ht="17.25" hidden="false" customHeight="true" outlineLevel="0" collapsed="false">
      <c r="B66" s="270"/>
      <c r="C66" s="85"/>
      <c r="D66" s="80"/>
      <c r="E66" s="44" t="s">
        <v>47</v>
      </c>
      <c r="F66" s="91"/>
      <c r="G66" s="163" t="s">
        <v>155</v>
      </c>
      <c r="H66" s="100"/>
      <c r="I66" s="96" t="s">
        <v>155</v>
      </c>
      <c r="J66" s="49" t="s">
        <v>46</v>
      </c>
      <c r="K66" s="104"/>
      <c r="L66" s="154" t="s">
        <v>46</v>
      </c>
      <c r="M66" s="78" t="s">
        <v>46</v>
      </c>
      <c r="N66" s="53"/>
      <c r="O66" s="153" t="s">
        <v>46</v>
      </c>
      <c r="P66" s="78" t="s">
        <v>46</v>
      </c>
      <c r="Q66" s="53"/>
      <c r="R66" s="54" t="s">
        <v>46</v>
      </c>
      <c r="S66" s="276" t="s">
        <v>157</v>
      </c>
      <c r="T66" s="50"/>
      <c r="U66" s="51" t="s">
        <v>180</v>
      </c>
      <c r="V66" s="277" t="s">
        <v>158</v>
      </c>
      <c r="W66" s="100"/>
      <c r="X66" s="54" t="s">
        <v>191</v>
      </c>
      <c r="Y66" s="280" t="s">
        <v>160</v>
      </c>
      <c r="Z66" s="94"/>
      <c r="AA66" s="57" t="s">
        <v>228</v>
      </c>
      <c r="AB66" s="288" t="s">
        <v>160</v>
      </c>
      <c r="AC66" s="100"/>
      <c r="AD66" s="96" t="s">
        <v>228</v>
      </c>
      <c r="AE66" s="97" t="s">
        <v>229</v>
      </c>
      <c r="AF66" s="94"/>
      <c r="AG66" s="98" t="s">
        <v>230</v>
      </c>
      <c r="AH66" s="95" t="s">
        <v>218</v>
      </c>
      <c r="AI66" s="100"/>
      <c r="AJ66" s="96" t="s">
        <v>219</v>
      </c>
      <c r="AK66" s="286" t="s">
        <v>206</v>
      </c>
      <c r="AL66" s="170"/>
      <c r="AM66" s="171" t="s">
        <v>231</v>
      </c>
      <c r="AN66" s="55" t="s">
        <v>232</v>
      </c>
      <c r="AO66" s="94"/>
      <c r="AP66" s="51" t="s">
        <v>233</v>
      </c>
      <c r="AQ66" s="279" t="s">
        <v>222</v>
      </c>
      <c r="AR66" s="74"/>
      <c r="AS66" s="75" t="s">
        <v>169</v>
      </c>
      <c r="AT66" s="49" t="s">
        <v>185</v>
      </c>
      <c r="AU66" s="50"/>
      <c r="AV66" s="51" t="s">
        <v>171</v>
      </c>
      <c r="AW66" s="78" t="s">
        <v>185</v>
      </c>
      <c r="AX66" s="53"/>
      <c r="AY66" s="54" t="s">
        <v>172</v>
      </c>
      <c r="AZ66" s="49" t="s">
        <v>186</v>
      </c>
      <c r="BA66" s="50"/>
      <c r="BB66" s="51" t="s">
        <v>172</v>
      </c>
      <c r="BC66" s="277" t="s">
        <v>174</v>
      </c>
      <c r="BD66" s="100"/>
      <c r="BE66" s="75" t="s">
        <v>174</v>
      </c>
      <c r="BF66" s="280" t="s">
        <v>234</v>
      </c>
      <c r="BG66" s="50"/>
      <c r="BH66" s="51" t="s">
        <v>223</v>
      </c>
      <c r="BI66" s="282" t="s">
        <v>235</v>
      </c>
      <c r="BJ66" s="53"/>
      <c r="BK66" s="54" t="s">
        <v>234</v>
      </c>
      <c r="BL66" s="280" t="s">
        <v>234</v>
      </c>
      <c r="BM66" s="50"/>
      <c r="BN66" s="51" t="s">
        <v>225</v>
      </c>
    </row>
    <row r="67" customFormat="false" ht="17.25" hidden="false" customHeight="true" outlineLevel="0" collapsed="false">
      <c r="B67" s="270"/>
      <c r="C67" s="85"/>
      <c r="D67" s="80"/>
      <c r="E67" s="44" t="s">
        <v>48</v>
      </c>
      <c r="F67" s="91"/>
      <c r="G67" s="163" t="s">
        <v>155</v>
      </c>
      <c r="H67" s="100"/>
      <c r="I67" s="96" t="s">
        <v>155</v>
      </c>
      <c r="J67" s="49" t="s">
        <v>46</v>
      </c>
      <c r="K67" s="104"/>
      <c r="L67" s="154" t="s">
        <v>46</v>
      </c>
      <c r="M67" s="78" t="s">
        <v>46</v>
      </c>
      <c r="N67" s="53"/>
      <c r="O67" s="153" t="s">
        <v>46</v>
      </c>
      <c r="P67" s="78" t="s">
        <v>46</v>
      </c>
      <c r="Q67" s="53"/>
      <c r="R67" s="54" t="s">
        <v>46</v>
      </c>
      <c r="S67" s="276" t="s">
        <v>157</v>
      </c>
      <c r="T67" s="50"/>
      <c r="U67" s="51" t="s">
        <v>180</v>
      </c>
      <c r="V67" s="277" t="s">
        <v>158</v>
      </c>
      <c r="W67" s="100"/>
      <c r="X67" s="54" t="s">
        <v>191</v>
      </c>
      <c r="Y67" s="280" t="s">
        <v>160</v>
      </c>
      <c r="Z67" s="94"/>
      <c r="AA67" s="57" t="s">
        <v>228</v>
      </c>
      <c r="AB67" s="288" t="s">
        <v>160</v>
      </c>
      <c r="AC67" s="100"/>
      <c r="AD67" s="96" t="s">
        <v>228</v>
      </c>
      <c r="AE67" s="97" t="s">
        <v>229</v>
      </c>
      <c r="AF67" s="94"/>
      <c r="AG67" s="98" t="s">
        <v>230</v>
      </c>
      <c r="AH67" s="95" t="s">
        <v>218</v>
      </c>
      <c r="AI67" s="100"/>
      <c r="AJ67" s="96" t="s">
        <v>219</v>
      </c>
      <c r="AK67" s="286" t="s">
        <v>206</v>
      </c>
      <c r="AL67" s="170"/>
      <c r="AM67" s="171" t="s">
        <v>231</v>
      </c>
      <c r="AN67" s="55" t="s">
        <v>232</v>
      </c>
      <c r="AO67" s="94"/>
      <c r="AP67" s="51" t="s">
        <v>233</v>
      </c>
      <c r="AQ67" s="279" t="s">
        <v>222</v>
      </c>
      <c r="AR67" s="74"/>
      <c r="AS67" s="75" t="s">
        <v>169</v>
      </c>
      <c r="AT67" s="49" t="s">
        <v>185</v>
      </c>
      <c r="AU67" s="50"/>
      <c r="AV67" s="51" t="s">
        <v>171</v>
      </c>
      <c r="AW67" s="78" t="s">
        <v>185</v>
      </c>
      <c r="AX67" s="53"/>
      <c r="AY67" s="54" t="s">
        <v>172</v>
      </c>
      <c r="AZ67" s="49" t="s">
        <v>186</v>
      </c>
      <c r="BA67" s="50"/>
      <c r="BB67" s="51" t="s">
        <v>172</v>
      </c>
      <c r="BC67" s="277" t="s">
        <v>174</v>
      </c>
      <c r="BD67" s="100"/>
      <c r="BE67" s="75" t="s">
        <v>174</v>
      </c>
      <c r="BF67" s="280" t="s">
        <v>234</v>
      </c>
      <c r="BG67" s="50"/>
      <c r="BH67" s="51" t="s">
        <v>223</v>
      </c>
      <c r="BI67" s="282" t="s">
        <v>235</v>
      </c>
      <c r="BJ67" s="53"/>
      <c r="BK67" s="54" t="s">
        <v>234</v>
      </c>
      <c r="BL67" s="280" t="s">
        <v>234</v>
      </c>
      <c r="BM67" s="50"/>
      <c r="BN67" s="51" t="s">
        <v>225</v>
      </c>
    </row>
    <row r="68" customFormat="false" ht="17.25" hidden="false" customHeight="true" outlineLevel="0" collapsed="false">
      <c r="B68" s="270"/>
      <c r="C68" s="85"/>
      <c r="D68" s="80"/>
      <c r="E68" s="44" t="s">
        <v>49</v>
      </c>
      <c r="F68" s="91"/>
      <c r="G68" s="163" t="s">
        <v>155</v>
      </c>
      <c r="H68" s="100"/>
      <c r="I68" s="96" t="s">
        <v>155</v>
      </c>
      <c r="J68" s="49" t="s">
        <v>46</v>
      </c>
      <c r="K68" s="104"/>
      <c r="L68" s="154" t="s">
        <v>46</v>
      </c>
      <c r="M68" s="78" t="s">
        <v>46</v>
      </c>
      <c r="N68" s="53"/>
      <c r="O68" s="153" t="s">
        <v>46</v>
      </c>
      <c r="P68" s="78" t="s">
        <v>46</v>
      </c>
      <c r="Q68" s="53"/>
      <c r="R68" s="54" t="s">
        <v>46</v>
      </c>
      <c r="S68" s="276" t="s">
        <v>157</v>
      </c>
      <c r="T68" s="50"/>
      <c r="U68" s="51" t="s">
        <v>180</v>
      </c>
      <c r="V68" s="277" t="s">
        <v>158</v>
      </c>
      <c r="W68" s="100"/>
      <c r="X68" s="54" t="s">
        <v>191</v>
      </c>
      <c r="Y68" s="280" t="s">
        <v>160</v>
      </c>
      <c r="Z68" s="94"/>
      <c r="AA68" s="57" t="s">
        <v>228</v>
      </c>
      <c r="AB68" s="288" t="s">
        <v>160</v>
      </c>
      <c r="AC68" s="100"/>
      <c r="AD68" s="96" t="s">
        <v>228</v>
      </c>
      <c r="AE68" s="97" t="s">
        <v>229</v>
      </c>
      <c r="AF68" s="94"/>
      <c r="AG68" s="98" t="s">
        <v>230</v>
      </c>
      <c r="AH68" s="95" t="s">
        <v>218</v>
      </c>
      <c r="AI68" s="100"/>
      <c r="AJ68" s="96" t="s">
        <v>219</v>
      </c>
      <c r="AK68" s="286" t="s">
        <v>206</v>
      </c>
      <c r="AL68" s="170"/>
      <c r="AM68" s="171" t="s">
        <v>231</v>
      </c>
      <c r="AN68" s="55" t="s">
        <v>232</v>
      </c>
      <c r="AO68" s="94"/>
      <c r="AP68" s="51" t="s">
        <v>233</v>
      </c>
      <c r="AQ68" s="279" t="s">
        <v>222</v>
      </c>
      <c r="AR68" s="74"/>
      <c r="AS68" s="75" t="s">
        <v>169</v>
      </c>
      <c r="AT68" s="49" t="s">
        <v>185</v>
      </c>
      <c r="AU68" s="50"/>
      <c r="AV68" s="51" t="s">
        <v>171</v>
      </c>
      <c r="AW68" s="78" t="s">
        <v>185</v>
      </c>
      <c r="AX68" s="53"/>
      <c r="AY68" s="54" t="s">
        <v>172</v>
      </c>
      <c r="AZ68" s="49" t="s">
        <v>186</v>
      </c>
      <c r="BA68" s="50"/>
      <c r="BB68" s="51" t="s">
        <v>172</v>
      </c>
      <c r="BC68" s="277" t="s">
        <v>174</v>
      </c>
      <c r="BD68" s="100"/>
      <c r="BE68" s="75" t="s">
        <v>174</v>
      </c>
      <c r="BF68" s="280" t="s">
        <v>234</v>
      </c>
      <c r="BG68" s="50"/>
      <c r="BH68" s="51" t="s">
        <v>223</v>
      </c>
      <c r="BI68" s="282" t="s">
        <v>235</v>
      </c>
      <c r="BJ68" s="53"/>
      <c r="BK68" s="54" t="s">
        <v>234</v>
      </c>
      <c r="BL68" s="280" t="s">
        <v>234</v>
      </c>
      <c r="BM68" s="50"/>
      <c r="BN68" s="51" t="s">
        <v>225</v>
      </c>
    </row>
    <row r="69" customFormat="false" ht="17.25" hidden="false" customHeight="true" outlineLevel="0" collapsed="false">
      <c r="B69" s="270"/>
      <c r="C69" s="101" t="s">
        <v>237</v>
      </c>
      <c r="D69" s="80"/>
      <c r="E69" s="44" t="s">
        <v>45</v>
      </c>
      <c r="F69" s="81"/>
      <c r="G69" s="78" t="s">
        <v>206</v>
      </c>
      <c r="H69" s="53"/>
      <c r="I69" s="54" t="s">
        <v>167</v>
      </c>
      <c r="J69" s="49" t="s">
        <v>46</v>
      </c>
      <c r="K69" s="154"/>
      <c r="L69" s="154" t="s">
        <v>46</v>
      </c>
      <c r="M69" s="78" t="s">
        <v>46</v>
      </c>
      <c r="N69" s="53"/>
      <c r="O69" s="153" t="s">
        <v>46</v>
      </c>
      <c r="P69" s="78" t="s">
        <v>46</v>
      </c>
      <c r="Q69" s="53"/>
      <c r="R69" s="54" t="s">
        <v>46</v>
      </c>
      <c r="S69" s="276" t="s">
        <v>238</v>
      </c>
      <c r="T69" s="50" t="s">
        <v>238</v>
      </c>
      <c r="U69" s="51" t="s">
        <v>238</v>
      </c>
      <c r="V69" s="277" t="s">
        <v>239</v>
      </c>
      <c r="W69" s="53"/>
      <c r="X69" s="54" t="s">
        <v>239</v>
      </c>
      <c r="Y69" s="280" t="s">
        <v>239</v>
      </c>
      <c r="Z69" s="154"/>
      <c r="AA69" s="51" t="s">
        <v>239</v>
      </c>
      <c r="AB69" s="277" t="s">
        <v>239</v>
      </c>
      <c r="AC69" s="53"/>
      <c r="AD69" s="54" t="s">
        <v>239</v>
      </c>
      <c r="AE69" s="49" t="s">
        <v>59</v>
      </c>
      <c r="AF69" s="50"/>
      <c r="AG69" s="51" t="s">
        <v>59</v>
      </c>
      <c r="AH69" s="78" t="s">
        <v>59</v>
      </c>
      <c r="AI69" s="53"/>
      <c r="AJ69" s="54" t="s">
        <v>59</v>
      </c>
      <c r="AK69" s="286" t="s">
        <v>240</v>
      </c>
      <c r="AL69" s="170"/>
      <c r="AM69" s="171" t="s">
        <v>241</v>
      </c>
      <c r="AN69" s="49" t="s">
        <v>242</v>
      </c>
      <c r="AO69" s="50"/>
      <c r="AP69" s="51" t="s">
        <v>167</v>
      </c>
      <c r="AQ69" s="277" t="s">
        <v>239</v>
      </c>
      <c r="AR69" s="53"/>
      <c r="AS69" s="75" t="s">
        <v>231</v>
      </c>
      <c r="AT69" s="49" t="s">
        <v>59</v>
      </c>
      <c r="AU69" s="50"/>
      <c r="AV69" s="51" t="s">
        <v>59</v>
      </c>
      <c r="AW69" s="78" t="s">
        <v>59</v>
      </c>
      <c r="AX69" s="53"/>
      <c r="AY69" s="54" t="s">
        <v>59</v>
      </c>
      <c r="AZ69" s="49" t="s">
        <v>59</v>
      </c>
      <c r="BA69" s="50"/>
      <c r="BB69" s="51" t="s">
        <v>59</v>
      </c>
      <c r="BC69" s="277" t="s">
        <v>59</v>
      </c>
      <c r="BD69" s="53"/>
      <c r="BE69" s="54" t="s">
        <v>59</v>
      </c>
      <c r="BF69" s="289" t="s">
        <v>239</v>
      </c>
      <c r="BG69" s="106"/>
      <c r="BH69" s="107" t="s">
        <v>239</v>
      </c>
      <c r="BI69" s="286" t="s">
        <v>239</v>
      </c>
      <c r="BJ69" s="109"/>
      <c r="BK69" s="87" t="s">
        <v>239</v>
      </c>
      <c r="BL69" s="289" t="s">
        <v>239</v>
      </c>
      <c r="BM69" s="106"/>
      <c r="BN69" s="107" t="s">
        <v>239</v>
      </c>
    </row>
    <row r="70" customFormat="false" ht="17.25" hidden="false" customHeight="true" outlineLevel="0" collapsed="false">
      <c r="B70" s="270"/>
      <c r="C70" s="101"/>
      <c r="D70" s="80"/>
      <c r="E70" s="44" t="s">
        <v>47</v>
      </c>
      <c r="F70" s="81"/>
      <c r="G70" s="78" t="s">
        <v>206</v>
      </c>
      <c r="H70" s="53"/>
      <c r="I70" s="54" t="s">
        <v>167</v>
      </c>
      <c r="J70" s="49" t="s">
        <v>46</v>
      </c>
      <c r="K70" s="154"/>
      <c r="L70" s="154" t="s">
        <v>46</v>
      </c>
      <c r="M70" s="78" t="s">
        <v>46</v>
      </c>
      <c r="N70" s="53"/>
      <c r="O70" s="153" t="s">
        <v>46</v>
      </c>
      <c r="P70" s="78" t="s">
        <v>46</v>
      </c>
      <c r="Q70" s="53"/>
      <c r="R70" s="54" t="s">
        <v>46</v>
      </c>
      <c r="S70" s="276" t="s">
        <v>238</v>
      </c>
      <c r="T70" s="50" t="s">
        <v>238</v>
      </c>
      <c r="U70" s="51" t="s">
        <v>238</v>
      </c>
      <c r="V70" s="277" t="s">
        <v>239</v>
      </c>
      <c r="W70" s="53"/>
      <c r="X70" s="54" t="s">
        <v>239</v>
      </c>
      <c r="Y70" s="280" t="s">
        <v>239</v>
      </c>
      <c r="Z70" s="154"/>
      <c r="AA70" s="51" t="s">
        <v>239</v>
      </c>
      <c r="AB70" s="277" t="s">
        <v>239</v>
      </c>
      <c r="AC70" s="53"/>
      <c r="AD70" s="54" t="s">
        <v>239</v>
      </c>
      <c r="AE70" s="49" t="s">
        <v>59</v>
      </c>
      <c r="AF70" s="50"/>
      <c r="AG70" s="51" t="s">
        <v>59</v>
      </c>
      <c r="AH70" s="78" t="s">
        <v>59</v>
      </c>
      <c r="AI70" s="53"/>
      <c r="AJ70" s="54" t="s">
        <v>59</v>
      </c>
      <c r="AK70" s="286" t="s">
        <v>240</v>
      </c>
      <c r="AL70" s="170"/>
      <c r="AM70" s="171" t="s">
        <v>241</v>
      </c>
      <c r="AN70" s="49" t="s">
        <v>242</v>
      </c>
      <c r="AO70" s="50"/>
      <c r="AP70" s="51" t="s">
        <v>167</v>
      </c>
      <c r="AQ70" s="277" t="s">
        <v>239</v>
      </c>
      <c r="AR70" s="53"/>
      <c r="AS70" s="75" t="s">
        <v>231</v>
      </c>
      <c r="AT70" s="49" t="s">
        <v>59</v>
      </c>
      <c r="AU70" s="50"/>
      <c r="AV70" s="51" t="s">
        <v>59</v>
      </c>
      <c r="AW70" s="78" t="s">
        <v>59</v>
      </c>
      <c r="AX70" s="53"/>
      <c r="AY70" s="54" t="s">
        <v>59</v>
      </c>
      <c r="AZ70" s="49" t="s">
        <v>59</v>
      </c>
      <c r="BA70" s="50"/>
      <c r="BB70" s="51" t="s">
        <v>59</v>
      </c>
      <c r="BC70" s="277" t="s">
        <v>59</v>
      </c>
      <c r="BD70" s="53"/>
      <c r="BE70" s="54" t="s">
        <v>59</v>
      </c>
      <c r="BF70" s="289" t="s">
        <v>239</v>
      </c>
      <c r="BG70" s="106"/>
      <c r="BH70" s="107" t="s">
        <v>239</v>
      </c>
      <c r="BI70" s="286" t="s">
        <v>239</v>
      </c>
      <c r="BJ70" s="109"/>
      <c r="BK70" s="87" t="s">
        <v>239</v>
      </c>
      <c r="BL70" s="289" t="s">
        <v>239</v>
      </c>
      <c r="BM70" s="106"/>
      <c r="BN70" s="107" t="s">
        <v>239</v>
      </c>
    </row>
    <row r="71" customFormat="false" ht="17.25" hidden="false" customHeight="true" outlineLevel="0" collapsed="false">
      <c r="B71" s="270"/>
      <c r="C71" s="101"/>
      <c r="D71" s="80"/>
      <c r="E71" s="44" t="s">
        <v>48</v>
      </c>
      <c r="F71" s="81"/>
      <c r="G71" s="78" t="s">
        <v>206</v>
      </c>
      <c r="H71" s="53"/>
      <c r="I71" s="54" t="s">
        <v>167</v>
      </c>
      <c r="J71" s="49" t="s">
        <v>46</v>
      </c>
      <c r="K71" s="154"/>
      <c r="L71" s="154" t="s">
        <v>46</v>
      </c>
      <c r="M71" s="78" t="s">
        <v>46</v>
      </c>
      <c r="N71" s="53"/>
      <c r="O71" s="153" t="s">
        <v>46</v>
      </c>
      <c r="P71" s="78" t="s">
        <v>46</v>
      </c>
      <c r="Q71" s="53"/>
      <c r="R71" s="54" t="s">
        <v>46</v>
      </c>
      <c r="S71" s="276" t="s">
        <v>238</v>
      </c>
      <c r="T71" s="50" t="s">
        <v>238</v>
      </c>
      <c r="U71" s="51" t="s">
        <v>238</v>
      </c>
      <c r="V71" s="277" t="s">
        <v>239</v>
      </c>
      <c r="W71" s="53"/>
      <c r="X71" s="54" t="s">
        <v>239</v>
      </c>
      <c r="Y71" s="280" t="s">
        <v>239</v>
      </c>
      <c r="Z71" s="154"/>
      <c r="AA71" s="51" t="s">
        <v>239</v>
      </c>
      <c r="AB71" s="277" t="s">
        <v>239</v>
      </c>
      <c r="AC71" s="53"/>
      <c r="AD71" s="54" t="s">
        <v>239</v>
      </c>
      <c r="AE71" s="49" t="s">
        <v>59</v>
      </c>
      <c r="AF71" s="50"/>
      <c r="AG71" s="51" t="s">
        <v>59</v>
      </c>
      <c r="AH71" s="78" t="s">
        <v>59</v>
      </c>
      <c r="AI71" s="53"/>
      <c r="AJ71" s="54" t="s">
        <v>59</v>
      </c>
      <c r="AK71" s="286" t="s">
        <v>240</v>
      </c>
      <c r="AL71" s="170"/>
      <c r="AM71" s="171" t="s">
        <v>241</v>
      </c>
      <c r="AN71" s="49" t="s">
        <v>242</v>
      </c>
      <c r="AO71" s="50"/>
      <c r="AP71" s="51" t="s">
        <v>167</v>
      </c>
      <c r="AQ71" s="277" t="s">
        <v>239</v>
      </c>
      <c r="AR71" s="53"/>
      <c r="AS71" s="75" t="s">
        <v>231</v>
      </c>
      <c r="AT71" s="49" t="s">
        <v>59</v>
      </c>
      <c r="AU71" s="50"/>
      <c r="AV71" s="51" t="s">
        <v>59</v>
      </c>
      <c r="AW71" s="78" t="s">
        <v>59</v>
      </c>
      <c r="AX71" s="53"/>
      <c r="AY71" s="54" t="s">
        <v>59</v>
      </c>
      <c r="AZ71" s="49" t="s">
        <v>59</v>
      </c>
      <c r="BA71" s="50"/>
      <c r="BB71" s="51" t="s">
        <v>59</v>
      </c>
      <c r="BC71" s="277" t="s">
        <v>59</v>
      </c>
      <c r="BD71" s="53"/>
      <c r="BE71" s="54" t="s">
        <v>59</v>
      </c>
      <c r="BF71" s="289" t="s">
        <v>239</v>
      </c>
      <c r="BG71" s="106"/>
      <c r="BH71" s="107" t="s">
        <v>239</v>
      </c>
      <c r="BI71" s="286" t="s">
        <v>239</v>
      </c>
      <c r="BJ71" s="109"/>
      <c r="BK71" s="87" t="s">
        <v>239</v>
      </c>
      <c r="BL71" s="289" t="s">
        <v>239</v>
      </c>
      <c r="BM71" s="106"/>
      <c r="BN71" s="107" t="s">
        <v>239</v>
      </c>
    </row>
    <row r="72" customFormat="false" ht="17.25" hidden="false" customHeight="true" outlineLevel="0" collapsed="false">
      <c r="B72" s="270"/>
      <c r="C72" s="101"/>
      <c r="D72" s="80"/>
      <c r="E72" s="44" t="s">
        <v>49</v>
      </c>
      <c r="F72" s="81"/>
      <c r="G72" s="78" t="s">
        <v>206</v>
      </c>
      <c r="H72" s="53"/>
      <c r="I72" s="54" t="s">
        <v>167</v>
      </c>
      <c r="J72" s="49" t="s">
        <v>46</v>
      </c>
      <c r="K72" s="154"/>
      <c r="L72" s="154" t="s">
        <v>46</v>
      </c>
      <c r="M72" s="78" t="s">
        <v>46</v>
      </c>
      <c r="N72" s="53"/>
      <c r="O72" s="153" t="s">
        <v>46</v>
      </c>
      <c r="P72" s="78" t="s">
        <v>46</v>
      </c>
      <c r="Q72" s="53"/>
      <c r="R72" s="54" t="s">
        <v>46</v>
      </c>
      <c r="S72" s="276" t="s">
        <v>238</v>
      </c>
      <c r="T72" s="50" t="s">
        <v>238</v>
      </c>
      <c r="U72" s="51" t="s">
        <v>238</v>
      </c>
      <c r="V72" s="277" t="s">
        <v>239</v>
      </c>
      <c r="W72" s="53"/>
      <c r="X72" s="54" t="s">
        <v>239</v>
      </c>
      <c r="Y72" s="280" t="s">
        <v>239</v>
      </c>
      <c r="Z72" s="154"/>
      <c r="AA72" s="51" t="s">
        <v>239</v>
      </c>
      <c r="AB72" s="277" t="s">
        <v>239</v>
      </c>
      <c r="AC72" s="53"/>
      <c r="AD72" s="54" t="s">
        <v>239</v>
      </c>
      <c r="AE72" s="49" t="s">
        <v>59</v>
      </c>
      <c r="AF72" s="50"/>
      <c r="AG72" s="51" t="s">
        <v>59</v>
      </c>
      <c r="AH72" s="78" t="s">
        <v>59</v>
      </c>
      <c r="AI72" s="53"/>
      <c r="AJ72" s="54" t="s">
        <v>59</v>
      </c>
      <c r="AK72" s="286" t="s">
        <v>240</v>
      </c>
      <c r="AL72" s="170"/>
      <c r="AM72" s="171" t="s">
        <v>241</v>
      </c>
      <c r="AN72" s="49" t="s">
        <v>242</v>
      </c>
      <c r="AO72" s="50"/>
      <c r="AP72" s="51" t="s">
        <v>167</v>
      </c>
      <c r="AQ72" s="277" t="s">
        <v>239</v>
      </c>
      <c r="AR72" s="53"/>
      <c r="AS72" s="75" t="s">
        <v>231</v>
      </c>
      <c r="AT72" s="49" t="s">
        <v>59</v>
      </c>
      <c r="AU72" s="50"/>
      <c r="AV72" s="51" t="s">
        <v>59</v>
      </c>
      <c r="AW72" s="78" t="s">
        <v>59</v>
      </c>
      <c r="AX72" s="53"/>
      <c r="AY72" s="54" t="s">
        <v>59</v>
      </c>
      <c r="AZ72" s="49" t="s">
        <v>59</v>
      </c>
      <c r="BA72" s="50"/>
      <c r="BB72" s="51" t="s">
        <v>59</v>
      </c>
      <c r="BC72" s="277" t="s">
        <v>59</v>
      </c>
      <c r="BD72" s="53"/>
      <c r="BE72" s="54" t="s">
        <v>59</v>
      </c>
      <c r="BF72" s="289" t="s">
        <v>239</v>
      </c>
      <c r="BG72" s="106"/>
      <c r="BH72" s="107" t="s">
        <v>239</v>
      </c>
      <c r="BI72" s="286" t="s">
        <v>239</v>
      </c>
      <c r="BJ72" s="109"/>
      <c r="BK72" s="87" t="s">
        <v>239</v>
      </c>
      <c r="BL72" s="289" t="s">
        <v>239</v>
      </c>
      <c r="BM72" s="106"/>
      <c r="BN72" s="107" t="s">
        <v>239</v>
      </c>
    </row>
    <row r="73" customFormat="false" ht="17.25" hidden="false" customHeight="true" outlineLevel="0" collapsed="false">
      <c r="B73" s="270"/>
      <c r="C73" s="85" t="s">
        <v>243</v>
      </c>
      <c r="D73" s="112"/>
      <c r="E73" s="44" t="s">
        <v>45</v>
      </c>
      <c r="F73" s="113"/>
      <c r="G73" s="78" t="s">
        <v>46</v>
      </c>
      <c r="H73" s="53"/>
      <c r="I73" s="52" t="s">
        <v>46</v>
      </c>
      <c r="J73" s="49" t="s">
        <v>244</v>
      </c>
      <c r="K73" s="154"/>
      <c r="L73" s="154" t="s">
        <v>244</v>
      </c>
      <c r="M73" s="78" t="s">
        <v>244</v>
      </c>
      <c r="N73" s="53"/>
      <c r="O73" s="153" t="s">
        <v>244</v>
      </c>
      <c r="P73" s="78" t="s">
        <v>244</v>
      </c>
      <c r="Q73" s="53"/>
      <c r="R73" s="54" t="s">
        <v>244</v>
      </c>
      <c r="S73" s="276" t="s">
        <v>245</v>
      </c>
      <c r="T73" s="50"/>
      <c r="U73" s="51" t="s">
        <v>246</v>
      </c>
      <c r="V73" s="277" t="s">
        <v>247</v>
      </c>
      <c r="W73" s="100"/>
      <c r="X73" s="78" t="s">
        <v>247</v>
      </c>
      <c r="Y73" s="280" t="s">
        <v>248</v>
      </c>
      <c r="Z73" s="50"/>
      <c r="AA73" s="49" t="s">
        <v>248</v>
      </c>
      <c r="AB73" s="277" t="s">
        <v>248</v>
      </c>
      <c r="AC73" s="53"/>
      <c r="AD73" s="78" t="s">
        <v>248</v>
      </c>
      <c r="AE73" s="49" t="s">
        <v>59</v>
      </c>
      <c r="AF73" s="50"/>
      <c r="AG73" s="51" t="s">
        <v>59</v>
      </c>
      <c r="AH73" s="78" t="s">
        <v>59</v>
      </c>
      <c r="AI73" s="53"/>
      <c r="AJ73" s="54" t="s">
        <v>59</v>
      </c>
      <c r="AK73" s="286" t="s">
        <v>249</v>
      </c>
      <c r="AL73" s="109"/>
      <c r="AM73" s="87" t="s">
        <v>250</v>
      </c>
      <c r="AN73" s="280" t="s">
        <v>250</v>
      </c>
      <c r="AO73" s="50"/>
      <c r="AP73" s="51" t="s">
        <v>249</v>
      </c>
      <c r="AQ73" s="277" t="s">
        <v>59</v>
      </c>
      <c r="AR73" s="53"/>
      <c r="AS73" s="54" t="s">
        <v>59</v>
      </c>
      <c r="AT73" s="49" t="s">
        <v>59</v>
      </c>
      <c r="AU73" s="50"/>
      <c r="AV73" s="51" t="s">
        <v>59</v>
      </c>
      <c r="AW73" s="78" t="s">
        <v>59</v>
      </c>
      <c r="AX73" s="53"/>
      <c r="AY73" s="54" t="s">
        <v>59</v>
      </c>
      <c r="AZ73" s="49" t="s">
        <v>59</v>
      </c>
      <c r="BA73" s="50"/>
      <c r="BB73" s="51" t="s">
        <v>59</v>
      </c>
      <c r="BC73" s="277" t="s">
        <v>59</v>
      </c>
      <c r="BD73" s="53"/>
      <c r="BE73" s="54" t="s">
        <v>59</v>
      </c>
      <c r="BF73" s="289"/>
      <c r="BG73" s="106"/>
      <c r="BH73" s="107"/>
      <c r="BI73" s="286"/>
      <c r="BJ73" s="109"/>
      <c r="BK73" s="87"/>
      <c r="BL73" s="289"/>
      <c r="BM73" s="106"/>
      <c r="BN73" s="107"/>
    </row>
    <row r="74" customFormat="false" ht="17.25" hidden="false" customHeight="true" outlineLevel="0" collapsed="false">
      <c r="B74" s="270"/>
      <c r="C74" s="85"/>
      <c r="D74" s="112"/>
      <c r="E74" s="44" t="s">
        <v>47</v>
      </c>
      <c r="F74" s="114"/>
      <c r="G74" s="95" t="s">
        <v>46</v>
      </c>
      <c r="H74" s="100"/>
      <c r="I74" s="163" t="s">
        <v>46</v>
      </c>
      <c r="J74" s="49" t="s">
        <v>244</v>
      </c>
      <c r="K74" s="104"/>
      <c r="L74" s="154" t="s">
        <v>244</v>
      </c>
      <c r="M74" s="78" t="s">
        <v>244</v>
      </c>
      <c r="N74" s="53"/>
      <c r="O74" s="153" t="s">
        <v>244</v>
      </c>
      <c r="P74" s="78" t="s">
        <v>244</v>
      </c>
      <c r="Q74" s="53"/>
      <c r="R74" s="54" t="s">
        <v>244</v>
      </c>
      <c r="S74" s="276" t="s">
        <v>245</v>
      </c>
      <c r="T74" s="50"/>
      <c r="U74" s="51" t="s">
        <v>246</v>
      </c>
      <c r="V74" s="277" t="s">
        <v>247</v>
      </c>
      <c r="W74" s="100"/>
      <c r="X74" s="78" t="s">
        <v>247</v>
      </c>
      <c r="Y74" s="280" t="s">
        <v>248</v>
      </c>
      <c r="Z74" s="94"/>
      <c r="AA74" s="49" t="s">
        <v>248</v>
      </c>
      <c r="AB74" s="277" t="s">
        <v>248</v>
      </c>
      <c r="AC74" s="100"/>
      <c r="AD74" s="78" t="s">
        <v>248</v>
      </c>
      <c r="AE74" s="97" t="s">
        <v>59</v>
      </c>
      <c r="AF74" s="94"/>
      <c r="AG74" s="98" t="s">
        <v>59</v>
      </c>
      <c r="AH74" s="95" t="s">
        <v>59</v>
      </c>
      <c r="AI74" s="100"/>
      <c r="AJ74" s="96" t="s">
        <v>59</v>
      </c>
      <c r="AK74" s="286" t="s">
        <v>249</v>
      </c>
      <c r="AL74" s="170"/>
      <c r="AM74" s="87" t="s">
        <v>250</v>
      </c>
      <c r="AN74" s="280" t="s">
        <v>250</v>
      </c>
      <c r="AO74" s="94"/>
      <c r="AP74" s="51" t="s">
        <v>249</v>
      </c>
      <c r="AQ74" s="277" t="s">
        <v>59</v>
      </c>
      <c r="AR74" s="100"/>
      <c r="AS74" s="54" t="s">
        <v>59</v>
      </c>
      <c r="AT74" s="49" t="s">
        <v>59</v>
      </c>
      <c r="AU74" s="50"/>
      <c r="AV74" s="51" t="s">
        <v>59</v>
      </c>
      <c r="AW74" s="78" t="s">
        <v>59</v>
      </c>
      <c r="AX74" s="53"/>
      <c r="AY74" s="54" t="s">
        <v>59</v>
      </c>
      <c r="AZ74" s="49" t="s">
        <v>59</v>
      </c>
      <c r="BA74" s="50"/>
      <c r="BB74" s="51" t="s">
        <v>59</v>
      </c>
      <c r="BC74" s="288" t="s">
        <v>59</v>
      </c>
      <c r="BD74" s="100"/>
      <c r="BE74" s="96" t="s">
        <v>59</v>
      </c>
      <c r="BF74" s="289"/>
      <c r="BG74" s="106"/>
      <c r="BH74" s="107"/>
      <c r="BI74" s="286"/>
      <c r="BJ74" s="109"/>
      <c r="BK74" s="87"/>
      <c r="BL74" s="289"/>
      <c r="BM74" s="106"/>
      <c r="BN74" s="107"/>
    </row>
    <row r="75" customFormat="false" ht="17.25" hidden="false" customHeight="true" outlineLevel="0" collapsed="false">
      <c r="B75" s="270"/>
      <c r="C75" s="85"/>
      <c r="D75" s="112"/>
      <c r="E75" s="44" t="s">
        <v>48</v>
      </c>
      <c r="F75" s="114"/>
      <c r="G75" s="78" t="s">
        <v>46</v>
      </c>
      <c r="H75" s="100"/>
      <c r="I75" s="52" t="s">
        <v>46</v>
      </c>
      <c r="J75" s="49" t="s">
        <v>244</v>
      </c>
      <c r="K75" s="104"/>
      <c r="L75" s="154" t="s">
        <v>244</v>
      </c>
      <c r="M75" s="78" t="s">
        <v>244</v>
      </c>
      <c r="N75" s="53"/>
      <c r="O75" s="153" t="s">
        <v>244</v>
      </c>
      <c r="P75" s="78" t="s">
        <v>244</v>
      </c>
      <c r="Q75" s="53"/>
      <c r="R75" s="54" t="s">
        <v>244</v>
      </c>
      <c r="S75" s="276" t="s">
        <v>245</v>
      </c>
      <c r="T75" s="50"/>
      <c r="U75" s="51" t="s">
        <v>246</v>
      </c>
      <c r="V75" s="277" t="s">
        <v>247</v>
      </c>
      <c r="W75" s="100"/>
      <c r="X75" s="78" t="s">
        <v>247</v>
      </c>
      <c r="Y75" s="280" t="s">
        <v>248</v>
      </c>
      <c r="Z75" s="94"/>
      <c r="AA75" s="49" t="s">
        <v>248</v>
      </c>
      <c r="AB75" s="277" t="s">
        <v>248</v>
      </c>
      <c r="AC75" s="100"/>
      <c r="AD75" s="78" t="s">
        <v>248</v>
      </c>
      <c r="AE75" s="97" t="s">
        <v>59</v>
      </c>
      <c r="AF75" s="94"/>
      <c r="AG75" s="98" t="s">
        <v>59</v>
      </c>
      <c r="AH75" s="95" t="s">
        <v>59</v>
      </c>
      <c r="AI75" s="100"/>
      <c r="AJ75" s="96" t="s">
        <v>59</v>
      </c>
      <c r="AK75" s="286" t="s">
        <v>249</v>
      </c>
      <c r="AL75" s="170"/>
      <c r="AM75" s="87" t="s">
        <v>250</v>
      </c>
      <c r="AN75" s="280" t="s">
        <v>250</v>
      </c>
      <c r="AO75" s="94"/>
      <c r="AP75" s="51" t="s">
        <v>249</v>
      </c>
      <c r="AQ75" s="277" t="s">
        <v>59</v>
      </c>
      <c r="AR75" s="100"/>
      <c r="AS75" s="54" t="s">
        <v>59</v>
      </c>
      <c r="AT75" s="49" t="s">
        <v>59</v>
      </c>
      <c r="AU75" s="50"/>
      <c r="AV75" s="51" t="s">
        <v>59</v>
      </c>
      <c r="AW75" s="78" t="s">
        <v>59</v>
      </c>
      <c r="AX75" s="53"/>
      <c r="AY75" s="54" t="s">
        <v>59</v>
      </c>
      <c r="AZ75" s="49" t="s">
        <v>59</v>
      </c>
      <c r="BA75" s="50"/>
      <c r="BB75" s="51" t="s">
        <v>59</v>
      </c>
      <c r="BC75" s="288" t="s">
        <v>59</v>
      </c>
      <c r="BD75" s="100"/>
      <c r="BE75" s="96" t="s">
        <v>59</v>
      </c>
      <c r="BF75" s="289"/>
      <c r="BG75" s="106"/>
      <c r="BH75" s="107"/>
      <c r="BI75" s="286"/>
      <c r="BJ75" s="109"/>
      <c r="BK75" s="87"/>
      <c r="BL75" s="289"/>
      <c r="BM75" s="106"/>
      <c r="BN75" s="107"/>
    </row>
    <row r="76" customFormat="false" ht="17.25" hidden="false" customHeight="true" outlineLevel="0" collapsed="false">
      <c r="B76" s="270"/>
      <c r="C76" s="85"/>
      <c r="D76" s="112"/>
      <c r="E76" s="44" t="s">
        <v>49</v>
      </c>
      <c r="F76" s="114"/>
      <c r="G76" s="95" t="s">
        <v>46</v>
      </c>
      <c r="H76" s="100"/>
      <c r="I76" s="163" t="s">
        <v>46</v>
      </c>
      <c r="J76" s="49" t="s">
        <v>244</v>
      </c>
      <c r="K76" s="104"/>
      <c r="L76" s="154" t="s">
        <v>244</v>
      </c>
      <c r="M76" s="78" t="s">
        <v>244</v>
      </c>
      <c r="N76" s="53"/>
      <c r="O76" s="153" t="s">
        <v>244</v>
      </c>
      <c r="P76" s="78" t="s">
        <v>244</v>
      </c>
      <c r="Q76" s="53"/>
      <c r="R76" s="54" t="s">
        <v>244</v>
      </c>
      <c r="S76" s="276" t="s">
        <v>245</v>
      </c>
      <c r="T76" s="50"/>
      <c r="U76" s="51" t="s">
        <v>246</v>
      </c>
      <c r="V76" s="277" t="s">
        <v>247</v>
      </c>
      <c r="W76" s="100"/>
      <c r="X76" s="78" t="s">
        <v>247</v>
      </c>
      <c r="Y76" s="280" t="s">
        <v>248</v>
      </c>
      <c r="Z76" s="94"/>
      <c r="AA76" s="49" t="s">
        <v>248</v>
      </c>
      <c r="AB76" s="277" t="s">
        <v>248</v>
      </c>
      <c r="AC76" s="100"/>
      <c r="AD76" s="78" t="s">
        <v>248</v>
      </c>
      <c r="AE76" s="97" t="s">
        <v>59</v>
      </c>
      <c r="AF76" s="94"/>
      <c r="AG76" s="98" t="s">
        <v>59</v>
      </c>
      <c r="AH76" s="95" t="s">
        <v>59</v>
      </c>
      <c r="AI76" s="100"/>
      <c r="AJ76" s="96" t="s">
        <v>59</v>
      </c>
      <c r="AK76" s="286" t="s">
        <v>249</v>
      </c>
      <c r="AL76" s="170"/>
      <c r="AM76" s="87" t="s">
        <v>250</v>
      </c>
      <c r="AN76" s="280" t="s">
        <v>250</v>
      </c>
      <c r="AO76" s="94"/>
      <c r="AP76" s="51" t="s">
        <v>249</v>
      </c>
      <c r="AQ76" s="277" t="s">
        <v>59</v>
      </c>
      <c r="AR76" s="100"/>
      <c r="AS76" s="54" t="s">
        <v>59</v>
      </c>
      <c r="AT76" s="49" t="s">
        <v>59</v>
      </c>
      <c r="AU76" s="50"/>
      <c r="AV76" s="51" t="s">
        <v>59</v>
      </c>
      <c r="AW76" s="78" t="s">
        <v>59</v>
      </c>
      <c r="AX76" s="53"/>
      <c r="AY76" s="54" t="s">
        <v>59</v>
      </c>
      <c r="AZ76" s="49" t="s">
        <v>59</v>
      </c>
      <c r="BA76" s="50"/>
      <c r="BB76" s="51" t="s">
        <v>59</v>
      </c>
      <c r="BC76" s="288" t="s">
        <v>59</v>
      </c>
      <c r="BD76" s="100"/>
      <c r="BE76" s="96" t="s">
        <v>59</v>
      </c>
      <c r="BF76" s="289"/>
      <c r="BG76" s="106"/>
      <c r="BH76" s="107"/>
      <c r="BI76" s="286"/>
      <c r="BJ76" s="109"/>
      <c r="BK76" s="87"/>
      <c r="BL76" s="289"/>
      <c r="BM76" s="106"/>
      <c r="BN76" s="107"/>
    </row>
    <row r="77" customFormat="false" ht="17.25" hidden="false" customHeight="true" outlineLevel="0" collapsed="false">
      <c r="B77" s="270"/>
      <c r="C77" s="115" t="s">
        <v>251</v>
      </c>
      <c r="D77" s="116"/>
      <c r="E77" s="117" t="s">
        <v>45</v>
      </c>
      <c r="F77" s="114"/>
      <c r="G77" s="78" t="s">
        <v>46</v>
      </c>
      <c r="H77" s="100"/>
      <c r="I77" s="52" t="s">
        <v>46</v>
      </c>
      <c r="J77" s="49" t="s">
        <v>244</v>
      </c>
      <c r="K77" s="104"/>
      <c r="L77" s="154" t="s">
        <v>244</v>
      </c>
      <c r="M77" s="78" t="s">
        <v>244</v>
      </c>
      <c r="N77" s="53"/>
      <c r="O77" s="153" t="s">
        <v>244</v>
      </c>
      <c r="P77" s="78" t="s">
        <v>244</v>
      </c>
      <c r="Q77" s="53"/>
      <c r="R77" s="54" t="s">
        <v>244</v>
      </c>
      <c r="S77" s="276" t="s">
        <v>245</v>
      </c>
      <c r="T77" s="50"/>
      <c r="U77" s="51" t="s">
        <v>246</v>
      </c>
      <c r="V77" s="277" t="s">
        <v>247</v>
      </c>
      <c r="W77" s="100"/>
      <c r="X77" s="78" t="s">
        <v>247</v>
      </c>
      <c r="Y77" s="280" t="s">
        <v>248</v>
      </c>
      <c r="Z77" s="94"/>
      <c r="AA77" s="49" t="s">
        <v>248</v>
      </c>
      <c r="AB77" s="277" t="s">
        <v>248</v>
      </c>
      <c r="AC77" s="100"/>
      <c r="AD77" s="78" t="s">
        <v>248</v>
      </c>
      <c r="AE77" s="97" t="s">
        <v>59</v>
      </c>
      <c r="AF77" s="94"/>
      <c r="AG77" s="98" t="s">
        <v>59</v>
      </c>
      <c r="AH77" s="95" t="s">
        <v>59</v>
      </c>
      <c r="AI77" s="100"/>
      <c r="AJ77" s="96" t="s">
        <v>59</v>
      </c>
      <c r="AK77" s="286" t="s">
        <v>249</v>
      </c>
      <c r="AL77" s="170"/>
      <c r="AM77" s="87" t="s">
        <v>250</v>
      </c>
      <c r="AN77" s="280" t="s">
        <v>250</v>
      </c>
      <c r="AO77" s="94"/>
      <c r="AP77" s="51" t="s">
        <v>249</v>
      </c>
      <c r="AQ77" s="277" t="s">
        <v>59</v>
      </c>
      <c r="AR77" s="100"/>
      <c r="AS77" s="54" t="s">
        <v>59</v>
      </c>
      <c r="AT77" s="49" t="s">
        <v>59</v>
      </c>
      <c r="AU77" s="50"/>
      <c r="AV77" s="51" t="s">
        <v>59</v>
      </c>
      <c r="AW77" s="78" t="s">
        <v>59</v>
      </c>
      <c r="AX77" s="53"/>
      <c r="AY77" s="54" t="s">
        <v>59</v>
      </c>
      <c r="AZ77" s="49" t="s">
        <v>59</v>
      </c>
      <c r="BA77" s="50"/>
      <c r="BB77" s="51" t="s">
        <v>59</v>
      </c>
      <c r="BC77" s="288" t="s">
        <v>59</v>
      </c>
      <c r="BD77" s="100"/>
      <c r="BE77" s="96" t="s">
        <v>59</v>
      </c>
      <c r="BF77" s="289"/>
      <c r="BG77" s="106"/>
      <c r="BH77" s="107"/>
      <c r="BI77" s="286"/>
      <c r="BJ77" s="109"/>
      <c r="BK77" s="87"/>
      <c r="BL77" s="289"/>
      <c r="BM77" s="106"/>
      <c r="BN77" s="107"/>
    </row>
    <row r="78" customFormat="false" ht="17.25" hidden="false" customHeight="true" outlineLevel="0" collapsed="false">
      <c r="B78" s="270"/>
      <c r="C78" s="115"/>
      <c r="D78" s="118"/>
      <c r="E78" s="117" t="s">
        <v>47</v>
      </c>
      <c r="F78" s="114"/>
      <c r="G78" s="95" t="s">
        <v>46</v>
      </c>
      <c r="H78" s="100"/>
      <c r="I78" s="163" t="s">
        <v>46</v>
      </c>
      <c r="J78" s="49" t="s">
        <v>244</v>
      </c>
      <c r="K78" s="104"/>
      <c r="L78" s="154" t="s">
        <v>244</v>
      </c>
      <c r="M78" s="78" t="s">
        <v>244</v>
      </c>
      <c r="N78" s="53"/>
      <c r="O78" s="153" t="s">
        <v>244</v>
      </c>
      <c r="P78" s="78" t="s">
        <v>244</v>
      </c>
      <c r="Q78" s="53"/>
      <c r="R78" s="54" t="s">
        <v>244</v>
      </c>
      <c r="S78" s="276" t="s">
        <v>245</v>
      </c>
      <c r="T78" s="50"/>
      <c r="U78" s="51" t="s">
        <v>246</v>
      </c>
      <c r="V78" s="277" t="s">
        <v>247</v>
      </c>
      <c r="W78" s="100"/>
      <c r="X78" s="78" t="s">
        <v>247</v>
      </c>
      <c r="Y78" s="280" t="s">
        <v>248</v>
      </c>
      <c r="Z78" s="94"/>
      <c r="AA78" s="49" t="s">
        <v>248</v>
      </c>
      <c r="AB78" s="277" t="s">
        <v>248</v>
      </c>
      <c r="AC78" s="100"/>
      <c r="AD78" s="78" t="s">
        <v>248</v>
      </c>
      <c r="AE78" s="97" t="s">
        <v>59</v>
      </c>
      <c r="AF78" s="94"/>
      <c r="AG78" s="98" t="s">
        <v>59</v>
      </c>
      <c r="AH78" s="95" t="s">
        <v>59</v>
      </c>
      <c r="AI78" s="100"/>
      <c r="AJ78" s="96" t="s">
        <v>59</v>
      </c>
      <c r="AK78" s="286" t="s">
        <v>249</v>
      </c>
      <c r="AL78" s="170"/>
      <c r="AM78" s="87" t="s">
        <v>250</v>
      </c>
      <c r="AN78" s="280" t="s">
        <v>250</v>
      </c>
      <c r="AO78" s="94"/>
      <c r="AP78" s="51" t="s">
        <v>249</v>
      </c>
      <c r="AQ78" s="277" t="s">
        <v>59</v>
      </c>
      <c r="AR78" s="100"/>
      <c r="AS78" s="54" t="s">
        <v>59</v>
      </c>
      <c r="AT78" s="49" t="s">
        <v>59</v>
      </c>
      <c r="AU78" s="50"/>
      <c r="AV78" s="51" t="s">
        <v>59</v>
      </c>
      <c r="AW78" s="78" t="s">
        <v>59</v>
      </c>
      <c r="AX78" s="53"/>
      <c r="AY78" s="54" t="s">
        <v>59</v>
      </c>
      <c r="AZ78" s="49" t="s">
        <v>59</v>
      </c>
      <c r="BA78" s="50"/>
      <c r="BB78" s="51" t="s">
        <v>59</v>
      </c>
      <c r="BC78" s="288" t="s">
        <v>59</v>
      </c>
      <c r="BD78" s="100"/>
      <c r="BE78" s="96" t="s">
        <v>59</v>
      </c>
      <c r="BF78" s="289"/>
      <c r="BG78" s="106"/>
      <c r="BH78" s="107"/>
      <c r="BI78" s="286"/>
      <c r="BJ78" s="109"/>
      <c r="BK78" s="87"/>
      <c r="BL78" s="289"/>
      <c r="BM78" s="106"/>
      <c r="BN78" s="107"/>
    </row>
    <row r="79" customFormat="false" ht="17.25" hidden="false" customHeight="true" outlineLevel="0" collapsed="false">
      <c r="B79" s="270"/>
      <c r="C79" s="115"/>
      <c r="D79" s="118"/>
      <c r="E79" s="117" t="s">
        <v>48</v>
      </c>
      <c r="F79" s="114"/>
      <c r="G79" s="78" t="s">
        <v>46</v>
      </c>
      <c r="H79" s="100"/>
      <c r="I79" s="52" t="s">
        <v>46</v>
      </c>
      <c r="J79" s="49" t="s">
        <v>244</v>
      </c>
      <c r="K79" s="104"/>
      <c r="L79" s="154" t="s">
        <v>244</v>
      </c>
      <c r="M79" s="78" t="s">
        <v>244</v>
      </c>
      <c r="N79" s="53"/>
      <c r="O79" s="153" t="s">
        <v>244</v>
      </c>
      <c r="P79" s="78" t="s">
        <v>244</v>
      </c>
      <c r="Q79" s="53"/>
      <c r="R79" s="54" t="s">
        <v>244</v>
      </c>
      <c r="S79" s="276" t="s">
        <v>245</v>
      </c>
      <c r="T79" s="50"/>
      <c r="U79" s="51" t="s">
        <v>246</v>
      </c>
      <c r="V79" s="277" t="s">
        <v>247</v>
      </c>
      <c r="W79" s="100"/>
      <c r="X79" s="78" t="s">
        <v>247</v>
      </c>
      <c r="Y79" s="280" t="s">
        <v>248</v>
      </c>
      <c r="Z79" s="94"/>
      <c r="AA79" s="49" t="s">
        <v>248</v>
      </c>
      <c r="AB79" s="277" t="s">
        <v>248</v>
      </c>
      <c r="AC79" s="100"/>
      <c r="AD79" s="78" t="s">
        <v>248</v>
      </c>
      <c r="AE79" s="97" t="s">
        <v>59</v>
      </c>
      <c r="AF79" s="94"/>
      <c r="AG79" s="98" t="s">
        <v>59</v>
      </c>
      <c r="AH79" s="95" t="s">
        <v>59</v>
      </c>
      <c r="AI79" s="100"/>
      <c r="AJ79" s="96" t="s">
        <v>59</v>
      </c>
      <c r="AK79" s="286" t="s">
        <v>249</v>
      </c>
      <c r="AL79" s="170"/>
      <c r="AM79" s="87" t="s">
        <v>250</v>
      </c>
      <c r="AN79" s="280" t="s">
        <v>250</v>
      </c>
      <c r="AO79" s="94"/>
      <c r="AP79" s="51" t="s">
        <v>249</v>
      </c>
      <c r="AQ79" s="277" t="s">
        <v>59</v>
      </c>
      <c r="AR79" s="100"/>
      <c r="AS79" s="54" t="s">
        <v>59</v>
      </c>
      <c r="AT79" s="49" t="s">
        <v>59</v>
      </c>
      <c r="AU79" s="50"/>
      <c r="AV79" s="51" t="s">
        <v>59</v>
      </c>
      <c r="AW79" s="78" t="s">
        <v>59</v>
      </c>
      <c r="AX79" s="53"/>
      <c r="AY79" s="54" t="s">
        <v>59</v>
      </c>
      <c r="AZ79" s="49" t="s">
        <v>59</v>
      </c>
      <c r="BA79" s="50"/>
      <c r="BB79" s="51" t="s">
        <v>59</v>
      </c>
      <c r="BC79" s="288" t="s">
        <v>59</v>
      </c>
      <c r="BD79" s="100"/>
      <c r="BE79" s="96" t="s">
        <v>59</v>
      </c>
      <c r="BF79" s="289"/>
      <c r="BG79" s="106"/>
      <c r="BH79" s="107"/>
      <c r="BI79" s="286"/>
      <c r="BJ79" s="109"/>
      <c r="BK79" s="87"/>
      <c r="BL79" s="289"/>
      <c r="BM79" s="106"/>
      <c r="BN79" s="107"/>
    </row>
    <row r="80" customFormat="false" ht="17.25" hidden="false" customHeight="true" outlineLevel="0" collapsed="false">
      <c r="B80" s="270"/>
      <c r="C80" s="115"/>
      <c r="D80" s="118"/>
      <c r="E80" s="117" t="s">
        <v>49</v>
      </c>
      <c r="F80" s="114"/>
      <c r="G80" s="95" t="s">
        <v>46</v>
      </c>
      <c r="H80" s="290"/>
      <c r="I80" s="163" t="s">
        <v>46</v>
      </c>
      <c r="J80" s="97" t="s">
        <v>244</v>
      </c>
      <c r="K80" s="104"/>
      <c r="L80" s="165" t="s">
        <v>244</v>
      </c>
      <c r="M80" s="205" t="s">
        <v>244</v>
      </c>
      <c r="N80" s="124"/>
      <c r="O80" s="119" t="s">
        <v>244</v>
      </c>
      <c r="P80" s="205" t="s">
        <v>244</v>
      </c>
      <c r="Q80" s="124"/>
      <c r="R80" s="125" t="s">
        <v>244</v>
      </c>
      <c r="S80" s="276" t="s">
        <v>245</v>
      </c>
      <c r="T80" s="121"/>
      <c r="U80" s="51" t="s">
        <v>246</v>
      </c>
      <c r="V80" s="277" t="s">
        <v>247</v>
      </c>
      <c r="W80" s="100"/>
      <c r="X80" s="78" t="s">
        <v>247</v>
      </c>
      <c r="Y80" s="280" t="s">
        <v>248</v>
      </c>
      <c r="Z80" s="94"/>
      <c r="AA80" s="49" t="s">
        <v>248</v>
      </c>
      <c r="AB80" s="277" t="s">
        <v>248</v>
      </c>
      <c r="AC80" s="100"/>
      <c r="AD80" s="78" t="s">
        <v>248</v>
      </c>
      <c r="AE80" s="97" t="s">
        <v>59</v>
      </c>
      <c r="AF80" s="94"/>
      <c r="AG80" s="98" t="s">
        <v>59</v>
      </c>
      <c r="AH80" s="95" t="s">
        <v>59</v>
      </c>
      <c r="AI80" s="100"/>
      <c r="AJ80" s="96" t="s">
        <v>59</v>
      </c>
      <c r="AK80" s="286" t="s">
        <v>249</v>
      </c>
      <c r="AL80" s="170"/>
      <c r="AM80" s="87" t="s">
        <v>250</v>
      </c>
      <c r="AN80" s="280" t="s">
        <v>250</v>
      </c>
      <c r="AO80" s="94"/>
      <c r="AP80" s="51" t="s">
        <v>249</v>
      </c>
      <c r="AQ80" s="277" t="s">
        <v>59</v>
      </c>
      <c r="AR80" s="100"/>
      <c r="AS80" s="54" t="s">
        <v>59</v>
      </c>
      <c r="AT80" s="120" t="s">
        <v>59</v>
      </c>
      <c r="AU80" s="121"/>
      <c r="AV80" s="122" t="s">
        <v>59</v>
      </c>
      <c r="AW80" s="205" t="s">
        <v>59</v>
      </c>
      <c r="AX80" s="124"/>
      <c r="AY80" s="125" t="s">
        <v>59</v>
      </c>
      <c r="AZ80" s="120" t="s">
        <v>59</v>
      </c>
      <c r="BA80" s="121"/>
      <c r="BB80" s="122" t="s">
        <v>59</v>
      </c>
      <c r="BC80" s="288" t="s">
        <v>59</v>
      </c>
      <c r="BD80" s="100"/>
      <c r="BE80" s="96" t="s">
        <v>59</v>
      </c>
      <c r="BF80" s="291"/>
      <c r="BG80" s="127"/>
      <c r="BH80" s="128"/>
      <c r="BI80" s="292"/>
      <c r="BJ80" s="130"/>
      <c r="BK80" s="131"/>
      <c r="BL80" s="291"/>
      <c r="BM80" s="127"/>
      <c r="BN80" s="128"/>
    </row>
    <row r="81" customFormat="false" ht="17.25" hidden="false" customHeight="true" outlineLevel="0" collapsed="false">
      <c r="B81" s="133" t="s">
        <v>64</v>
      </c>
      <c r="C81" s="134" t="s">
        <v>252</v>
      </c>
      <c r="D81" s="135"/>
      <c r="E81" s="136" t="s">
        <v>67</v>
      </c>
      <c r="F81" s="137"/>
      <c r="G81" s="58" t="s">
        <v>155</v>
      </c>
      <c r="H81" s="74"/>
      <c r="I81" s="60" t="s">
        <v>155</v>
      </c>
      <c r="J81" s="61" t="s">
        <v>46</v>
      </c>
      <c r="K81" s="62"/>
      <c r="L81" s="211" t="s">
        <v>46</v>
      </c>
      <c r="M81" s="58" t="s">
        <v>46</v>
      </c>
      <c r="N81" s="59"/>
      <c r="O81" s="178" t="s">
        <v>46</v>
      </c>
      <c r="P81" s="58" t="s">
        <v>46</v>
      </c>
      <c r="Q81" s="59"/>
      <c r="R81" s="60" t="s">
        <v>46</v>
      </c>
      <c r="S81" s="293" t="s">
        <v>253</v>
      </c>
      <c r="T81" s="56"/>
      <c r="U81" s="57" t="s">
        <v>254</v>
      </c>
      <c r="V81" s="272" t="s">
        <v>191</v>
      </c>
      <c r="W81" s="59"/>
      <c r="X81" s="60" t="s">
        <v>191</v>
      </c>
      <c r="Y81" s="273" t="s">
        <v>181</v>
      </c>
      <c r="Z81" s="62"/>
      <c r="AA81" s="63" t="s">
        <v>161</v>
      </c>
      <c r="AB81" s="272" t="s">
        <v>181</v>
      </c>
      <c r="AC81" s="59"/>
      <c r="AD81" s="60" t="s">
        <v>161</v>
      </c>
      <c r="AE81" s="61" t="s">
        <v>255</v>
      </c>
      <c r="AF81" s="62"/>
      <c r="AG81" s="63" t="s">
        <v>255</v>
      </c>
      <c r="AH81" s="58" t="s">
        <v>256</v>
      </c>
      <c r="AI81" s="59"/>
      <c r="AJ81" s="60" t="s">
        <v>255</v>
      </c>
      <c r="AK81" s="294" t="s">
        <v>256</v>
      </c>
      <c r="AL81" s="185"/>
      <c r="AM81" s="186" t="s">
        <v>257</v>
      </c>
      <c r="AN81" s="61" t="s">
        <v>258</v>
      </c>
      <c r="AO81" s="62"/>
      <c r="AP81" s="63" t="s">
        <v>259</v>
      </c>
      <c r="AQ81" s="272" t="s">
        <v>168</v>
      </c>
      <c r="AR81" s="59"/>
      <c r="AS81" s="60" t="s">
        <v>169</v>
      </c>
      <c r="AT81" s="55" t="s">
        <v>260</v>
      </c>
      <c r="AU81" s="56"/>
      <c r="AV81" s="57" t="s">
        <v>261</v>
      </c>
      <c r="AW81" s="73" t="s">
        <v>260</v>
      </c>
      <c r="AX81" s="74"/>
      <c r="AY81" s="75" t="s">
        <v>261</v>
      </c>
      <c r="AZ81" s="55" t="s">
        <v>262</v>
      </c>
      <c r="BA81" s="56"/>
      <c r="BB81" s="57" t="s">
        <v>263</v>
      </c>
      <c r="BC81" s="272" t="s">
        <v>173</v>
      </c>
      <c r="BD81" s="59"/>
      <c r="BE81" s="60" t="s">
        <v>174</v>
      </c>
      <c r="BF81" s="278"/>
      <c r="BG81" s="56"/>
      <c r="BH81" s="57"/>
      <c r="BI81" s="279"/>
      <c r="BJ81" s="74"/>
      <c r="BK81" s="75"/>
      <c r="BL81" s="278"/>
      <c r="BM81" s="56"/>
      <c r="BN81" s="57"/>
    </row>
    <row r="82" customFormat="false" ht="17.25" hidden="false" customHeight="true" outlineLevel="0" collapsed="false">
      <c r="B82" s="133"/>
      <c r="C82" s="134"/>
      <c r="D82" s="135"/>
      <c r="E82" s="141" t="s">
        <v>68</v>
      </c>
      <c r="F82" s="137"/>
      <c r="G82" s="73" t="s">
        <v>155</v>
      </c>
      <c r="H82" s="74"/>
      <c r="I82" s="75" t="s">
        <v>155</v>
      </c>
      <c r="J82" s="55" t="s">
        <v>46</v>
      </c>
      <c r="K82" s="56"/>
      <c r="L82" s="219" t="s">
        <v>46</v>
      </c>
      <c r="M82" s="78" t="s">
        <v>46</v>
      </c>
      <c r="N82" s="53"/>
      <c r="O82" s="153" t="s">
        <v>46</v>
      </c>
      <c r="P82" s="78" t="s">
        <v>46</v>
      </c>
      <c r="Q82" s="53"/>
      <c r="R82" s="54" t="s">
        <v>46</v>
      </c>
      <c r="S82" s="276" t="s">
        <v>264</v>
      </c>
      <c r="T82" s="56"/>
      <c r="U82" s="51" t="s">
        <v>254</v>
      </c>
      <c r="V82" s="277" t="s">
        <v>191</v>
      </c>
      <c r="W82" s="74"/>
      <c r="X82" s="53" t="s">
        <v>191</v>
      </c>
      <c r="Y82" s="280" t="s">
        <v>181</v>
      </c>
      <c r="Z82" s="50"/>
      <c r="AA82" s="57" t="s">
        <v>161</v>
      </c>
      <c r="AB82" s="279" t="s">
        <v>181</v>
      </c>
      <c r="AC82" s="74"/>
      <c r="AD82" s="75" t="s">
        <v>161</v>
      </c>
      <c r="AE82" s="55" t="s">
        <v>255</v>
      </c>
      <c r="AF82" s="56"/>
      <c r="AG82" s="57" t="s">
        <v>255</v>
      </c>
      <c r="AH82" s="73" t="s">
        <v>256</v>
      </c>
      <c r="AI82" s="74"/>
      <c r="AJ82" s="75" t="s">
        <v>255</v>
      </c>
      <c r="AK82" s="294" t="s">
        <v>256</v>
      </c>
      <c r="AL82" s="188"/>
      <c r="AM82" s="186" t="s">
        <v>257</v>
      </c>
      <c r="AN82" s="55" t="s">
        <v>258</v>
      </c>
      <c r="AO82" s="56"/>
      <c r="AP82" s="57" t="s">
        <v>259</v>
      </c>
      <c r="AQ82" s="279" t="s">
        <v>168</v>
      </c>
      <c r="AR82" s="74"/>
      <c r="AS82" s="75" t="s">
        <v>169</v>
      </c>
      <c r="AT82" s="49" t="s">
        <v>260</v>
      </c>
      <c r="AU82" s="50"/>
      <c r="AV82" s="51" t="s">
        <v>261</v>
      </c>
      <c r="AW82" s="78" t="s">
        <v>260</v>
      </c>
      <c r="AX82" s="53"/>
      <c r="AY82" s="54" t="s">
        <v>261</v>
      </c>
      <c r="AZ82" s="49" t="s">
        <v>262</v>
      </c>
      <c r="BA82" s="50"/>
      <c r="BB82" s="51" t="s">
        <v>263</v>
      </c>
      <c r="BC82" s="279" t="s">
        <v>173</v>
      </c>
      <c r="BD82" s="74"/>
      <c r="BE82" s="75" t="s">
        <v>174</v>
      </c>
      <c r="BF82" s="280"/>
      <c r="BG82" s="50"/>
      <c r="BH82" s="51"/>
      <c r="BI82" s="277"/>
      <c r="BJ82" s="53"/>
      <c r="BK82" s="54"/>
      <c r="BL82" s="280"/>
      <c r="BM82" s="50"/>
      <c r="BN82" s="51"/>
    </row>
    <row r="83" customFormat="false" ht="17.25" hidden="false" customHeight="true" outlineLevel="0" collapsed="false">
      <c r="B83" s="133"/>
      <c r="C83" s="134"/>
      <c r="D83" s="135"/>
      <c r="E83" s="141" t="s">
        <v>69</v>
      </c>
      <c r="F83" s="137"/>
      <c r="G83" s="73" t="s">
        <v>155</v>
      </c>
      <c r="H83" s="74"/>
      <c r="I83" s="75" t="s">
        <v>155</v>
      </c>
      <c r="J83" s="55" t="s">
        <v>46</v>
      </c>
      <c r="K83" s="56"/>
      <c r="L83" s="219" t="s">
        <v>46</v>
      </c>
      <c r="M83" s="78" t="s">
        <v>46</v>
      </c>
      <c r="N83" s="53"/>
      <c r="O83" s="153" t="s">
        <v>46</v>
      </c>
      <c r="P83" s="78" t="s">
        <v>46</v>
      </c>
      <c r="Q83" s="53"/>
      <c r="R83" s="54" t="s">
        <v>46</v>
      </c>
      <c r="S83" s="276" t="s">
        <v>264</v>
      </c>
      <c r="T83" s="56"/>
      <c r="U83" s="51" t="s">
        <v>254</v>
      </c>
      <c r="V83" s="277" t="s">
        <v>191</v>
      </c>
      <c r="W83" s="74"/>
      <c r="X83" s="53" t="s">
        <v>191</v>
      </c>
      <c r="Y83" s="280" t="s">
        <v>181</v>
      </c>
      <c r="Z83" s="50"/>
      <c r="AA83" s="57" t="s">
        <v>161</v>
      </c>
      <c r="AB83" s="279" t="s">
        <v>181</v>
      </c>
      <c r="AC83" s="74"/>
      <c r="AD83" s="75" t="s">
        <v>161</v>
      </c>
      <c r="AE83" s="55" t="s">
        <v>255</v>
      </c>
      <c r="AF83" s="56"/>
      <c r="AG83" s="57" t="s">
        <v>255</v>
      </c>
      <c r="AH83" s="73" t="s">
        <v>256</v>
      </c>
      <c r="AI83" s="74"/>
      <c r="AJ83" s="75" t="s">
        <v>255</v>
      </c>
      <c r="AK83" s="294" t="s">
        <v>256</v>
      </c>
      <c r="AL83" s="188"/>
      <c r="AM83" s="186" t="s">
        <v>257</v>
      </c>
      <c r="AN83" s="55" t="s">
        <v>258</v>
      </c>
      <c r="AO83" s="56"/>
      <c r="AP83" s="57" t="s">
        <v>259</v>
      </c>
      <c r="AQ83" s="279" t="s">
        <v>168</v>
      </c>
      <c r="AR83" s="74"/>
      <c r="AS83" s="75" t="s">
        <v>169</v>
      </c>
      <c r="AT83" s="49" t="s">
        <v>260</v>
      </c>
      <c r="AU83" s="50"/>
      <c r="AV83" s="51" t="s">
        <v>261</v>
      </c>
      <c r="AW83" s="78" t="s">
        <v>260</v>
      </c>
      <c r="AX83" s="53"/>
      <c r="AY83" s="54" t="s">
        <v>261</v>
      </c>
      <c r="AZ83" s="49" t="s">
        <v>262</v>
      </c>
      <c r="BA83" s="50"/>
      <c r="BB83" s="51" t="s">
        <v>263</v>
      </c>
      <c r="BC83" s="279" t="s">
        <v>173</v>
      </c>
      <c r="BD83" s="74"/>
      <c r="BE83" s="75" t="s">
        <v>174</v>
      </c>
      <c r="BF83" s="280"/>
      <c r="BG83" s="50"/>
      <c r="BH83" s="51"/>
      <c r="BI83" s="277"/>
      <c r="BJ83" s="53"/>
      <c r="BK83" s="54"/>
      <c r="BL83" s="280"/>
      <c r="BM83" s="50"/>
      <c r="BN83" s="51"/>
    </row>
    <row r="84" customFormat="false" ht="17.25" hidden="false" customHeight="true" outlineLevel="0" collapsed="false">
      <c r="B84" s="133"/>
      <c r="C84" s="134"/>
      <c r="D84" s="135"/>
      <c r="E84" s="141" t="s">
        <v>70</v>
      </c>
      <c r="F84" s="137"/>
      <c r="G84" s="73" t="s">
        <v>155</v>
      </c>
      <c r="H84" s="74"/>
      <c r="I84" s="75" t="s">
        <v>155</v>
      </c>
      <c r="J84" s="55" t="s">
        <v>46</v>
      </c>
      <c r="K84" s="56"/>
      <c r="L84" s="219" t="s">
        <v>46</v>
      </c>
      <c r="M84" s="78" t="s">
        <v>46</v>
      </c>
      <c r="N84" s="53"/>
      <c r="O84" s="153" t="s">
        <v>46</v>
      </c>
      <c r="P84" s="78" t="s">
        <v>46</v>
      </c>
      <c r="Q84" s="53"/>
      <c r="R84" s="54" t="s">
        <v>46</v>
      </c>
      <c r="S84" s="276" t="s">
        <v>264</v>
      </c>
      <c r="T84" s="56"/>
      <c r="U84" s="51" t="s">
        <v>254</v>
      </c>
      <c r="V84" s="277" t="s">
        <v>191</v>
      </c>
      <c r="W84" s="74"/>
      <c r="X84" s="53" t="s">
        <v>191</v>
      </c>
      <c r="Y84" s="280" t="s">
        <v>181</v>
      </c>
      <c r="Z84" s="50"/>
      <c r="AA84" s="57" t="s">
        <v>161</v>
      </c>
      <c r="AB84" s="279" t="s">
        <v>181</v>
      </c>
      <c r="AC84" s="74"/>
      <c r="AD84" s="75" t="s">
        <v>161</v>
      </c>
      <c r="AE84" s="55" t="s">
        <v>255</v>
      </c>
      <c r="AF84" s="56"/>
      <c r="AG84" s="57" t="s">
        <v>255</v>
      </c>
      <c r="AH84" s="73" t="s">
        <v>256</v>
      </c>
      <c r="AI84" s="74"/>
      <c r="AJ84" s="75" t="s">
        <v>255</v>
      </c>
      <c r="AK84" s="294" t="s">
        <v>256</v>
      </c>
      <c r="AL84" s="188"/>
      <c r="AM84" s="186" t="s">
        <v>257</v>
      </c>
      <c r="AN84" s="55" t="s">
        <v>258</v>
      </c>
      <c r="AO84" s="56"/>
      <c r="AP84" s="57" t="s">
        <v>259</v>
      </c>
      <c r="AQ84" s="279" t="s">
        <v>168</v>
      </c>
      <c r="AR84" s="74"/>
      <c r="AS84" s="75" t="s">
        <v>169</v>
      </c>
      <c r="AT84" s="49" t="s">
        <v>260</v>
      </c>
      <c r="AU84" s="50"/>
      <c r="AV84" s="51" t="s">
        <v>261</v>
      </c>
      <c r="AW84" s="78" t="s">
        <v>260</v>
      </c>
      <c r="AX84" s="53"/>
      <c r="AY84" s="54" t="s">
        <v>261</v>
      </c>
      <c r="AZ84" s="49" t="s">
        <v>262</v>
      </c>
      <c r="BA84" s="50"/>
      <c r="BB84" s="51" t="s">
        <v>263</v>
      </c>
      <c r="BC84" s="279" t="s">
        <v>173</v>
      </c>
      <c r="BD84" s="74"/>
      <c r="BE84" s="75" t="s">
        <v>174</v>
      </c>
      <c r="BF84" s="280"/>
      <c r="BG84" s="50"/>
      <c r="BH84" s="51"/>
      <c r="BI84" s="277"/>
      <c r="BJ84" s="53"/>
      <c r="BK84" s="54"/>
      <c r="BL84" s="280"/>
      <c r="BM84" s="50"/>
      <c r="BN84" s="51"/>
    </row>
    <row r="85" customFormat="false" ht="17.25" hidden="false" customHeight="true" outlineLevel="0" collapsed="false">
      <c r="B85" s="133"/>
      <c r="C85" s="143" t="s">
        <v>265</v>
      </c>
      <c r="D85" s="144" t="s">
        <v>72</v>
      </c>
      <c r="E85" s="145" t="s">
        <v>67</v>
      </c>
      <c r="F85" s="146" t="s">
        <v>73</v>
      </c>
      <c r="G85" s="78" t="s">
        <v>155</v>
      </c>
      <c r="H85" s="53"/>
      <c r="I85" s="54" t="s">
        <v>155</v>
      </c>
      <c r="J85" s="49" t="s">
        <v>46</v>
      </c>
      <c r="K85" s="50"/>
      <c r="L85" s="154" t="s">
        <v>46</v>
      </c>
      <c r="M85" s="78" t="s">
        <v>46</v>
      </c>
      <c r="N85" s="53"/>
      <c r="O85" s="153" t="s">
        <v>46</v>
      </c>
      <c r="P85" s="78" t="s">
        <v>46</v>
      </c>
      <c r="Q85" s="53"/>
      <c r="R85" s="54" t="s">
        <v>46</v>
      </c>
      <c r="S85" s="276" t="s">
        <v>264</v>
      </c>
      <c r="T85" s="50"/>
      <c r="U85" s="51" t="s">
        <v>254</v>
      </c>
      <c r="V85" s="277" t="s">
        <v>266</v>
      </c>
      <c r="W85" s="53"/>
      <c r="X85" s="53" t="s">
        <v>191</v>
      </c>
      <c r="Y85" s="280" t="s">
        <v>181</v>
      </c>
      <c r="Z85" s="50"/>
      <c r="AA85" s="57" t="s">
        <v>161</v>
      </c>
      <c r="AB85" s="277" t="s">
        <v>181</v>
      </c>
      <c r="AC85" s="53"/>
      <c r="AD85" s="54" t="s">
        <v>161</v>
      </c>
      <c r="AE85" s="49" t="s">
        <v>255</v>
      </c>
      <c r="AF85" s="50"/>
      <c r="AG85" s="51" t="s">
        <v>267</v>
      </c>
      <c r="AH85" s="78" t="s">
        <v>256</v>
      </c>
      <c r="AI85" s="53"/>
      <c r="AJ85" s="54" t="s">
        <v>255</v>
      </c>
      <c r="AK85" s="294" t="s">
        <v>256</v>
      </c>
      <c r="AL85" s="109"/>
      <c r="AM85" s="187" t="s">
        <v>184</v>
      </c>
      <c r="AN85" s="57" t="s">
        <v>268</v>
      </c>
      <c r="AO85" s="56"/>
      <c r="AP85" s="57" t="s">
        <v>268</v>
      </c>
      <c r="AQ85" s="279" t="s">
        <v>269</v>
      </c>
      <c r="AR85" s="74"/>
      <c r="AS85" s="75" t="s">
        <v>169</v>
      </c>
      <c r="AT85" s="49" t="s">
        <v>185</v>
      </c>
      <c r="AU85" s="50"/>
      <c r="AV85" s="51" t="s">
        <v>171</v>
      </c>
      <c r="AW85" s="78" t="s">
        <v>185</v>
      </c>
      <c r="AX85" s="53"/>
      <c r="AY85" s="54" t="s">
        <v>171</v>
      </c>
      <c r="AZ85" s="49" t="s">
        <v>185</v>
      </c>
      <c r="BA85" s="50"/>
      <c r="BB85" s="51" t="s">
        <v>168</v>
      </c>
      <c r="BC85" s="279" t="s">
        <v>173</v>
      </c>
      <c r="BD85" s="74"/>
      <c r="BE85" s="75" t="s">
        <v>174</v>
      </c>
      <c r="BF85" s="280" t="s">
        <v>234</v>
      </c>
      <c r="BG85" s="50"/>
      <c r="BH85" s="51" t="s">
        <v>159</v>
      </c>
      <c r="BI85" s="277" t="s">
        <v>234</v>
      </c>
      <c r="BJ85" s="53"/>
      <c r="BK85" s="54" t="s">
        <v>270</v>
      </c>
      <c r="BL85" s="280" t="s">
        <v>159</v>
      </c>
      <c r="BM85" s="50"/>
      <c r="BN85" s="51" t="s">
        <v>192</v>
      </c>
    </row>
    <row r="86" customFormat="false" ht="17.25" hidden="false" customHeight="true" outlineLevel="0" collapsed="false">
      <c r="B86" s="133"/>
      <c r="C86" s="143"/>
      <c r="D86" s="144"/>
      <c r="E86" s="145" t="s">
        <v>68</v>
      </c>
      <c r="F86" s="146"/>
      <c r="G86" s="78" t="s">
        <v>155</v>
      </c>
      <c r="H86" s="53"/>
      <c r="I86" s="54" t="s">
        <v>155</v>
      </c>
      <c r="J86" s="49" t="s">
        <v>46</v>
      </c>
      <c r="K86" s="50"/>
      <c r="L86" s="154" t="s">
        <v>46</v>
      </c>
      <c r="M86" s="78" t="s">
        <v>46</v>
      </c>
      <c r="N86" s="53"/>
      <c r="O86" s="153" t="s">
        <v>46</v>
      </c>
      <c r="P86" s="78" t="s">
        <v>46</v>
      </c>
      <c r="Q86" s="53"/>
      <c r="R86" s="54" t="s">
        <v>46</v>
      </c>
      <c r="S86" s="276" t="s">
        <v>264</v>
      </c>
      <c r="T86" s="50"/>
      <c r="U86" s="51" t="s">
        <v>254</v>
      </c>
      <c r="V86" s="277" t="s">
        <v>266</v>
      </c>
      <c r="W86" s="53"/>
      <c r="X86" s="53" t="s">
        <v>191</v>
      </c>
      <c r="Y86" s="280" t="s">
        <v>181</v>
      </c>
      <c r="Z86" s="50"/>
      <c r="AA86" s="57" t="s">
        <v>161</v>
      </c>
      <c r="AB86" s="277" t="s">
        <v>181</v>
      </c>
      <c r="AC86" s="53"/>
      <c r="AD86" s="54" t="s">
        <v>161</v>
      </c>
      <c r="AE86" s="49" t="s">
        <v>255</v>
      </c>
      <c r="AF86" s="50"/>
      <c r="AG86" s="51" t="s">
        <v>267</v>
      </c>
      <c r="AH86" s="78" t="s">
        <v>256</v>
      </c>
      <c r="AI86" s="53"/>
      <c r="AJ86" s="54" t="s">
        <v>255</v>
      </c>
      <c r="AK86" s="294" t="s">
        <v>256</v>
      </c>
      <c r="AL86" s="109"/>
      <c r="AM86" s="187" t="s">
        <v>184</v>
      </c>
      <c r="AN86" s="57" t="s">
        <v>268</v>
      </c>
      <c r="AO86" s="56"/>
      <c r="AP86" s="57" t="s">
        <v>268</v>
      </c>
      <c r="AQ86" s="279" t="s">
        <v>269</v>
      </c>
      <c r="AR86" s="74"/>
      <c r="AS86" s="75" t="s">
        <v>169</v>
      </c>
      <c r="AT86" s="49" t="s">
        <v>185</v>
      </c>
      <c r="AU86" s="50"/>
      <c r="AV86" s="51" t="s">
        <v>171</v>
      </c>
      <c r="AW86" s="78" t="s">
        <v>185</v>
      </c>
      <c r="AX86" s="53"/>
      <c r="AY86" s="54" t="s">
        <v>171</v>
      </c>
      <c r="AZ86" s="49" t="s">
        <v>185</v>
      </c>
      <c r="BA86" s="50"/>
      <c r="BB86" s="51" t="s">
        <v>168</v>
      </c>
      <c r="BC86" s="279" t="s">
        <v>173</v>
      </c>
      <c r="BD86" s="74"/>
      <c r="BE86" s="75" t="s">
        <v>174</v>
      </c>
      <c r="BF86" s="280" t="s">
        <v>234</v>
      </c>
      <c r="BG86" s="50"/>
      <c r="BH86" s="51" t="s">
        <v>159</v>
      </c>
      <c r="BI86" s="277" t="s">
        <v>234</v>
      </c>
      <c r="BJ86" s="53"/>
      <c r="BK86" s="54" t="s">
        <v>271</v>
      </c>
      <c r="BL86" s="280" t="s">
        <v>159</v>
      </c>
      <c r="BM86" s="50"/>
      <c r="BN86" s="51" t="s">
        <v>192</v>
      </c>
    </row>
    <row r="87" customFormat="false" ht="17.25" hidden="false" customHeight="true" outlineLevel="0" collapsed="false">
      <c r="B87" s="133"/>
      <c r="C87" s="143"/>
      <c r="D87" s="144"/>
      <c r="E87" s="145" t="s">
        <v>69</v>
      </c>
      <c r="F87" s="146"/>
      <c r="G87" s="78" t="s">
        <v>155</v>
      </c>
      <c r="H87" s="53"/>
      <c r="I87" s="54" t="s">
        <v>155</v>
      </c>
      <c r="J87" s="49" t="s">
        <v>46</v>
      </c>
      <c r="K87" s="50"/>
      <c r="L87" s="154" t="s">
        <v>46</v>
      </c>
      <c r="M87" s="78" t="s">
        <v>46</v>
      </c>
      <c r="N87" s="53"/>
      <c r="O87" s="153" t="s">
        <v>46</v>
      </c>
      <c r="P87" s="78" t="s">
        <v>46</v>
      </c>
      <c r="Q87" s="53"/>
      <c r="R87" s="54" t="s">
        <v>46</v>
      </c>
      <c r="S87" s="276" t="s">
        <v>264</v>
      </c>
      <c r="T87" s="50"/>
      <c r="U87" s="51" t="s">
        <v>254</v>
      </c>
      <c r="V87" s="277" t="s">
        <v>266</v>
      </c>
      <c r="W87" s="53"/>
      <c r="X87" s="53" t="s">
        <v>191</v>
      </c>
      <c r="Y87" s="280" t="s">
        <v>181</v>
      </c>
      <c r="Z87" s="50"/>
      <c r="AA87" s="57" t="s">
        <v>161</v>
      </c>
      <c r="AB87" s="277" t="s">
        <v>181</v>
      </c>
      <c r="AC87" s="53"/>
      <c r="AD87" s="54" t="s">
        <v>161</v>
      </c>
      <c r="AE87" s="49" t="s">
        <v>255</v>
      </c>
      <c r="AF87" s="50"/>
      <c r="AG87" s="51" t="s">
        <v>267</v>
      </c>
      <c r="AH87" s="78" t="s">
        <v>256</v>
      </c>
      <c r="AI87" s="53"/>
      <c r="AJ87" s="54" t="s">
        <v>255</v>
      </c>
      <c r="AK87" s="294" t="s">
        <v>256</v>
      </c>
      <c r="AL87" s="109"/>
      <c r="AM87" s="187" t="s">
        <v>184</v>
      </c>
      <c r="AN87" s="57" t="s">
        <v>268</v>
      </c>
      <c r="AO87" s="56"/>
      <c r="AP87" s="57" t="s">
        <v>268</v>
      </c>
      <c r="AQ87" s="279" t="s">
        <v>269</v>
      </c>
      <c r="AR87" s="74"/>
      <c r="AS87" s="75" t="s">
        <v>169</v>
      </c>
      <c r="AT87" s="49" t="s">
        <v>185</v>
      </c>
      <c r="AU87" s="50"/>
      <c r="AV87" s="51" t="s">
        <v>171</v>
      </c>
      <c r="AW87" s="78" t="s">
        <v>185</v>
      </c>
      <c r="AX87" s="53"/>
      <c r="AY87" s="54" t="s">
        <v>171</v>
      </c>
      <c r="AZ87" s="49" t="s">
        <v>185</v>
      </c>
      <c r="BA87" s="50"/>
      <c r="BB87" s="51" t="s">
        <v>168</v>
      </c>
      <c r="BC87" s="279" t="s">
        <v>173</v>
      </c>
      <c r="BD87" s="74"/>
      <c r="BE87" s="75" t="s">
        <v>174</v>
      </c>
      <c r="BF87" s="280" t="s">
        <v>234</v>
      </c>
      <c r="BG87" s="50"/>
      <c r="BH87" s="51" t="s">
        <v>159</v>
      </c>
      <c r="BI87" s="277" t="s">
        <v>234</v>
      </c>
      <c r="BJ87" s="53"/>
      <c r="BK87" s="54" t="s">
        <v>272</v>
      </c>
      <c r="BL87" s="280" t="s">
        <v>159</v>
      </c>
      <c r="BM87" s="50"/>
      <c r="BN87" s="51" t="s">
        <v>192</v>
      </c>
    </row>
    <row r="88" customFormat="false" ht="17.25" hidden="false" customHeight="true" outlineLevel="0" collapsed="false">
      <c r="B88" s="133"/>
      <c r="C88" s="143"/>
      <c r="D88" s="144"/>
      <c r="E88" s="145" t="s">
        <v>70</v>
      </c>
      <c r="F88" s="146"/>
      <c r="G88" s="78" t="s">
        <v>155</v>
      </c>
      <c r="H88" s="53"/>
      <c r="I88" s="54" t="s">
        <v>155</v>
      </c>
      <c r="J88" s="49" t="s">
        <v>46</v>
      </c>
      <c r="K88" s="50"/>
      <c r="L88" s="154" t="s">
        <v>46</v>
      </c>
      <c r="M88" s="78" t="s">
        <v>46</v>
      </c>
      <c r="N88" s="53"/>
      <c r="O88" s="153" t="s">
        <v>46</v>
      </c>
      <c r="P88" s="78" t="s">
        <v>46</v>
      </c>
      <c r="Q88" s="53"/>
      <c r="R88" s="54" t="s">
        <v>46</v>
      </c>
      <c r="S88" s="276" t="s">
        <v>264</v>
      </c>
      <c r="T88" s="50"/>
      <c r="U88" s="51" t="s">
        <v>254</v>
      </c>
      <c r="V88" s="277" t="s">
        <v>266</v>
      </c>
      <c r="W88" s="53"/>
      <c r="X88" s="53" t="s">
        <v>191</v>
      </c>
      <c r="Y88" s="280" t="s">
        <v>181</v>
      </c>
      <c r="Z88" s="50"/>
      <c r="AA88" s="57" t="s">
        <v>161</v>
      </c>
      <c r="AB88" s="277" t="s">
        <v>181</v>
      </c>
      <c r="AC88" s="53"/>
      <c r="AD88" s="54" t="s">
        <v>161</v>
      </c>
      <c r="AE88" s="49" t="s">
        <v>255</v>
      </c>
      <c r="AF88" s="50"/>
      <c r="AG88" s="51" t="s">
        <v>267</v>
      </c>
      <c r="AH88" s="78" t="s">
        <v>256</v>
      </c>
      <c r="AI88" s="53"/>
      <c r="AJ88" s="54" t="s">
        <v>255</v>
      </c>
      <c r="AK88" s="294" t="s">
        <v>256</v>
      </c>
      <c r="AL88" s="109"/>
      <c r="AM88" s="187" t="s">
        <v>184</v>
      </c>
      <c r="AN88" s="57" t="s">
        <v>268</v>
      </c>
      <c r="AO88" s="56"/>
      <c r="AP88" s="57" t="s">
        <v>268</v>
      </c>
      <c r="AQ88" s="279" t="s">
        <v>269</v>
      </c>
      <c r="AR88" s="74"/>
      <c r="AS88" s="75" t="s">
        <v>169</v>
      </c>
      <c r="AT88" s="49" t="s">
        <v>185</v>
      </c>
      <c r="AU88" s="50"/>
      <c r="AV88" s="51" t="s">
        <v>171</v>
      </c>
      <c r="AW88" s="78" t="s">
        <v>185</v>
      </c>
      <c r="AX88" s="53"/>
      <c r="AY88" s="54" t="s">
        <v>171</v>
      </c>
      <c r="AZ88" s="49" t="s">
        <v>185</v>
      </c>
      <c r="BA88" s="50"/>
      <c r="BB88" s="51" t="s">
        <v>168</v>
      </c>
      <c r="BC88" s="279" t="s">
        <v>173</v>
      </c>
      <c r="BD88" s="74"/>
      <c r="BE88" s="75" t="s">
        <v>174</v>
      </c>
      <c r="BF88" s="280" t="s">
        <v>234</v>
      </c>
      <c r="BG88" s="50"/>
      <c r="BH88" s="51" t="s">
        <v>159</v>
      </c>
      <c r="BI88" s="277" t="s">
        <v>234</v>
      </c>
      <c r="BJ88" s="53"/>
      <c r="BK88" s="54" t="s">
        <v>273</v>
      </c>
      <c r="BL88" s="280" t="s">
        <v>159</v>
      </c>
      <c r="BM88" s="50"/>
      <c r="BN88" s="51" t="s">
        <v>192</v>
      </c>
    </row>
    <row r="89" customFormat="false" ht="17.25" hidden="false" customHeight="true" outlineLevel="0" collapsed="false">
      <c r="B89" s="133"/>
      <c r="C89" s="143"/>
      <c r="D89" s="144" t="s">
        <v>74</v>
      </c>
      <c r="E89" s="145" t="s">
        <v>67</v>
      </c>
      <c r="F89" s="146" t="s">
        <v>75</v>
      </c>
      <c r="G89" s="78" t="s">
        <v>155</v>
      </c>
      <c r="H89" s="53"/>
      <c r="I89" s="54" t="s">
        <v>155</v>
      </c>
      <c r="J89" s="49" t="s">
        <v>46</v>
      </c>
      <c r="K89" s="50"/>
      <c r="L89" s="154" t="s">
        <v>46</v>
      </c>
      <c r="M89" s="78" t="s">
        <v>46</v>
      </c>
      <c r="N89" s="53"/>
      <c r="O89" s="153" t="s">
        <v>46</v>
      </c>
      <c r="P89" s="78" t="s">
        <v>46</v>
      </c>
      <c r="Q89" s="53"/>
      <c r="R89" s="54" t="s">
        <v>46</v>
      </c>
      <c r="S89" s="276" t="s">
        <v>264</v>
      </c>
      <c r="T89" s="50"/>
      <c r="U89" s="51" t="s">
        <v>254</v>
      </c>
      <c r="V89" s="277" t="s">
        <v>266</v>
      </c>
      <c r="W89" s="53"/>
      <c r="X89" s="53" t="s">
        <v>191</v>
      </c>
      <c r="Y89" s="280" t="s">
        <v>181</v>
      </c>
      <c r="Z89" s="50"/>
      <c r="AA89" s="57" t="s">
        <v>161</v>
      </c>
      <c r="AB89" s="277" t="s">
        <v>181</v>
      </c>
      <c r="AC89" s="53"/>
      <c r="AD89" s="54" t="s">
        <v>161</v>
      </c>
      <c r="AE89" s="49" t="s">
        <v>255</v>
      </c>
      <c r="AF89" s="50"/>
      <c r="AG89" s="51" t="s">
        <v>267</v>
      </c>
      <c r="AH89" s="78" t="s">
        <v>256</v>
      </c>
      <c r="AI89" s="53"/>
      <c r="AJ89" s="54" t="s">
        <v>274</v>
      </c>
      <c r="AK89" s="294" t="s">
        <v>256</v>
      </c>
      <c r="AL89" s="109"/>
      <c r="AM89" s="187" t="s">
        <v>184</v>
      </c>
      <c r="AN89" s="57" t="s">
        <v>268</v>
      </c>
      <c r="AO89" s="56"/>
      <c r="AP89" s="57" t="s">
        <v>268</v>
      </c>
      <c r="AQ89" s="279" t="s">
        <v>269</v>
      </c>
      <c r="AR89" s="74"/>
      <c r="AS89" s="75" t="s">
        <v>169</v>
      </c>
      <c r="AT89" s="49" t="s">
        <v>185</v>
      </c>
      <c r="AU89" s="50"/>
      <c r="AV89" s="51" t="s">
        <v>171</v>
      </c>
      <c r="AW89" s="78" t="s">
        <v>185</v>
      </c>
      <c r="AX89" s="53"/>
      <c r="AY89" s="54" t="s">
        <v>171</v>
      </c>
      <c r="AZ89" s="49" t="s">
        <v>185</v>
      </c>
      <c r="BA89" s="50"/>
      <c r="BB89" s="51" t="s">
        <v>168</v>
      </c>
      <c r="BC89" s="279" t="s">
        <v>173</v>
      </c>
      <c r="BD89" s="74"/>
      <c r="BE89" s="75" t="s">
        <v>174</v>
      </c>
      <c r="BF89" s="280" t="s">
        <v>234</v>
      </c>
      <c r="BG89" s="50"/>
      <c r="BH89" s="49" t="s">
        <v>234</v>
      </c>
      <c r="BI89" s="277" t="s">
        <v>234</v>
      </c>
      <c r="BJ89" s="53"/>
      <c r="BK89" s="54" t="s">
        <v>234</v>
      </c>
      <c r="BL89" s="280" t="s">
        <v>234</v>
      </c>
      <c r="BM89" s="50"/>
      <c r="BN89" s="49" t="s">
        <v>234</v>
      </c>
    </row>
    <row r="90" customFormat="false" ht="17.25" hidden="false" customHeight="true" outlineLevel="0" collapsed="false">
      <c r="B90" s="133"/>
      <c r="C90" s="143"/>
      <c r="D90" s="144"/>
      <c r="E90" s="145" t="s">
        <v>68</v>
      </c>
      <c r="F90" s="146"/>
      <c r="G90" s="78" t="s">
        <v>155</v>
      </c>
      <c r="H90" s="53"/>
      <c r="I90" s="54" t="s">
        <v>155</v>
      </c>
      <c r="J90" s="49" t="s">
        <v>46</v>
      </c>
      <c r="K90" s="50"/>
      <c r="L90" s="154" t="s">
        <v>46</v>
      </c>
      <c r="M90" s="78" t="s">
        <v>46</v>
      </c>
      <c r="N90" s="53"/>
      <c r="O90" s="153" t="s">
        <v>46</v>
      </c>
      <c r="P90" s="78" t="s">
        <v>46</v>
      </c>
      <c r="Q90" s="53"/>
      <c r="R90" s="54" t="s">
        <v>46</v>
      </c>
      <c r="S90" s="276" t="s">
        <v>264</v>
      </c>
      <c r="T90" s="50"/>
      <c r="U90" s="51" t="s">
        <v>254</v>
      </c>
      <c r="V90" s="277" t="s">
        <v>266</v>
      </c>
      <c r="W90" s="53"/>
      <c r="X90" s="53" t="s">
        <v>191</v>
      </c>
      <c r="Y90" s="280" t="s">
        <v>181</v>
      </c>
      <c r="Z90" s="50"/>
      <c r="AA90" s="57" t="s">
        <v>161</v>
      </c>
      <c r="AB90" s="277" t="s">
        <v>181</v>
      </c>
      <c r="AC90" s="53"/>
      <c r="AD90" s="54" t="s">
        <v>161</v>
      </c>
      <c r="AE90" s="49" t="s">
        <v>255</v>
      </c>
      <c r="AF90" s="50"/>
      <c r="AG90" s="51" t="s">
        <v>267</v>
      </c>
      <c r="AH90" s="78" t="s">
        <v>256</v>
      </c>
      <c r="AI90" s="53"/>
      <c r="AJ90" s="54" t="s">
        <v>274</v>
      </c>
      <c r="AK90" s="294" t="s">
        <v>256</v>
      </c>
      <c r="AL90" s="109"/>
      <c r="AM90" s="187" t="s">
        <v>184</v>
      </c>
      <c r="AN90" s="57" t="s">
        <v>268</v>
      </c>
      <c r="AO90" s="56"/>
      <c r="AP90" s="57" t="s">
        <v>268</v>
      </c>
      <c r="AQ90" s="279" t="s">
        <v>269</v>
      </c>
      <c r="AR90" s="74"/>
      <c r="AS90" s="75" t="s">
        <v>169</v>
      </c>
      <c r="AT90" s="49" t="s">
        <v>185</v>
      </c>
      <c r="AU90" s="50"/>
      <c r="AV90" s="51" t="s">
        <v>171</v>
      </c>
      <c r="AW90" s="78" t="s">
        <v>185</v>
      </c>
      <c r="AX90" s="53"/>
      <c r="AY90" s="54" t="s">
        <v>171</v>
      </c>
      <c r="AZ90" s="49" t="s">
        <v>185</v>
      </c>
      <c r="BA90" s="50"/>
      <c r="BB90" s="51" t="s">
        <v>168</v>
      </c>
      <c r="BC90" s="279" t="s">
        <v>173</v>
      </c>
      <c r="BD90" s="74"/>
      <c r="BE90" s="75" t="s">
        <v>174</v>
      </c>
      <c r="BF90" s="280" t="s">
        <v>234</v>
      </c>
      <c r="BG90" s="50"/>
      <c r="BH90" s="49" t="s">
        <v>234</v>
      </c>
      <c r="BI90" s="277" t="s">
        <v>234</v>
      </c>
      <c r="BJ90" s="53"/>
      <c r="BK90" s="54" t="s">
        <v>234</v>
      </c>
      <c r="BL90" s="280" t="s">
        <v>234</v>
      </c>
      <c r="BM90" s="50"/>
      <c r="BN90" s="49" t="s">
        <v>234</v>
      </c>
    </row>
    <row r="91" customFormat="false" ht="17.25" hidden="false" customHeight="true" outlineLevel="0" collapsed="false">
      <c r="B91" s="133"/>
      <c r="C91" s="143"/>
      <c r="D91" s="144"/>
      <c r="E91" s="145" t="s">
        <v>69</v>
      </c>
      <c r="F91" s="146"/>
      <c r="G91" s="78" t="s">
        <v>155</v>
      </c>
      <c r="H91" s="53"/>
      <c r="I91" s="54" t="s">
        <v>155</v>
      </c>
      <c r="J91" s="49" t="s">
        <v>46</v>
      </c>
      <c r="K91" s="50"/>
      <c r="L91" s="154" t="s">
        <v>46</v>
      </c>
      <c r="M91" s="78" t="s">
        <v>46</v>
      </c>
      <c r="N91" s="53"/>
      <c r="O91" s="153" t="s">
        <v>46</v>
      </c>
      <c r="P91" s="78" t="s">
        <v>46</v>
      </c>
      <c r="Q91" s="53"/>
      <c r="R91" s="54" t="s">
        <v>46</v>
      </c>
      <c r="S91" s="276" t="s">
        <v>264</v>
      </c>
      <c r="T91" s="50"/>
      <c r="U91" s="51" t="s">
        <v>254</v>
      </c>
      <c r="V91" s="277" t="s">
        <v>266</v>
      </c>
      <c r="W91" s="53"/>
      <c r="X91" s="53" t="s">
        <v>191</v>
      </c>
      <c r="Y91" s="280" t="s">
        <v>181</v>
      </c>
      <c r="Z91" s="50"/>
      <c r="AA91" s="57" t="s">
        <v>161</v>
      </c>
      <c r="AB91" s="277" t="s">
        <v>181</v>
      </c>
      <c r="AC91" s="53"/>
      <c r="AD91" s="54" t="s">
        <v>161</v>
      </c>
      <c r="AE91" s="49" t="s">
        <v>255</v>
      </c>
      <c r="AF91" s="50"/>
      <c r="AG91" s="51" t="s">
        <v>267</v>
      </c>
      <c r="AH91" s="78" t="s">
        <v>256</v>
      </c>
      <c r="AI91" s="53"/>
      <c r="AJ91" s="54" t="s">
        <v>274</v>
      </c>
      <c r="AK91" s="294" t="s">
        <v>256</v>
      </c>
      <c r="AL91" s="109"/>
      <c r="AM91" s="187" t="s">
        <v>184</v>
      </c>
      <c r="AN91" s="57" t="s">
        <v>268</v>
      </c>
      <c r="AO91" s="56"/>
      <c r="AP91" s="57" t="s">
        <v>268</v>
      </c>
      <c r="AQ91" s="279" t="s">
        <v>269</v>
      </c>
      <c r="AR91" s="74"/>
      <c r="AS91" s="75" t="s">
        <v>169</v>
      </c>
      <c r="AT91" s="49" t="s">
        <v>185</v>
      </c>
      <c r="AU91" s="50"/>
      <c r="AV91" s="51" t="s">
        <v>171</v>
      </c>
      <c r="AW91" s="78" t="s">
        <v>185</v>
      </c>
      <c r="AX91" s="53"/>
      <c r="AY91" s="54" t="s">
        <v>171</v>
      </c>
      <c r="AZ91" s="49" t="s">
        <v>185</v>
      </c>
      <c r="BA91" s="50"/>
      <c r="BB91" s="51" t="s">
        <v>168</v>
      </c>
      <c r="BC91" s="279" t="s">
        <v>173</v>
      </c>
      <c r="BD91" s="74"/>
      <c r="BE91" s="75" t="s">
        <v>174</v>
      </c>
      <c r="BF91" s="280" t="s">
        <v>234</v>
      </c>
      <c r="BG91" s="50"/>
      <c r="BH91" s="49" t="s">
        <v>234</v>
      </c>
      <c r="BI91" s="277" t="s">
        <v>234</v>
      </c>
      <c r="BJ91" s="53"/>
      <c r="BK91" s="54" t="s">
        <v>234</v>
      </c>
      <c r="BL91" s="280" t="s">
        <v>234</v>
      </c>
      <c r="BM91" s="50"/>
      <c r="BN91" s="49" t="s">
        <v>234</v>
      </c>
    </row>
    <row r="92" customFormat="false" ht="17.25" hidden="false" customHeight="true" outlineLevel="0" collapsed="false">
      <c r="B92" s="133"/>
      <c r="C92" s="143"/>
      <c r="D92" s="144"/>
      <c r="E92" s="145" t="s">
        <v>70</v>
      </c>
      <c r="F92" s="146"/>
      <c r="G92" s="78" t="s">
        <v>155</v>
      </c>
      <c r="H92" s="53"/>
      <c r="I92" s="54" t="s">
        <v>155</v>
      </c>
      <c r="J92" s="49" t="s">
        <v>46</v>
      </c>
      <c r="K92" s="50"/>
      <c r="L92" s="154" t="s">
        <v>46</v>
      </c>
      <c r="M92" s="78" t="s">
        <v>46</v>
      </c>
      <c r="N92" s="53"/>
      <c r="O92" s="153" t="s">
        <v>46</v>
      </c>
      <c r="P92" s="78" t="s">
        <v>46</v>
      </c>
      <c r="Q92" s="53"/>
      <c r="R92" s="54" t="s">
        <v>46</v>
      </c>
      <c r="S92" s="276" t="s">
        <v>264</v>
      </c>
      <c r="T92" s="50"/>
      <c r="U92" s="51" t="s">
        <v>254</v>
      </c>
      <c r="V92" s="277" t="s">
        <v>266</v>
      </c>
      <c r="W92" s="53"/>
      <c r="X92" s="53" t="s">
        <v>191</v>
      </c>
      <c r="Y92" s="280" t="s">
        <v>181</v>
      </c>
      <c r="Z92" s="50"/>
      <c r="AA92" s="57" t="s">
        <v>161</v>
      </c>
      <c r="AB92" s="277" t="s">
        <v>181</v>
      </c>
      <c r="AC92" s="53"/>
      <c r="AD92" s="54" t="s">
        <v>161</v>
      </c>
      <c r="AE92" s="49" t="s">
        <v>255</v>
      </c>
      <c r="AF92" s="50"/>
      <c r="AG92" s="51" t="s">
        <v>267</v>
      </c>
      <c r="AH92" s="78" t="s">
        <v>256</v>
      </c>
      <c r="AI92" s="53"/>
      <c r="AJ92" s="54" t="s">
        <v>274</v>
      </c>
      <c r="AK92" s="294" t="s">
        <v>256</v>
      </c>
      <c r="AL92" s="109"/>
      <c r="AM92" s="187" t="s">
        <v>184</v>
      </c>
      <c r="AN92" s="57" t="s">
        <v>268</v>
      </c>
      <c r="AO92" s="56"/>
      <c r="AP92" s="57" t="s">
        <v>268</v>
      </c>
      <c r="AQ92" s="279" t="s">
        <v>269</v>
      </c>
      <c r="AR92" s="74"/>
      <c r="AS92" s="75" t="s">
        <v>169</v>
      </c>
      <c r="AT92" s="49" t="s">
        <v>185</v>
      </c>
      <c r="AU92" s="50"/>
      <c r="AV92" s="51" t="s">
        <v>171</v>
      </c>
      <c r="AW92" s="78" t="s">
        <v>185</v>
      </c>
      <c r="AX92" s="53"/>
      <c r="AY92" s="54" t="s">
        <v>171</v>
      </c>
      <c r="AZ92" s="49" t="s">
        <v>185</v>
      </c>
      <c r="BA92" s="50"/>
      <c r="BB92" s="51" t="s">
        <v>168</v>
      </c>
      <c r="BC92" s="279" t="s">
        <v>173</v>
      </c>
      <c r="BD92" s="74"/>
      <c r="BE92" s="75" t="s">
        <v>174</v>
      </c>
      <c r="BF92" s="280" t="s">
        <v>234</v>
      </c>
      <c r="BG92" s="50"/>
      <c r="BH92" s="49" t="s">
        <v>234</v>
      </c>
      <c r="BI92" s="277" t="s">
        <v>234</v>
      </c>
      <c r="BJ92" s="53"/>
      <c r="BK92" s="54" t="s">
        <v>234</v>
      </c>
      <c r="BL92" s="280" t="s">
        <v>234</v>
      </c>
      <c r="BM92" s="50"/>
      <c r="BN92" s="49" t="s">
        <v>234</v>
      </c>
    </row>
    <row r="93" customFormat="false" ht="17.25" hidden="false" customHeight="true" outlineLevel="0" collapsed="false">
      <c r="B93" s="133"/>
      <c r="C93" s="143"/>
      <c r="D93" s="144" t="s">
        <v>76</v>
      </c>
      <c r="E93" s="145" t="s">
        <v>67</v>
      </c>
      <c r="F93" s="146" t="s">
        <v>77</v>
      </c>
      <c r="G93" s="78" t="s">
        <v>155</v>
      </c>
      <c r="H93" s="53"/>
      <c r="I93" s="54" t="s">
        <v>155</v>
      </c>
      <c r="J93" s="49" t="s">
        <v>46</v>
      </c>
      <c r="K93" s="50"/>
      <c r="L93" s="154" t="s">
        <v>46</v>
      </c>
      <c r="M93" s="78" t="s">
        <v>46</v>
      </c>
      <c r="N93" s="53"/>
      <c r="O93" s="153" t="s">
        <v>46</v>
      </c>
      <c r="P93" s="78" t="s">
        <v>46</v>
      </c>
      <c r="Q93" s="53"/>
      <c r="R93" s="54" t="s">
        <v>46</v>
      </c>
      <c r="S93" s="276" t="s">
        <v>264</v>
      </c>
      <c r="T93" s="50"/>
      <c r="U93" s="51" t="s">
        <v>254</v>
      </c>
      <c r="V93" s="277" t="s">
        <v>191</v>
      </c>
      <c r="W93" s="53"/>
      <c r="X93" s="53" t="s">
        <v>191</v>
      </c>
      <c r="Y93" s="280" t="s">
        <v>181</v>
      </c>
      <c r="Z93" s="50"/>
      <c r="AA93" s="57" t="s">
        <v>161</v>
      </c>
      <c r="AB93" s="277" t="s">
        <v>181</v>
      </c>
      <c r="AC93" s="53"/>
      <c r="AD93" s="54" t="s">
        <v>161</v>
      </c>
      <c r="AE93" s="49" t="s">
        <v>255</v>
      </c>
      <c r="AF93" s="50"/>
      <c r="AG93" s="51" t="s">
        <v>275</v>
      </c>
      <c r="AH93" s="78" t="s">
        <v>256</v>
      </c>
      <c r="AI93" s="53"/>
      <c r="AJ93" s="54" t="s">
        <v>276</v>
      </c>
      <c r="AK93" s="294" t="s">
        <v>256</v>
      </c>
      <c r="AL93" s="109"/>
      <c r="AM93" s="186" t="s">
        <v>257</v>
      </c>
      <c r="AN93" s="55" t="s">
        <v>258</v>
      </c>
      <c r="AO93" s="56"/>
      <c r="AP93" s="57" t="s">
        <v>259</v>
      </c>
      <c r="AQ93" s="279" t="s">
        <v>168</v>
      </c>
      <c r="AR93" s="74"/>
      <c r="AS93" s="75" t="s">
        <v>169</v>
      </c>
      <c r="AT93" s="49" t="s">
        <v>185</v>
      </c>
      <c r="AU93" s="50"/>
      <c r="AV93" s="51" t="s">
        <v>171</v>
      </c>
      <c r="AW93" s="78" t="s">
        <v>185</v>
      </c>
      <c r="AX93" s="53"/>
      <c r="AY93" s="54" t="s">
        <v>171</v>
      </c>
      <c r="AZ93" s="49" t="s">
        <v>185</v>
      </c>
      <c r="BA93" s="50"/>
      <c r="BB93" s="51" t="s">
        <v>168</v>
      </c>
      <c r="BC93" s="279" t="s">
        <v>173</v>
      </c>
      <c r="BD93" s="74"/>
      <c r="BE93" s="75" t="s">
        <v>174</v>
      </c>
      <c r="BF93" s="280" t="s">
        <v>234</v>
      </c>
      <c r="BG93" s="50"/>
      <c r="BH93" s="49" t="s">
        <v>234</v>
      </c>
      <c r="BI93" s="277" t="s">
        <v>234</v>
      </c>
      <c r="BJ93" s="53"/>
      <c r="BK93" s="54" t="s">
        <v>234</v>
      </c>
      <c r="BL93" s="280" t="s">
        <v>234</v>
      </c>
      <c r="BM93" s="50"/>
      <c r="BN93" s="49" t="s">
        <v>234</v>
      </c>
    </row>
    <row r="94" customFormat="false" ht="17.25" hidden="false" customHeight="true" outlineLevel="0" collapsed="false">
      <c r="B94" s="133"/>
      <c r="C94" s="143"/>
      <c r="D94" s="144"/>
      <c r="E94" s="145" t="s">
        <v>68</v>
      </c>
      <c r="F94" s="146"/>
      <c r="G94" s="78" t="s">
        <v>155</v>
      </c>
      <c r="H94" s="53"/>
      <c r="I94" s="54" t="s">
        <v>155</v>
      </c>
      <c r="J94" s="49" t="s">
        <v>46</v>
      </c>
      <c r="K94" s="50"/>
      <c r="L94" s="154" t="s">
        <v>46</v>
      </c>
      <c r="M94" s="78" t="s">
        <v>46</v>
      </c>
      <c r="N94" s="53"/>
      <c r="O94" s="153" t="s">
        <v>46</v>
      </c>
      <c r="P94" s="78" t="s">
        <v>46</v>
      </c>
      <c r="Q94" s="53"/>
      <c r="R94" s="54" t="s">
        <v>46</v>
      </c>
      <c r="S94" s="276" t="s">
        <v>264</v>
      </c>
      <c r="T94" s="50"/>
      <c r="U94" s="51" t="s">
        <v>254</v>
      </c>
      <c r="V94" s="277" t="s">
        <v>191</v>
      </c>
      <c r="W94" s="53"/>
      <c r="X94" s="53" t="s">
        <v>191</v>
      </c>
      <c r="Y94" s="280" t="s">
        <v>181</v>
      </c>
      <c r="Z94" s="50"/>
      <c r="AA94" s="57" t="s">
        <v>161</v>
      </c>
      <c r="AB94" s="277" t="s">
        <v>181</v>
      </c>
      <c r="AC94" s="53"/>
      <c r="AD94" s="54" t="s">
        <v>161</v>
      </c>
      <c r="AE94" s="49" t="s">
        <v>255</v>
      </c>
      <c r="AF94" s="50"/>
      <c r="AG94" s="51" t="s">
        <v>275</v>
      </c>
      <c r="AH94" s="78" t="s">
        <v>256</v>
      </c>
      <c r="AI94" s="53"/>
      <c r="AJ94" s="54" t="s">
        <v>276</v>
      </c>
      <c r="AK94" s="294" t="s">
        <v>256</v>
      </c>
      <c r="AL94" s="109"/>
      <c r="AM94" s="186" t="s">
        <v>257</v>
      </c>
      <c r="AN94" s="55" t="s">
        <v>258</v>
      </c>
      <c r="AO94" s="56"/>
      <c r="AP94" s="57" t="s">
        <v>259</v>
      </c>
      <c r="AQ94" s="279" t="s">
        <v>168</v>
      </c>
      <c r="AR94" s="74"/>
      <c r="AS94" s="75" t="s">
        <v>169</v>
      </c>
      <c r="AT94" s="49" t="s">
        <v>185</v>
      </c>
      <c r="AU94" s="50"/>
      <c r="AV94" s="51" t="s">
        <v>171</v>
      </c>
      <c r="AW94" s="78" t="s">
        <v>185</v>
      </c>
      <c r="AX94" s="53"/>
      <c r="AY94" s="54" t="s">
        <v>171</v>
      </c>
      <c r="AZ94" s="49" t="s">
        <v>185</v>
      </c>
      <c r="BA94" s="50"/>
      <c r="BB94" s="51" t="s">
        <v>168</v>
      </c>
      <c r="BC94" s="279" t="s">
        <v>173</v>
      </c>
      <c r="BD94" s="74"/>
      <c r="BE94" s="75" t="s">
        <v>174</v>
      </c>
      <c r="BF94" s="280" t="s">
        <v>234</v>
      </c>
      <c r="BG94" s="50"/>
      <c r="BH94" s="49" t="s">
        <v>234</v>
      </c>
      <c r="BI94" s="277" t="s">
        <v>234</v>
      </c>
      <c r="BJ94" s="53"/>
      <c r="BK94" s="54" t="s">
        <v>234</v>
      </c>
      <c r="BL94" s="280" t="s">
        <v>234</v>
      </c>
      <c r="BM94" s="50"/>
      <c r="BN94" s="49" t="s">
        <v>234</v>
      </c>
    </row>
    <row r="95" customFormat="false" ht="17.25" hidden="false" customHeight="true" outlineLevel="0" collapsed="false">
      <c r="B95" s="133"/>
      <c r="C95" s="143"/>
      <c r="D95" s="144"/>
      <c r="E95" s="145" t="s">
        <v>69</v>
      </c>
      <c r="F95" s="146"/>
      <c r="G95" s="78" t="s">
        <v>155</v>
      </c>
      <c r="H95" s="53"/>
      <c r="I95" s="54" t="s">
        <v>155</v>
      </c>
      <c r="J95" s="49" t="s">
        <v>46</v>
      </c>
      <c r="K95" s="50"/>
      <c r="L95" s="154" t="s">
        <v>46</v>
      </c>
      <c r="M95" s="78" t="s">
        <v>46</v>
      </c>
      <c r="N95" s="53"/>
      <c r="O95" s="153" t="s">
        <v>46</v>
      </c>
      <c r="P95" s="78" t="s">
        <v>46</v>
      </c>
      <c r="Q95" s="53"/>
      <c r="R95" s="54" t="s">
        <v>46</v>
      </c>
      <c r="S95" s="276" t="s">
        <v>264</v>
      </c>
      <c r="T95" s="50"/>
      <c r="U95" s="51" t="s">
        <v>254</v>
      </c>
      <c r="V95" s="277" t="s">
        <v>191</v>
      </c>
      <c r="W95" s="53"/>
      <c r="X95" s="53" t="s">
        <v>191</v>
      </c>
      <c r="Y95" s="280" t="s">
        <v>181</v>
      </c>
      <c r="Z95" s="50"/>
      <c r="AA95" s="57" t="s">
        <v>161</v>
      </c>
      <c r="AB95" s="277" t="s">
        <v>181</v>
      </c>
      <c r="AC95" s="53"/>
      <c r="AD95" s="54" t="s">
        <v>161</v>
      </c>
      <c r="AE95" s="49" t="s">
        <v>255</v>
      </c>
      <c r="AF95" s="50"/>
      <c r="AG95" s="51" t="s">
        <v>275</v>
      </c>
      <c r="AH95" s="78" t="s">
        <v>256</v>
      </c>
      <c r="AI95" s="53"/>
      <c r="AJ95" s="54" t="s">
        <v>276</v>
      </c>
      <c r="AK95" s="294" t="s">
        <v>256</v>
      </c>
      <c r="AL95" s="109"/>
      <c r="AM95" s="186" t="s">
        <v>257</v>
      </c>
      <c r="AN95" s="55" t="s">
        <v>258</v>
      </c>
      <c r="AO95" s="56"/>
      <c r="AP95" s="57" t="s">
        <v>259</v>
      </c>
      <c r="AQ95" s="279" t="s">
        <v>168</v>
      </c>
      <c r="AR95" s="74"/>
      <c r="AS95" s="75" t="s">
        <v>169</v>
      </c>
      <c r="AT95" s="49" t="s">
        <v>185</v>
      </c>
      <c r="AU95" s="50"/>
      <c r="AV95" s="51" t="s">
        <v>171</v>
      </c>
      <c r="AW95" s="78" t="s">
        <v>185</v>
      </c>
      <c r="AX95" s="53"/>
      <c r="AY95" s="54" t="s">
        <v>171</v>
      </c>
      <c r="AZ95" s="49" t="s">
        <v>185</v>
      </c>
      <c r="BA95" s="50"/>
      <c r="BB95" s="51" t="s">
        <v>168</v>
      </c>
      <c r="BC95" s="279" t="s">
        <v>173</v>
      </c>
      <c r="BD95" s="74"/>
      <c r="BE95" s="75" t="s">
        <v>174</v>
      </c>
      <c r="BF95" s="280" t="s">
        <v>234</v>
      </c>
      <c r="BG95" s="50"/>
      <c r="BH95" s="49" t="s">
        <v>234</v>
      </c>
      <c r="BI95" s="277" t="s">
        <v>234</v>
      </c>
      <c r="BJ95" s="53"/>
      <c r="BK95" s="54" t="s">
        <v>234</v>
      </c>
      <c r="BL95" s="280" t="s">
        <v>234</v>
      </c>
      <c r="BM95" s="50"/>
      <c r="BN95" s="49" t="s">
        <v>234</v>
      </c>
    </row>
    <row r="96" customFormat="false" ht="17.25" hidden="false" customHeight="true" outlineLevel="0" collapsed="false">
      <c r="B96" s="133"/>
      <c r="C96" s="143"/>
      <c r="D96" s="144"/>
      <c r="E96" s="145" t="s">
        <v>70</v>
      </c>
      <c r="F96" s="146"/>
      <c r="G96" s="78" t="s">
        <v>155</v>
      </c>
      <c r="H96" s="53"/>
      <c r="I96" s="54" t="s">
        <v>155</v>
      </c>
      <c r="J96" s="49" t="s">
        <v>46</v>
      </c>
      <c r="K96" s="50"/>
      <c r="L96" s="154" t="s">
        <v>46</v>
      </c>
      <c r="M96" s="78" t="s">
        <v>46</v>
      </c>
      <c r="N96" s="53"/>
      <c r="O96" s="153" t="s">
        <v>46</v>
      </c>
      <c r="P96" s="78" t="s">
        <v>46</v>
      </c>
      <c r="Q96" s="53"/>
      <c r="R96" s="54" t="s">
        <v>46</v>
      </c>
      <c r="S96" s="276" t="s">
        <v>264</v>
      </c>
      <c r="T96" s="50"/>
      <c r="U96" s="51" t="s">
        <v>254</v>
      </c>
      <c r="V96" s="277" t="s">
        <v>191</v>
      </c>
      <c r="W96" s="53"/>
      <c r="X96" s="53" t="s">
        <v>191</v>
      </c>
      <c r="Y96" s="280" t="s">
        <v>181</v>
      </c>
      <c r="Z96" s="50"/>
      <c r="AA96" s="57" t="s">
        <v>161</v>
      </c>
      <c r="AB96" s="277" t="s">
        <v>181</v>
      </c>
      <c r="AC96" s="53"/>
      <c r="AD96" s="54" t="s">
        <v>161</v>
      </c>
      <c r="AE96" s="49" t="s">
        <v>255</v>
      </c>
      <c r="AF96" s="50"/>
      <c r="AG96" s="51" t="s">
        <v>275</v>
      </c>
      <c r="AH96" s="78" t="s">
        <v>256</v>
      </c>
      <c r="AI96" s="53"/>
      <c r="AJ96" s="54" t="s">
        <v>276</v>
      </c>
      <c r="AK96" s="294" t="s">
        <v>256</v>
      </c>
      <c r="AL96" s="109"/>
      <c r="AM96" s="186" t="s">
        <v>257</v>
      </c>
      <c r="AN96" s="55" t="s">
        <v>258</v>
      </c>
      <c r="AO96" s="56"/>
      <c r="AP96" s="57" t="s">
        <v>259</v>
      </c>
      <c r="AQ96" s="279" t="s">
        <v>168</v>
      </c>
      <c r="AR96" s="74"/>
      <c r="AS96" s="75" t="s">
        <v>169</v>
      </c>
      <c r="AT96" s="49" t="s">
        <v>185</v>
      </c>
      <c r="AU96" s="50"/>
      <c r="AV96" s="51" t="s">
        <v>171</v>
      </c>
      <c r="AW96" s="78" t="s">
        <v>185</v>
      </c>
      <c r="AX96" s="53"/>
      <c r="AY96" s="54" t="s">
        <v>171</v>
      </c>
      <c r="AZ96" s="49" t="s">
        <v>185</v>
      </c>
      <c r="BA96" s="50"/>
      <c r="BB96" s="51" t="s">
        <v>168</v>
      </c>
      <c r="BC96" s="279" t="s">
        <v>173</v>
      </c>
      <c r="BD96" s="74"/>
      <c r="BE96" s="75" t="s">
        <v>174</v>
      </c>
      <c r="BF96" s="280" t="s">
        <v>234</v>
      </c>
      <c r="BG96" s="50"/>
      <c r="BH96" s="49" t="s">
        <v>234</v>
      </c>
      <c r="BI96" s="277" t="s">
        <v>234</v>
      </c>
      <c r="BJ96" s="53"/>
      <c r="BK96" s="54" t="s">
        <v>234</v>
      </c>
      <c r="BL96" s="280" t="s">
        <v>234</v>
      </c>
      <c r="BM96" s="50"/>
      <c r="BN96" s="49" t="s">
        <v>234</v>
      </c>
    </row>
    <row r="97" customFormat="false" ht="17.25" hidden="false" customHeight="true" outlineLevel="0" collapsed="false">
      <c r="B97" s="133"/>
      <c r="C97" s="143"/>
      <c r="D97" s="144" t="s">
        <v>78</v>
      </c>
      <c r="E97" s="145" t="s">
        <v>67</v>
      </c>
      <c r="F97" s="146" t="s">
        <v>79</v>
      </c>
      <c r="G97" s="78" t="s">
        <v>155</v>
      </c>
      <c r="H97" s="53"/>
      <c r="I97" s="54" t="s">
        <v>155</v>
      </c>
      <c r="J97" s="49" t="s">
        <v>46</v>
      </c>
      <c r="K97" s="50"/>
      <c r="L97" s="154" t="s">
        <v>46</v>
      </c>
      <c r="M97" s="78" t="s">
        <v>46</v>
      </c>
      <c r="N97" s="53"/>
      <c r="O97" s="153" t="s">
        <v>46</v>
      </c>
      <c r="P97" s="78" t="s">
        <v>46</v>
      </c>
      <c r="Q97" s="53"/>
      <c r="R97" s="54" t="s">
        <v>46</v>
      </c>
      <c r="S97" s="276" t="s">
        <v>264</v>
      </c>
      <c r="T97" s="50"/>
      <c r="U97" s="51" t="s">
        <v>254</v>
      </c>
      <c r="V97" s="277" t="s">
        <v>191</v>
      </c>
      <c r="W97" s="53"/>
      <c r="X97" s="53" t="s">
        <v>191</v>
      </c>
      <c r="Y97" s="280" t="s">
        <v>181</v>
      </c>
      <c r="Z97" s="50"/>
      <c r="AA97" s="57" t="s">
        <v>161</v>
      </c>
      <c r="AB97" s="277" t="s">
        <v>181</v>
      </c>
      <c r="AC97" s="53"/>
      <c r="AD97" s="54" t="s">
        <v>161</v>
      </c>
      <c r="AE97" s="49" t="s">
        <v>255</v>
      </c>
      <c r="AF97" s="50"/>
      <c r="AG97" s="51" t="s">
        <v>275</v>
      </c>
      <c r="AH97" s="78" t="s">
        <v>256</v>
      </c>
      <c r="AI97" s="53"/>
      <c r="AJ97" s="54" t="s">
        <v>276</v>
      </c>
      <c r="AK97" s="294" t="s">
        <v>256</v>
      </c>
      <c r="AL97" s="109"/>
      <c r="AM97" s="186" t="s">
        <v>257</v>
      </c>
      <c r="AN97" s="55" t="s">
        <v>258</v>
      </c>
      <c r="AO97" s="56"/>
      <c r="AP97" s="57" t="s">
        <v>259</v>
      </c>
      <c r="AQ97" s="279" t="s">
        <v>168</v>
      </c>
      <c r="AR97" s="74"/>
      <c r="AS97" s="75" t="s">
        <v>169</v>
      </c>
      <c r="AT97" s="49" t="s">
        <v>185</v>
      </c>
      <c r="AU97" s="50"/>
      <c r="AV97" s="51" t="s">
        <v>171</v>
      </c>
      <c r="AW97" s="78" t="s">
        <v>185</v>
      </c>
      <c r="AX97" s="53"/>
      <c r="AY97" s="54" t="s">
        <v>171</v>
      </c>
      <c r="AZ97" s="49" t="s">
        <v>185</v>
      </c>
      <c r="BA97" s="50"/>
      <c r="BB97" s="51" t="s">
        <v>168</v>
      </c>
      <c r="BC97" s="279" t="s">
        <v>173</v>
      </c>
      <c r="BD97" s="74"/>
      <c r="BE97" s="75" t="s">
        <v>174</v>
      </c>
      <c r="BF97" s="280" t="s">
        <v>234</v>
      </c>
      <c r="BG97" s="50"/>
      <c r="BH97" s="49" t="s">
        <v>234</v>
      </c>
      <c r="BI97" s="277" t="s">
        <v>234</v>
      </c>
      <c r="BJ97" s="53"/>
      <c r="BK97" s="54" t="s">
        <v>234</v>
      </c>
      <c r="BL97" s="280" t="s">
        <v>234</v>
      </c>
      <c r="BM97" s="50"/>
      <c r="BN97" s="49" t="s">
        <v>234</v>
      </c>
    </row>
    <row r="98" customFormat="false" ht="17.25" hidden="false" customHeight="true" outlineLevel="0" collapsed="false">
      <c r="B98" s="133"/>
      <c r="C98" s="143"/>
      <c r="D98" s="144"/>
      <c r="E98" s="145" t="s">
        <v>68</v>
      </c>
      <c r="F98" s="146"/>
      <c r="G98" s="78" t="s">
        <v>155</v>
      </c>
      <c r="H98" s="53"/>
      <c r="I98" s="54" t="s">
        <v>155</v>
      </c>
      <c r="J98" s="49" t="s">
        <v>46</v>
      </c>
      <c r="K98" s="50"/>
      <c r="L98" s="154" t="s">
        <v>46</v>
      </c>
      <c r="M98" s="78" t="s">
        <v>46</v>
      </c>
      <c r="N98" s="53"/>
      <c r="O98" s="153" t="s">
        <v>46</v>
      </c>
      <c r="P98" s="78" t="s">
        <v>46</v>
      </c>
      <c r="Q98" s="53"/>
      <c r="R98" s="54" t="s">
        <v>46</v>
      </c>
      <c r="S98" s="276" t="s">
        <v>264</v>
      </c>
      <c r="T98" s="50"/>
      <c r="U98" s="51" t="s">
        <v>254</v>
      </c>
      <c r="V98" s="277" t="s">
        <v>191</v>
      </c>
      <c r="W98" s="53"/>
      <c r="X98" s="53" t="s">
        <v>191</v>
      </c>
      <c r="Y98" s="280" t="s">
        <v>181</v>
      </c>
      <c r="Z98" s="50"/>
      <c r="AA98" s="57" t="s">
        <v>161</v>
      </c>
      <c r="AB98" s="277" t="s">
        <v>181</v>
      </c>
      <c r="AC98" s="53"/>
      <c r="AD98" s="54" t="s">
        <v>161</v>
      </c>
      <c r="AE98" s="49" t="s">
        <v>255</v>
      </c>
      <c r="AF98" s="50"/>
      <c r="AG98" s="51" t="s">
        <v>275</v>
      </c>
      <c r="AH98" s="78" t="s">
        <v>256</v>
      </c>
      <c r="AI98" s="53"/>
      <c r="AJ98" s="54" t="s">
        <v>276</v>
      </c>
      <c r="AK98" s="294" t="s">
        <v>256</v>
      </c>
      <c r="AL98" s="109"/>
      <c r="AM98" s="186" t="s">
        <v>257</v>
      </c>
      <c r="AN98" s="55" t="s">
        <v>258</v>
      </c>
      <c r="AO98" s="56"/>
      <c r="AP98" s="57" t="s">
        <v>259</v>
      </c>
      <c r="AQ98" s="279" t="s">
        <v>168</v>
      </c>
      <c r="AR98" s="74"/>
      <c r="AS98" s="75" t="s">
        <v>169</v>
      </c>
      <c r="AT98" s="49" t="s">
        <v>185</v>
      </c>
      <c r="AU98" s="50"/>
      <c r="AV98" s="51" t="s">
        <v>171</v>
      </c>
      <c r="AW98" s="78" t="s">
        <v>185</v>
      </c>
      <c r="AX98" s="53"/>
      <c r="AY98" s="54" t="s">
        <v>171</v>
      </c>
      <c r="AZ98" s="49" t="s">
        <v>185</v>
      </c>
      <c r="BA98" s="50"/>
      <c r="BB98" s="51" t="s">
        <v>168</v>
      </c>
      <c r="BC98" s="279" t="s">
        <v>173</v>
      </c>
      <c r="BD98" s="74"/>
      <c r="BE98" s="75" t="s">
        <v>174</v>
      </c>
      <c r="BF98" s="280" t="s">
        <v>234</v>
      </c>
      <c r="BG98" s="50"/>
      <c r="BH98" s="49" t="s">
        <v>234</v>
      </c>
      <c r="BI98" s="277" t="s">
        <v>234</v>
      </c>
      <c r="BJ98" s="53"/>
      <c r="BK98" s="54" t="s">
        <v>234</v>
      </c>
      <c r="BL98" s="280" t="s">
        <v>234</v>
      </c>
      <c r="BM98" s="50"/>
      <c r="BN98" s="49" t="s">
        <v>234</v>
      </c>
    </row>
    <row r="99" customFormat="false" ht="17.25" hidden="false" customHeight="true" outlineLevel="0" collapsed="false">
      <c r="B99" s="133"/>
      <c r="C99" s="143"/>
      <c r="D99" s="144"/>
      <c r="E99" s="145" t="s">
        <v>69</v>
      </c>
      <c r="F99" s="146"/>
      <c r="G99" s="78" t="s">
        <v>155</v>
      </c>
      <c r="H99" s="53"/>
      <c r="I99" s="54" t="s">
        <v>155</v>
      </c>
      <c r="J99" s="49" t="s">
        <v>46</v>
      </c>
      <c r="K99" s="50"/>
      <c r="L99" s="154" t="s">
        <v>46</v>
      </c>
      <c r="M99" s="78" t="s">
        <v>46</v>
      </c>
      <c r="N99" s="53"/>
      <c r="O99" s="153" t="s">
        <v>46</v>
      </c>
      <c r="P99" s="78" t="s">
        <v>46</v>
      </c>
      <c r="Q99" s="53"/>
      <c r="R99" s="54" t="s">
        <v>46</v>
      </c>
      <c r="S99" s="276" t="s">
        <v>264</v>
      </c>
      <c r="T99" s="50"/>
      <c r="U99" s="51" t="s">
        <v>254</v>
      </c>
      <c r="V99" s="277" t="s">
        <v>191</v>
      </c>
      <c r="W99" s="53"/>
      <c r="X99" s="53" t="s">
        <v>191</v>
      </c>
      <c r="Y99" s="280" t="s">
        <v>181</v>
      </c>
      <c r="Z99" s="50"/>
      <c r="AA99" s="57" t="s">
        <v>161</v>
      </c>
      <c r="AB99" s="277" t="s">
        <v>181</v>
      </c>
      <c r="AC99" s="53"/>
      <c r="AD99" s="54" t="s">
        <v>161</v>
      </c>
      <c r="AE99" s="49" t="s">
        <v>255</v>
      </c>
      <c r="AF99" s="50"/>
      <c r="AG99" s="51" t="s">
        <v>275</v>
      </c>
      <c r="AH99" s="78" t="s">
        <v>256</v>
      </c>
      <c r="AI99" s="53"/>
      <c r="AJ99" s="54" t="s">
        <v>276</v>
      </c>
      <c r="AK99" s="294" t="s">
        <v>256</v>
      </c>
      <c r="AL99" s="109"/>
      <c r="AM99" s="186" t="s">
        <v>257</v>
      </c>
      <c r="AN99" s="55" t="s">
        <v>258</v>
      </c>
      <c r="AO99" s="56"/>
      <c r="AP99" s="57" t="s">
        <v>259</v>
      </c>
      <c r="AQ99" s="279" t="s">
        <v>168</v>
      </c>
      <c r="AR99" s="74"/>
      <c r="AS99" s="75" t="s">
        <v>169</v>
      </c>
      <c r="AT99" s="49" t="s">
        <v>185</v>
      </c>
      <c r="AU99" s="50"/>
      <c r="AV99" s="51" t="s">
        <v>171</v>
      </c>
      <c r="AW99" s="78" t="s">
        <v>185</v>
      </c>
      <c r="AX99" s="53"/>
      <c r="AY99" s="54" t="s">
        <v>171</v>
      </c>
      <c r="AZ99" s="49" t="s">
        <v>185</v>
      </c>
      <c r="BA99" s="50"/>
      <c r="BB99" s="51" t="s">
        <v>168</v>
      </c>
      <c r="BC99" s="279" t="s">
        <v>173</v>
      </c>
      <c r="BD99" s="74"/>
      <c r="BE99" s="75" t="s">
        <v>174</v>
      </c>
      <c r="BF99" s="280" t="s">
        <v>234</v>
      </c>
      <c r="BG99" s="50"/>
      <c r="BH99" s="49" t="s">
        <v>234</v>
      </c>
      <c r="BI99" s="277" t="s">
        <v>234</v>
      </c>
      <c r="BJ99" s="53"/>
      <c r="BK99" s="54" t="s">
        <v>234</v>
      </c>
      <c r="BL99" s="280" t="s">
        <v>234</v>
      </c>
      <c r="BM99" s="50"/>
      <c r="BN99" s="49" t="s">
        <v>234</v>
      </c>
    </row>
    <row r="100" customFormat="false" ht="17.25" hidden="false" customHeight="true" outlineLevel="0" collapsed="false">
      <c r="B100" s="133"/>
      <c r="C100" s="143"/>
      <c r="D100" s="144"/>
      <c r="E100" s="145" t="s">
        <v>70</v>
      </c>
      <c r="F100" s="146"/>
      <c r="G100" s="78" t="s">
        <v>155</v>
      </c>
      <c r="H100" s="53"/>
      <c r="I100" s="54" t="s">
        <v>155</v>
      </c>
      <c r="J100" s="49" t="s">
        <v>46</v>
      </c>
      <c r="K100" s="50"/>
      <c r="L100" s="154" t="s">
        <v>46</v>
      </c>
      <c r="M100" s="78" t="s">
        <v>46</v>
      </c>
      <c r="N100" s="53"/>
      <c r="O100" s="153" t="s">
        <v>46</v>
      </c>
      <c r="P100" s="78" t="s">
        <v>46</v>
      </c>
      <c r="Q100" s="53"/>
      <c r="R100" s="54" t="s">
        <v>46</v>
      </c>
      <c r="S100" s="276" t="s">
        <v>264</v>
      </c>
      <c r="T100" s="50"/>
      <c r="U100" s="51" t="s">
        <v>254</v>
      </c>
      <c r="V100" s="277" t="s">
        <v>191</v>
      </c>
      <c r="W100" s="53"/>
      <c r="X100" s="53" t="s">
        <v>191</v>
      </c>
      <c r="Y100" s="280" t="s">
        <v>181</v>
      </c>
      <c r="Z100" s="50"/>
      <c r="AA100" s="57" t="s">
        <v>161</v>
      </c>
      <c r="AB100" s="277" t="s">
        <v>181</v>
      </c>
      <c r="AC100" s="53"/>
      <c r="AD100" s="54" t="s">
        <v>161</v>
      </c>
      <c r="AE100" s="49" t="s">
        <v>255</v>
      </c>
      <c r="AF100" s="50"/>
      <c r="AG100" s="51" t="s">
        <v>275</v>
      </c>
      <c r="AH100" s="78" t="s">
        <v>256</v>
      </c>
      <c r="AI100" s="53"/>
      <c r="AJ100" s="54" t="s">
        <v>276</v>
      </c>
      <c r="AK100" s="294" t="s">
        <v>256</v>
      </c>
      <c r="AL100" s="109"/>
      <c r="AM100" s="186" t="s">
        <v>257</v>
      </c>
      <c r="AN100" s="55" t="s">
        <v>258</v>
      </c>
      <c r="AO100" s="56"/>
      <c r="AP100" s="57" t="s">
        <v>259</v>
      </c>
      <c r="AQ100" s="279" t="s">
        <v>168</v>
      </c>
      <c r="AR100" s="74"/>
      <c r="AS100" s="75" t="s">
        <v>169</v>
      </c>
      <c r="AT100" s="49" t="s">
        <v>185</v>
      </c>
      <c r="AU100" s="50"/>
      <c r="AV100" s="51" t="s">
        <v>171</v>
      </c>
      <c r="AW100" s="78" t="s">
        <v>185</v>
      </c>
      <c r="AX100" s="53"/>
      <c r="AY100" s="54" t="s">
        <v>171</v>
      </c>
      <c r="AZ100" s="49" t="s">
        <v>185</v>
      </c>
      <c r="BA100" s="50"/>
      <c r="BB100" s="51" t="s">
        <v>168</v>
      </c>
      <c r="BC100" s="279" t="s">
        <v>173</v>
      </c>
      <c r="BD100" s="74"/>
      <c r="BE100" s="75" t="s">
        <v>174</v>
      </c>
      <c r="BF100" s="280" t="s">
        <v>234</v>
      </c>
      <c r="BG100" s="50"/>
      <c r="BH100" s="49" t="s">
        <v>234</v>
      </c>
      <c r="BI100" s="277" t="s">
        <v>234</v>
      </c>
      <c r="BJ100" s="74"/>
      <c r="BK100" s="54" t="s">
        <v>234</v>
      </c>
      <c r="BL100" s="280" t="s">
        <v>234</v>
      </c>
      <c r="BM100" s="50"/>
      <c r="BN100" s="49" t="s">
        <v>234</v>
      </c>
    </row>
    <row r="101" customFormat="false" ht="17.25" hidden="false" customHeight="true" outlineLevel="0" collapsed="false">
      <c r="B101" s="133"/>
      <c r="C101" s="143" t="s">
        <v>277</v>
      </c>
      <c r="D101" s="148"/>
      <c r="E101" s="149" t="s">
        <v>67</v>
      </c>
      <c r="F101" s="150"/>
      <c r="G101" s="78" t="s">
        <v>155</v>
      </c>
      <c r="H101" s="53"/>
      <c r="I101" s="54" t="s">
        <v>155</v>
      </c>
      <c r="J101" s="49" t="s">
        <v>46</v>
      </c>
      <c r="K101" s="50"/>
      <c r="L101" s="154" t="s">
        <v>46</v>
      </c>
      <c r="M101" s="78" t="s">
        <v>46</v>
      </c>
      <c r="N101" s="53"/>
      <c r="O101" s="153" t="s">
        <v>46</v>
      </c>
      <c r="P101" s="78" t="s">
        <v>46</v>
      </c>
      <c r="Q101" s="53"/>
      <c r="R101" s="54" t="s">
        <v>46</v>
      </c>
      <c r="S101" s="276" t="s">
        <v>278</v>
      </c>
      <c r="T101" s="50"/>
      <c r="U101" s="51" t="s">
        <v>279</v>
      </c>
      <c r="V101" s="277" t="s">
        <v>280</v>
      </c>
      <c r="W101" s="53"/>
      <c r="X101" s="54" t="s">
        <v>158</v>
      </c>
      <c r="Y101" s="280" t="s">
        <v>181</v>
      </c>
      <c r="Z101" s="50"/>
      <c r="AA101" s="57" t="s">
        <v>161</v>
      </c>
      <c r="AB101" s="277" t="s">
        <v>181</v>
      </c>
      <c r="AC101" s="53"/>
      <c r="AD101" s="54" t="s">
        <v>161</v>
      </c>
      <c r="AE101" s="49" t="s">
        <v>281</v>
      </c>
      <c r="AF101" s="50"/>
      <c r="AG101" s="51" t="s">
        <v>282</v>
      </c>
      <c r="AH101" s="78" t="s">
        <v>283</v>
      </c>
      <c r="AI101" s="53"/>
      <c r="AJ101" s="54" t="s">
        <v>284</v>
      </c>
      <c r="AK101" s="286" t="s">
        <v>285</v>
      </c>
      <c r="AL101" s="109"/>
      <c r="AM101" s="87" t="s">
        <v>286</v>
      </c>
      <c r="AN101" s="55" t="s">
        <v>287</v>
      </c>
      <c r="AO101" s="56"/>
      <c r="AP101" s="57" t="s">
        <v>158</v>
      </c>
      <c r="AQ101" s="279" t="s">
        <v>288</v>
      </c>
      <c r="AR101" s="74"/>
      <c r="AS101" s="75" t="s">
        <v>169</v>
      </c>
      <c r="AT101" s="49" t="s">
        <v>260</v>
      </c>
      <c r="AU101" s="50"/>
      <c r="AV101" s="51" t="s">
        <v>261</v>
      </c>
      <c r="AW101" s="78" t="s">
        <v>260</v>
      </c>
      <c r="AX101" s="53"/>
      <c r="AY101" s="54" t="s">
        <v>289</v>
      </c>
      <c r="AZ101" s="49" t="s">
        <v>260</v>
      </c>
      <c r="BA101" s="50"/>
      <c r="BB101" s="51" t="s">
        <v>261</v>
      </c>
      <c r="BC101" s="279" t="s">
        <v>173</v>
      </c>
      <c r="BD101" s="74"/>
      <c r="BE101" s="75" t="s">
        <v>174</v>
      </c>
      <c r="BF101" s="280" t="s">
        <v>175</v>
      </c>
      <c r="BG101" s="50"/>
      <c r="BH101" s="51" t="s">
        <v>175</v>
      </c>
      <c r="BI101" s="295" t="s">
        <v>175</v>
      </c>
      <c r="BJ101" s="53"/>
      <c r="BK101" s="54" t="s">
        <v>175</v>
      </c>
      <c r="BL101" s="280" t="s">
        <v>175</v>
      </c>
      <c r="BM101" s="50"/>
      <c r="BN101" s="51" t="s">
        <v>175</v>
      </c>
    </row>
    <row r="102" customFormat="false" ht="17.25" hidden="false" customHeight="true" outlineLevel="0" collapsed="false">
      <c r="B102" s="133"/>
      <c r="C102" s="143"/>
      <c r="D102" s="148"/>
      <c r="E102" s="149" t="s">
        <v>68</v>
      </c>
      <c r="F102" s="150"/>
      <c r="G102" s="78" t="s">
        <v>155</v>
      </c>
      <c r="H102" s="53"/>
      <c r="I102" s="54" t="s">
        <v>155</v>
      </c>
      <c r="J102" s="49" t="s">
        <v>46</v>
      </c>
      <c r="K102" s="50"/>
      <c r="L102" s="154" t="s">
        <v>46</v>
      </c>
      <c r="M102" s="78" t="s">
        <v>46</v>
      </c>
      <c r="N102" s="53"/>
      <c r="O102" s="153" t="s">
        <v>46</v>
      </c>
      <c r="P102" s="78" t="s">
        <v>46</v>
      </c>
      <c r="Q102" s="53"/>
      <c r="R102" s="54" t="s">
        <v>46</v>
      </c>
      <c r="S102" s="276" t="s">
        <v>278</v>
      </c>
      <c r="T102" s="50"/>
      <c r="U102" s="51" t="s">
        <v>279</v>
      </c>
      <c r="V102" s="277" t="s">
        <v>280</v>
      </c>
      <c r="W102" s="53"/>
      <c r="X102" s="54" t="s">
        <v>158</v>
      </c>
      <c r="Y102" s="280" t="s">
        <v>181</v>
      </c>
      <c r="Z102" s="50"/>
      <c r="AA102" s="57" t="s">
        <v>161</v>
      </c>
      <c r="AB102" s="277" t="s">
        <v>181</v>
      </c>
      <c r="AC102" s="53"/>
      <c r="AD102" s="54" t="s">
        <v>161</v>
      </c>
      <c r="AE102" s="49" t="s">
        <v>281</v>
      </c>
      <c r="AF102" s="50"/>
      <c r="AG102" s="51" t="s">
        <v>282</v>
      </c>
      <c r="AH102" s="78" t="s">
        <v>283</v>
      </c>
      <c r="AI102" s="53"/>
      <c r="AJ102" s="54" t="s">
        <v>284</v>
      </c>
      <c r="AK102" s="286" t="s">
        <v>285</v>
      </c>
      <c r="AL102" s="109"/>
      <c r="AM102" s="87" t="s">
        <v>286</v>
      </c>
      <c r="AN102" s="55" t="s">
        <v>287</v>
      </c>
      <c r="AO102" s="56"/>
      <c r="AP102" s="57" t="s">
        <v>158</v>
      </c>
      <c r="AQ102" s="279" t="s">
        <v>288</v>
      </c>
      <c r="AR102" s="74"/>
      <c r="AS102" s="75" t="s">
        <v>169</v>
      </c>
      <c r="AT102" s="49" t="s">
        <v>260</v>
      </c>
      <c r="AU102" s="50"/>
      <c r="AV102" s="51" t="s">
        <v>261</v>
      </c>
      <c r="AW102" s="78" t="s">
        <v>260</v>
      </c>
      <c r="AX102" s="53"/>
      <c r="AY102" s="54" t="s">
        <v>289</v>
      </c>
      <c r="AZ102" s="49" t="s">
        <v>260</v>
      </c>
      <c r="BA102" s="50"/>
      <c r="BB102" s="51" t="s">
        <v>261</v>
      </c>
      <c r="BC102" s="279" t="s">
        <v>173</v>
      </c>
      <c r="BD102" s="74"/>
      <c r="BE102" s="75" t="s">
        <v>174</v>
      </c>
      <c r="BF102" s="280" t="s">
        <v>175</v>
      </c>
      <c r="BG102" s="50"/>
      <c r="BH102" s="51" t="s">
        <v>175</v>
      </c>
      <c r="BI102" s="277" t="s">
        <v>175</v>
      </c>
      <c r="BJ102" s="53"/>
      <c r="BK102" s="54" t="s">
        <v>175</v>
      </c>
      <c r="BL102" s="280" t="s">
        <v>175</v>
      </c>
      <c r="BM102" s="50"/>
      <c r="BN102" s="51" t="s">
        <v>175</v>
      </c>
    </row>
    <row r="103" customFormat="false" ht="17.25" hidden="false" customHeight="true" outlineLevel="0" collapsed="false">
      <c r="B103" s="133"/>
      <c r="C103" s="143"/>
      <c r="D103" s="148"/>
      <c r="E103" s="149" t="s">
        <v>69</v>
      </c>
      <c r="F103" s="150"/>
      <c r="G103" s="78" t="s">
        <v>155</v>
      </c>
      <c r="H103" s="53"/>
      <c r="I103" s="54" t="s">
        <v>155</v>
      </c>
      <c r="J103" s="49" t="s">
        <v>46</v>
      </c>
      <c r="K103" s="50"/>
      <c r="L103" s="154" t="s">
        <v>46</v>
      </c>
      <c r="M103" s="78" t="s">
        <v>46</v>
      </c>
      <c r="N103" s="53"/>
      <c r="O103" s="153" t="s">
        <v>46</v>
      </c>
      <c r="P103" s="78" t="s">
        <v>46</v>
      </c>
      <c r="Q103" s="53"/>
      <c r="R103" s="54" t="s">
        <v>46</v>
      </c>
      <c r="S103" s="276" t="s">
        <v>278</v>
      </c>
      <c r="T103" s="50"/>
      <c r="U103" s="51" t="s">
        <v>279</v>
      </c>
      <c r="V103" s="277" t="s">
        <v>280</v>
      </c>
      <c r="W103" s="53"/>
      <c r="X103" s="54" t="s">
        <v>158</v>
      </c>
      <c r="Y103" s="280" t="s">
        <v>181</v>
      </c>
      <c r="Z103" s="50"/>
      <c r="AA103" s="57" t="s">
        <v>161</v>
      </c>
      <c r="AB103" s="277" t="s">
        <v>181</v>
      </c>
      <c r="AC103" s="53"/>
      <c r="AD103" s="54" t="s">
        <v>161</v>
      </c>
      <c r="AE103" s="49" t="s">
        <v>281</v>
      </c>
      <c r="AF103" s="50"/>
      <c r="AG103" s="51" t="s">
        <v>282</v>
      </c>
      <c r="AH103" s="78" t="s">
        <v>283</v>
      </c>
      <c r="AI103" s="53"/>
      <c r="AJ103" s="54" t="s">
        <v>284</v>
      </c>
      <c r="AK103" s="286" t="s">
        <v>285</v>
      </c>
      <c r="AL103" s="109"/>
      <c r="AM103" s="87" t="s">
        <v>286</v>
      </c>
      <c r="AN103" s="55" t="s">
        <v>287</v>
      </c>
      <c r="AO103" s="56"/>
      <c r="AP103" s="57" t="s">
        <v>158</v>
      </c>
      <c r="AQ103" s="279" t="s">
        <v>288</v>
      </c>
      <c r="AR103" s="74"/>
      <c r="AS103" s="75" t="s">
        <v>169</v>
      </c>
      <c r="AT103" s="49" t="s">
        <v>260</v>
      </c>
      <c r="AU103" s="50"/>
      <c r="AV103" s="51" t="s">
        <v>261</v>
      </c>
      <c r="AW103" s="78" t="s">
        <v>260</v>
      </c>
      <c r="AX103" s="53"/>
      <c r="AY103" s="54" t="s">
        <v>289</v>
      </c>
      <c r="AZ103" s="49" t="s">
        <v>260</v>
      </c>
      <c r="BA103" s="50"/>
      <c r="BB103" s="51" t="s">
        <v>261</v>
      </c>
      <c r="BC103" s="279" t="s">
        <v>173</v>
      </c>
      <c r="BD103" s="74"/>
      <c r="BE103" s="75" t="s">
        <v>174</v>
      </c>
      <c r="BF103" s="280" t="s">
        <v>175</v>
      </c>
      <c r="BG103" s="50"/>
      <c r="BH103" s="51" t="s">
        <v>175</v>
      </c>
      <c r="BI103" s="277" t="s">
        <v>175</v>
      </c>
      <c r="BJ103" s="53"/>
      <c r="BK103" s="54" t="s">
        <v>175</v>
      </c>
      <c r="BL103" s="280" t="s">
        <v>175</v>
      </c>
      <c r="BM103" s="50"/>
      <c r="BN103" s="51" t="s">
        <v>175</v>
      </c>
    </row>
    <row r="104" customFormat="false" ht="17.25" hidden="false" customHeight="true" outlineLevel="0" collapsed="false">
      <c r="B104" s="133"/>
      <c r="C104" s="143"/>
      <c r="D104" s="148"/>
      <c r="E104" s="149" t="s">
        <v>70</v>
      </c>
      <c r="F104" s="150"/>
      <c r="G104" s="78" t="s">
        <v>155</v>
      </c>
      <c r="H104" s="53"/>
      <c r="I104" s="54" t="s">
        <v>155</v>
      </c>
      <c r="J104" s="49" t="s">
        <v>46</v>
      </c>
      <c r="K104" s="50"/>
      <c r="L104" s="154" t="s">
        <v>46</v>
      </c>
      <c r="M104" s="78" t="s">
        <v>46</v>
      </c>
      <c r="N104" s="53"/>
      <c r="O104" s="153" t="s">
        <v>46</v>
      </c>
      <c r="P104" s="78" t="s">
        <v>46</v>
      </c>
      <c r="Q104" s="53"/>
      <c r="R104" s="54" t="s">
        <v>46</v>
      </c>
      <c r="S104" s="276" t="s">
        <v>278</v>
      </c>
      <c r="T104" s="50"/>
      <c r="U104" s="51" t="s">
        <v>279</v>
      </c>
      <c r="V104" s="277" t="s">
        <v>280</v>
      </c>
      <c r="W104" s="53"/>
      <c r="X104" s="54" t="s">
        <v>158</v>
      </c>
      <c r="Y104" s="280" t="s">
        <v>181</v>
      </c>
      <c r="Z104" s="50"/>
      <c r="AA104" s="57" t="s">
        <v>161</v>
      </c>
      <c r="AB104" s="277" t="s">
        <v>181</v>
      </c>
      <c r="AC104" s="53"/>
      <c r="AD104" s="54" t="s">
        <v>161</v>
      </c>
      <c r="AE104" s="49" t="s">
        <v>281</v>
      </c>
      <c r="AF104" s="50"/>
      <c r="AG104" s="51" t="s">
        <v>282</v>
      </c>
      <c r="AH104" s="78" t="s">
        <v>283</v>
      </c>
      <c r="AI104" s="53"/>
      <c r="AJ104" s="54" t="s">
        <v>284</v>
      </c>
      <c r="AK104" s="286" t="s">
        <v>285</v>
      </c>
      <c r="AL104" s="109"/>
      <c r="AM104" s="87" t="s">
        <v>286</v>
      </c>
      <c r="AN104" s="55" t="s">
        <v>287</v>
      </c>
      <c r="AO104" s="56"/>
      <c r="AP104" s="57" t="s">
        <v>158</v>
      </c>
      <c r="AQ104" s="279" t="s">
        <v>288</v>
      </c>
      <c r="AR104" s="74"/>
      <c r="AS104" s="75" t="s">
        <v>169</v>
      </c>
      <c r="AT104" s="49" t="s">
        <v>260</v>
      </c>
      <c r="AU104" s="50"/>
      <c r="AV104" s="51" t="s">
        <v>261</v>
      </c>
      <c r="AW104" s="78" t="s">
        <v>260</v>
      </c>
      <c r="AX104" s="53"/>
      <c r="AY104" s="54" t="s">
        <v>289</v>
      </c>
      <c r="AZ104" s="49" t="s">
        <v>260</v>
      </c>
      <c r="BA104" s="50"/>
      <c r="BB104" s="51" t="s">
        <v>261</v>
      </c>
      <c r="BC104" s="279" t="s">
        <v>173</v>
      </c>
      <c r="BD104" s="74"/>
      <c r="BE104" s="75" t="s">
        <v>174</v>
      </c>
      <c r="BF104" s="280" t="s">
        <v>175</v>
      </c>
      <c r="BG104" s="50"/>
      <c r="BH104" s="51" t="s">
        <v>175</v>
      </c>
      <c r="BI104" s="277" t="s">
        <v>175</v>
      </c>
      <c r="BJ104" s="53"/>
      <c r="BK104" s="54" t="s">
        <v>175</v>
      </c>
      <c r="BL104" s="280" t="s">
        <v>175</v>
      </c>
      <c r="BM104" s="50"/>
      <c r="BN104" s="51" t="s">
        <v>175</v>
      </c>
    </row>
    <row r="105" customFormat="false" ht="17.25" hidden="false" customHeight="true" outlineLevel="0" collapsed="false">
      <c r="B105" s="133"/>
      <c r="C105" s="160" t="s">
        <v>290</v>
      </c>
      <c r="D105" s="144" t="s">
        <v>72</v>
      </c>
      <c r="E105" s="145" t="s">
        <v>67</v>
      </c>
      <c r="F105" s="146" t="s">
        <v>73</v>
      </c>
      <c r="G105" s="78" t="s">
        <v>155</v>
      </c>
      <c r="H105" s="53"/>
      <c r="I105" s="54" t="s">
        <v>155</v>
      </c>
      <c r="J105" s="49" t="s">
        <v>46</v>
      </c>
      <c r="K105" s="50"/>
      <c r="L105" s="154" t="s">
        <v>46</v>
      </c>
      <c r="M105" s="78" t="s">
        <v>46</v>
      </c>
      <c r="N105" s="53"/>
      <c r="O105" s="153" t="s">
        <v>46</v>
      </c>
      <c r="P105" s="78" t="s">
        <v>46</v>
      </c>
      <c r="Q105" s="53"/>
      <c r="R105" s="54" t="s">
        <v>46</v>
      </c>
      <c r="S105" s="276" t="s">
        <v>278</v>
      </c>
      <c r="T105" s="50"/>
      <c r="U105" s="51" t="s">
        <v>279</v>
      </c>
      <c r="V105" s="277" t="s">
        <v>280</v>
      </c>
      <c r="W105" s="53"/>
      <c r="X105" s="54" t="s">
        <v>158</v>
      </c>
      <c r="Y105" s="280" t="s">
        <v>181</v>
      </c>
      <c r="Z105" s="50"/>
      <c r="AA105" s="57" t="s">
        <v>161</v>
      </c>
      <c r="AB105" s="277" t="s">
        <v>181</v>
      </c>
      <c r="AC105" s="53"/>
      <c r="AD105" s="54" t="s">
        <v>161</v>
      </c>
      <c r="AE105" s="49" t="s">
        <v>281</v>
      </c>
      <c r="AF105" s="50"/>
      <c r="AG105" s="51" t="s">
        <v>282</v>
      </c>
      <c r="AH105" s="78" t="s">
        <v>283</v>
      </c>
      <c r="AI105" s="53"/>
      <c r="AJ105" s="54" t="s">
        <v>284</v>
      </c>
      <c r="AK105" s="286" t="s">
        <v>285</v>
      </c>
      <c r="AL105" s="109"/>
      <c r="AM105" s="87" t="s">
        <v>184</v>
      </c>
      <c r="AN105" s="55" t="s">
        <v>287</v>
      </c>
      <c r="AO105" s="50"/>
      <c r="AP105" s="51" t="s">
        <v>291</v>
      </c>
      <c r="AQ105" s="279" t="s">
        <v>288</v>
      </c>
      <c r="AR105" s="53"/>
      <c r="AS105" s="54" t="s">
        <v>292</v>
      </c>
      <c r="AT105" s="49" t="s">
        <v>185</v>
      </c>
      <c r="AU105" s="50"/>
      <c r="AV105" s="51" t="s">
        <v>171</v>
      </c>
      <c r="AW105" s="78" t="s">
        <v>185</v>
      </c>
      <c r="AX105" s="53"/>
      <c r="AY105" s="54" t="s">
        <v>172</v>
      </c>
      <c r="AZ105" s="49" t="s">
        <v>185</v>
      </c>
      <c r="BA105" s="50"/>
      <c r="BB105" s="51" t="s">
        <v>171</v>
      </c>
      <c r="BC105" s="279" t="s">
        <v>173</v>
      </c>
      <c r="BD105" s="74"/>
      <c r="BE105" s="75" t="s">
        <v>174</v>
      </c>
      <c r="BF105" s="280" t="s">
        <v>192</v>
      </c>
      <c r="BG105" s="50"/>
      <c r="BH105" s="51" t="s">
        <v>175</v>
      </c>
      <c r="BI105" s="277" t="s">
        <v>270</v>
      </c>
      <c r="BJ105" s="53"/>
      <c r="BK105" s="54" t="s">
        <v>175</v>
      </c>
      <c r="BL105" s="280" t="s">
        <v>270</v>
      </c>
      <c r="BM105" s="50"/>
      <c r="BN105" s="51" t="s">
        <v>225</v>
      </c>
    </row>
    <row r="106" customFormat="false" ht="17.25" hidden="false" customHeight="true" outlineLevel="0" collapsed="false">
      <c r="B106" s="133"/>
      <c r="C106" s="160"/>
      <c r="D106" s="144"/>
      <c r="E106" s="145" t="s">
        <v>68</v>
      </c>
      <c r="F106" s="146"/>
      <c r="G106" s="78" t="s">
        <v>155</v>
      </c>
      <c r="H106" s="53"/>
      <c r="I106" s="54" t="s">
        <v>155</v>
      </c>
      <c r="J106" s="49" t="s">
        <v>46</v>
      </c>
      <c r="K106" s="50"/>
      <c r="L106" s="154" t="s">
        <v>46</v>
      </c>
      <c r="M106" s="78" t="s">
        <v>46</v>
      </c>
      <c r="N106" s="53"/>
      <c r="O106" s="153" t="s">
        <v>46</v>
      </c>
      <c r="P106" s="78" t="s">
        <v>46</v>
      </c>
      <c r="Q106" s="53"/>
      <c r="R106" s="54" t="s">
        <v>46</v>
      </c>
      <c r="S106" s="276" t="s">
        <v>278</v>
      </c>
      <c r="T106" s="50"/>
      <c r="U106" s="51" t="s">
        <v>279</v>
      </c>
      <c r="V106" s="277" t="s">
        <v>280</v>
      </c>
      <c r="W106" s="53"/>
      <c r="X106" s="54" t="s">
        <v>158</v>
      </c>
      <c r="Y106" s="280" t="s">
        <v>181</v>
      </c>
      <c r="Z106" s="50"/>
      <c r="AA106" s="57" t="s">
        <v>161</v>
      </c>
      <c r="AB106" s="277" t="s">
        <v>181</v>
      </c>
      <c r="AC106" s="53"/>
      <c r="AD106" s="54" t="s">
        <v>161</v>
      </c>
      <c r="AE106" s="49" t="s">
        <v>281</v>
      </c>
      <c r="AF106" s="50"/>
      <c r="AG106" s="51" t="s">
        <v>282</v>
      </c>
      <c r="AH106" s="78" t="s">
        <v>283</v>
      </c>
      <c r="AI106" s="53"/>
      <c r="AJ106" s="54" t="s">
        <v>284</v>
      </c>
      <c r="AK106" s="286" t="s">
        <v>285</v>
      </c>
      <c r="AL106" s="109"/>
      <c r="AM106" s="87" t="s">
        <v>184</v>
      </c>
      <c r="AN106" s="55" t="s">
        <v>287</v>
      </c>
      <c r="AO106" s="50"/>
      <c r="AP106" s="51" t="s">
        <v>291</v>
      </c>
      <c r="AQ106" s="279" t="s">
        <v>288</v>
      </c>
      <c r="AR106" s="53"/>
      <c r="AS106" s="54" t="s">
        <v>292</v>
      </c>
      <c r="AT106" s="49" t="s">
        <v>185</v>
      </c>
      <c r="AU106" s="50"/>
      <c r="AV106" s="51" t="s">
        <v>171</v>
      </c>
      <c r="AW106" s="78" t="s">
        <v>185</v>
      </c>
      <c r="AX106" s="53"/>
      <c r="AY106" s="54" t="s">
        <v>172</v>
      </c>
      <c r="AZ106" s="49" t="s">
        <v>185</v>
      </c>
      <c r="BA106" s="50"/>
      <c r="BB106" s="51" t="s">
        <v>171</v>
      </c>
      <c r="BC106" s="279" t="s">
        <v>173</v>
      </c>
      <c r="BD106" s="74"/>
      <c r="BE106" s="75" t="s">
        <v>174</v>
      </c>
      <c r="BF106" s="280" t="s">
        <v>192</v>
      </c>
      <c r="BG106" s="50"/>
      <c r="BH106" s="51" t="s">
        <v>175</v>
      </c>
      <c r="BI106" s="277" t="s">
        <v>270</v>
      </c>
      <c r="BJ106" s="53"/>
      <c r="BK106" s="54" t="s">
        <v>175</v>
      </c>
      <c r="BL106" s="280" t="s">
        <v>270</v>
      </c>
      <c r="BM106" s="50"/>
      <c r="BN106" s="51" t="s">
        <v>225</v>
      </c>
    </row>
    <row r="107" customFormat="false" ht="17.25" hidden="false" customHeight="true" outlineLevel="0" collapsed="false">
      <c r="B107" s="133"/>
      <c r="C107" s="160"/>
      <c r="D107" s="144"/>
      <c r="E107" s="145" t="s">
        <v>69</v>
      </c>
      <c r="F107" s="146"/>
      <c r="G107" s="78" t="s">
        <v>155</v>
      </c>
      <c r="H107" s="53"/>
      <c r="I107" s="54" t="s">
        <v>155</v>
      </c>
      <c r="J107" s="49" t="s">
        <v>46</v>
      </c>
      <c r="K107" s="50"/>
      <c r="L107" s="154" t="s">
        <v>46</v>
      </c>
      <c r="M107" s="78" t="s">
        <v>46</v>
      </c>
      <c r="N107" s="53"/>
      <c r="O107" s="153" t="s">
        <v>46</v>
      </c>
      <c r="P107" s="78" t="s">
        <v>46</v>
      </c>
      <c r="Q107" s="53"/>
      <c r="R107" s="54" t="s">
        <v>46</v>
      </c>
      <c r="S107" s="276" t="s">
        <v>278</v>
      </c>
      <c r="T107" s="50"/>
      <c r="U107" s="51" t="s">
        <v>279</v>
      </c>
      <c r="V107" s="277" t="s">
        <v>280</v>
      </c>
      <c r="W107" s="53"/>
      <c r="X107" s="54" t="s">
        <v>158</v>
      </c>
      <c r="Y107" s="280" t="s">
        <v>181</v>
      </c>
      <c r="Z107" s="50"/>
      <c r="AA107" s="57" t="s">
        <v>161</v>
      </c>
      <c r="AB107" s="277" t="s">
        <v>181</v>
      </c>
      <c r="AC107" s="53"/>
      <c r="AD107" s="54" t="s">
        <v>161</v>
      </c>
      <c r="AE107" s="49" t="s">
        <v>281</v>
      </c>
      <c r="AF107" s="50"/>
      <c r="AG107" s="51" t="s">
        <v>282</v>
      </c>
      <c r="AH107" s="78" t="s">
        <v>283</v>
      </c>
      <c r="AI107" s="53"/>
      <c r="AJ107" s="54" t="s">
        <v>284</v>
      </c>
      <c r="AK107" s="286" t="s">
        <v>285</v>
      </c>
      <c r="AL107" s="109"/>
      <c r="AM107" s="87" t="s">
        <v>184</v>
      </c>
      <c r="AN107" s="55" t="s">
        <v>287</v>
      </c>
      <c r="AO107" s="50"/>
      <c r="AP107" s="51" t="s">
        <v>291</v>
      </c>
      <c r="AQ107" s="279" t="s">
        <v>288</v>
      </c>
      <c r="AR107" s="53"/>
      <c r="AS107" s="54" t="s">
        <v>292</v>
      </c>
      <c r="AT107" s="49" t="s">
        <v>185</v>
      </c>
      <c r="AU107" s="50"/>
      <c r="AV107" s="51" t="s">
        <v>171</v>
      </c>
      <c r="AW107" s="78" t="s">
        <v>185</v>
      </c>
      <c r="AX107" s="53"/>
      <c r="AY107" s="54" t="s">
        <v>172</v>
      </c>
      <c r="AZ107" s="49" t="s">
        <v>185</v>
      </c>
      <c r="BA107" s="50"/>
      <c r="BB107" s="51" t="s">
        <v>171</v>
      </c>
      <c r="BC107" s="279" t="s">
        <v>173</v>
      </c>
      <c r="BD107" s="74"/>
      <c r="BE107" s="75" t="s">
        <v>174</v>
      </c>
      <c r="BF107" s="280" t="s">
        <v>192</v>
      </c>
      <c r="BG107" s="50"/>
      <c r="BH107" s="51" t="s">
        <v>175</v>
      </c>
      <c r="BI107" s="277" t="s">
        <v>270</v>
      </c>
      <c r="BJ107" s="53"/>
      <c r="BK107" s="54" t="s">
        <v>175</v>
      </c>
      <c r="BL107" s="280" t="s">
        <v>270</v>
      </c>
      <c r="BM107" s="50"/>
      <c r="BN107" s="51" t="s">
        <v>225</v>
      </c>
    </row>
    <row r="108" customFormat="false" ht="17.25" hidden="false" customHeight="true" outlineLevel="0" collapsed="false">
      <c r="B108" s="133"/>
      <c r="C108" s="160"/>
      <c r="D108" s="144"/>
      <c r="E108" s="145" t="s">
        <v>70</v>
      </c>
      <c r="F108" s="146"/>
      <c r="G108" s="78" t="s">
        <v>155</v>
      </c>
      <c r="H108" s="53"/>
      <c r="I108" s="54" t="s">
        <v>155</v>
      </c>
      <c r="J108" s="49" t="s">
        <v>46</v>
      </c>
      <c r="K108" s="50"/>
      <c r="L108" s="154" t="s">
        <v>46</v>
      </c>
      <c r="M108" s="78" t="s">
        <v>46</v>
      </c>
      <c r="N108" s="53"/>
      <c r="O108" s="153" t="s">
        <v>46</v>
      </c>
      <c r="P108" s="78" t="s">
        <v>46</v>
      </c>
      <c r="Q108" s="53"/>
      <c r="R108" s="54" t="s">
        <v>46</v>
      </c>
      <c r="S108" s="276" t="s">
        <v>278</v>
      </c>
      <c r="T108" s="50"/>
      <c r="U108" s="51" t="s">
        <v>279</v>
      </c>
      <c r="V108" s="277" t="s">
        <v>280</v>
      </c>
      <c r="W108" s="53"/>
      <c r="X108" s="54" t="s">
        <v>158</v>
      </c>
      <c r="Y108" s="280" t="s">
        <v>181</v>
      </c>
      <c r="Z108" s="50"/>
      <c r="AA108" s="57" t="s">
        <v>161</v>
      </c>
      <c r="AB108" s="277" t="s">
        <v>181</v>
      </c>
      <c r="AC108" s="53"/>
      <c r="AD108" s="54" t="s">
        <v>161</v>
      </c>
      <c r="AE108" s="49" t="s">
        <v>281</v>
      </c>
      <c r="AF108" s="50"/>
      <c r="AG108" s="51" t="s">
        <v>282</v>
      </c>
      <c r="AH108" s="78" t="s">
        <v>283</v>
      </c>
      <c r="AI108" s="53"/>
      <c r="AJ108" s="54" t="s">
        <v>284</v>
      </c>
      <c r="AK108" s="286" t="s">
        <v>285</v>
      </c>
      <c r="AL108" s="109"/>
      <c r="AM108" s="87" t="s">
        <v>184</v>
      </c>
      <c r="AN108" s="55" t="s">
        <v>287</v>
      </c>
      <c r="AO108" s="50"/>
      <c r="AP108" s="51" t="s">
        <v>291</v>
      </c>
      <c r="AQ108" s="279" t="s">
        <v>288</v>
      </c>
      <c r="AR108" s="53"/>
      <c r="AS108" s="54" t="s">
        <v>292</v>
      </c>
      <c r="AT108" s="49" t="s">
        <v>185</v>
      </c>
      <c r="AU108" s="50"/>
      <c r="AV108" s="51" t="s">
        <v>171</v>
      </c>
      <c r="AW108" s="78" t="s">
        <v>185</v>
      </c>
      <c r="AX108" s="53"/>
      <c r="AY108" s="54" t="s">
        <v>172</v>
      </c>
      <c r="AZ108" s="49" t="s">
        <v>185</v>
      </c>
      <c r="BA108" s="50"/>
      <c r="BB108" s="51" t="s">
        <v>171</v>
      </c>
      <c r="BC108" s="279" t="s">
        <v>173</v>
      </c>
      <c r="BD108" s="74"/>
      <c r="BE108" s="75" t="s">
        <v>174</v>
      </c>
      <c r="BF108" s="280" t="s">
        <v>192</v>
      </c>
      <c r="BG108" s="50"/>
      <c r="BH108" s="51" t="s">
        <v>175</v>
      </c>
      <c r="BI108" s="277" t="s">
        <v>270</v>
      </c>
      <c r="BJ108" s="53"/>
      <c r="BK108" s="54" t="s">
        <v>175</v>
      </c>
      <c r="BL108" s="280" t="s">
        <v>270</v>
      </c>
      <c r="BM108" s="50"/>
      <c r="BN108" s="51" t="s">
        <v>225</v>
      </c>
    </row>
    <row r="109" customFormat="false" ht="17.25" hidden="false" customHeight="true" outlineLevel="0" collapsed="false">
      <c r="B109" s="133"/>
      <c r="C109" s="160"/>
      <c r="D109" s="144" t="s">
        <v>74</v>
      </c>
      <c r="E109" s="145" t="s">
        <v>67</v>
      </c>
      <c r="F109" s="146" t="s">
        <v>75</v>
      </c>
      <c r="G109" s="78" t="s">
        <v>155</v>
      </c>
      <c r="H109" s="53"/>
      <c r="I109" s="54" t="s">
        <v>155</v>
      </c>
      <c r="J109" s="49" t="s">
        <v>46</v>
      </c>
      <c r="K109" s="50"/>
      <c r="L109" s="154" t="s">
        <v>46</v>
      </c>
      <c r="M109" s="78" t="s">
        <v>46</v>
      </c>
      <c r="N109" s="53"/>
      <c r="O109" s="153" t="s">
        <v>46</v>
      </c>
      <c r="P109" s="78" t="s">
        <v>46</v>
      </c>
      <c r="Q109" s="53"/>
      <c r="R109" s="54" t="s">
        <v>46</v>
      </c>
      <c r="S109" s="276" t="s">
        <v>278</v>
      </c>
      <c r="T109" s="50"/>
      <c r="U109" s="51" t="s">
        <v>279</v>
      </c>
      <c r="V109" s="277" t="s">
        <v>280</v>
      </c>
      <c r="W109" s="53"/>
      <c r="X109" s="54" t="s">
        <v>158</v>
      </c>
      <c r="Y109" s="280" t="s">
        <v>181</v>
      </c>
      <c r="Z109" s="50"/>
      <c r="AA109" s="57" t="s">
        <v>161</v>
      </c>
      <c r="AB109" s="277" t="s">
        <v>181</v>
      </c>
      <c r="AC109" s="53"/>
      <c r="AD109" s="54" t="s">
        <v>161</v>
      </c>
      <c r="AE109" s="49" t="s">
        <v>281</v>
      </c>
      <c r="AF109" s="50"/>
      <c r="AG109" s="51" t="s">
        <v>282</v>
      </c>
      <c r="AH109" s="78" t="s">
        <v>283</v>
      </c>
      <c r="AI109" s="53"/>
      <c r="AJ109" s="54" t="s">
        <v>284</v>
      </c>
      <c r="AK109" s="286" t="s">
        <v>285</v>
      </c>
      <c r="AL109" s="109"/>
      <c r="AM109" s="87" t="s">
        <v>184</v>
      </c>
      <c r="AN109" s="55" t="s">
        <v>287</v>
      </c>
      <c r="AO109" s="50"/>
      <c r="AP109" s="51" t="s">
        <v>291</v>
      </c>
      <c r="AQ109" s="279" t="s">
        <v>288</v>
      </c>
      <c r="AR109" s="53"/>
      <c r="AS109" s="54" t="s">
        <v>292</v>
      </c>
      <c r="AT109" s="49" t="s">
        <v>185</v>
      </c>
      <c r="AU109" s="50"/>
      <c r="AV109" s="51" t="s">
        <v>171</v>
      </c>
      <c r="AW109" s="78" t="s">
        <v>185</v>
      </c>
      <c r="AX109" s="53"/>
      <c r="AY109" s="54" t="s">
        <v>172</v>
      </c>
      <c r="AZ109" s="49" t="s">
        <v>185</v>
      </c>
      <c r="BA109" s="50"/>
      <c r="BB109" s="51" t="s">
        <v>171</v>
      </c>
      <c r="BC109" s="279" t="s">
        <v>173</v>
      </c>
      <c r="BD109" s="74"/>
      <c r="BE109" s="75" t="s">
        <v>174</v>
      </c>
      <c r="BF109" s="280" t="s">
        <v>192</v>
      </c>
      <c r="BG109" s="50"/>
      <c r="BH109" s="51" t="s">
        <v>175</v>
      </c>
      <c r="BI109" s="277" t="s">
        <v>270</v>
      </c>
      <c r="BJ109" s="53"/>
      <c r="BK109" s="54" t="s">
        <v>175</v>
      </c>
      <c r="BL109" s="280" t="s">
        <v>270</v>
      </c>
      <c r="BM109" s="50"/>
      <c r="BN109" s="51" t="s">
        <v>225</v>
      </c>
    </row>
    <row r="110" customFormat="false" ht="17.25" hidden="false" customHeight="true" outlineLevel="0" collapsed="false">
      <c r="B110" s="133"/>
      <c r="C110" s="160"/>
      <c r="D110" s="144"/>
      <c r="E110" s="145" t="s">
        <v>68</v>
      </c>
      <c r="F110" s="146"/>
      <c r="G110" s="78" t="s">
        <v>155</v>
      </c>
      <c r="H110" s="53"/>
      <c r="I110" s="54" t="s">
        <v>155</v>
      </c>
      <c r="J110" s="49" t="s">
        <v>46</v>
      </c>
      <c r="K110" s="50"/>
      <c r="L110" s="154" t="s">
        <v>46</v>
      </c>
      <c r="M110" s="78" t="s">
        <v>46</v>
      </c>
      <c r="N110" s="53"/>
      <c r="O110" s="153" t="s">
        <v>46</v>
      </c>
      <c r="P110" s="78" t="s">
        <v>46</v>
      </c>
      <c r="Q110" s="53"/>
      <c r="R110" s="54" t="s">
        <v>46</v>
      </c>
      <c r="S110" s="276" t="s">
        <v>278</v>
      </c>
      <c r="T110" s="50"/>
      <c r="U110" s="51" t="s">
        <v>279</v>
      </c>
      <c r="V110" s="277" t="s">
        <v>280</v>
      </c>
      <c r="W110" s="53"/>
      <c r="X110" s="54" t="s">
        <v>158</v>
      </c>
      <c r="Y110" s="280" t="s">
        <v>181</v>
      </c>
      <c r="Z110" s="50"/>
      <c r="AA110" s="57" t="s">
        <v>161</v>
      </c>
      <c r="AB110" s="277" t="s">
        <v>181</v>
      </c>
      <c r="AC110" s="53"/>
      <c r="AD110" s="54" t="s">
        <v>161</v>
      </c>
      <c r="AE110" s="49" t="s">
        <v>281</v>
      </c>
      <c r="AF110" s="50"/>
      <c r="AG110" s="51" t="s">
        <v>282</v>
      </c>
      <c r="AH110" s="78" t="s">
        <v>283</v>
      </c>
      <c r="AI110" s="53"/>
      <c r="AJ110" s="54" t="s">
        <v>284</v>
      </c>
      <c r="AK110" s="286" t="s">
        <v>285</v>
      </c>
      <c r="AL110" s="109"/>
      <c r="AM110" s="87" t="s">
        <v>184</v>
      </c>
      <c r="AN110" s="55" t="s">
        <v>287</v>
      </c>
      <c r="AO110" s="50"/>
      <c r="AP110" s="51" t="s">
        <v>291</v>
      </c>
      <c r="AQ110" s="279" t="s">
        <v>288</v>
      </c>
      <c r="AR110" s="53"/>
      <c r="AS110" s="54" t="s">
        <v>292</v>
      </c>
      <c r="AT110" s="49" t="s">
        <v>185</v>
      </c>
      <c r="AU110" s="50"/>
      <c r="AV110" s="51" t="s">
        <v>171</v>
      </c>
      <c r="AW110" s="78" t="s">
        <v>185</v>
      </c>
      <c r="AX110" s="53"/>
      <c r="AY110" s="54" t="s">
        <v>172</v>
      </c>
      <c r="AZ110" s="49" t="s">
        <v>185</v>
      </c>
      <c r="BA110" s="50"/>
      <c r="BB110" s="51" t="s">
        <v>171</v>
      </c>
      <c r="BC110" s="279" t="s">
        <v>173</v>
      </c>
      <c r="BD110" s="74"/>
      <c r="BE110" s="75" t="s">
        <v>174</v>
      </c>
      <c r="BF110" s="280" t="s">
        <v>192</v>
      </c>
      <c r="BG110" s="50"/>
      <c r="BH110" s="51" t="s">
        <v>175</v>
      </c>
      <c r="BI110" s="277" t="s">
        <v>270</v>
      </c>
      <c r="BJ110" s="53"/>
      <c r="BK110" s="54" t="s">
        <v>175</v>
      </c>
      <c r="BL110" s="280" t="s">
        <v>270</v>
      </c>
      <c r="BM110" s="50"/>
      <c r="BN110" s="51" t="s">
        <v>225</v>
      </c>
    </row>
    <row r="111" customFormat="false" ht="17.25" hidden="false" customHeight="true" outlineLevel="0" collapsed="false">
      <c r="B111" s="133"/>
      <c r="C111" s="160"/>
      <c r="D111" s="144"/>
      <c r="E111" s="145" t="s">
        <v>69</v>
      </c>
      <c r="F111" s="146"/>
      <c r="G111" s="78" t="s">
        <v>155</v>
      </c>
      <c r="H111" s="53"/>
      <c r="I111" s="54" t="s">
        <v>155</v>
      </c>
      <c r="J111" s="49" t="s">
        <v>46</v>
      </c>
      <c r="K111" s="50"/>
      <c r="L111" s="154" t="s">
        <v>46</v>
      </c>
      <c r="M111" s="78" t="s">
        <v>46</v>
      </c>
      <c r="N111" s="53"/>
      <c r="O111" s="153" t="s">
        <v>46</v>
      </c>
      <c r="P111" s="78" t="s">
        <v>46</v>
      </c>
      <c r="Q111" s="53"/>
      <c r="R111" s="54" t="s">
        <v>46</v>
      </c>
      <c r="S111" s="276" t="s">
        <v>278</v>
      </c>
      <c r="T111" s="50"/>
      <c r="U111" s="51" t="s">
        <v>279</v>
      </c>
      <c r="V111" s="277" t="s">
        <v>280</v>
      </c>
      <c r="W111" s="53"/>
      <c r="X111" s="54" t="s">
        <v>158</v>
      </c>
      <c r="Y111" s="280" t="s">
        <v>181</v>
      </c>
      <c r="Z111" s="50"/>
      <c r="AA111" s="57" t="s">
        <v>161</v>
      </c>
      <c r="AB111" s="277" t="s">
        <v>181</v>
      </c>
      <c r="AC111" s="53"/>
      <c r="AD111" s="54" t="s">
        <v>161</v>
      </c>
      <c r="AE111" s="49" t="s">
        <v>281</v>
      </c>
      <c r="AF111" s="50"/>
      <c r="AG111" s="51" t="s">
        <v>282</v>
      </c>
      <c r="AH111" s="78" t="s">
        <v>283</v>
      </c>
      <c r="AI111" s="53"/>
      <c r="AJ111" s="54" t="s">
        <v>284</v>
      </c>
      <c r="AK111" s="286" t="s">
        <v>285</v>
      </c>
      <c r="AL111" s="109"/>
      <c r="AM111" s="87" t="s">
        <v>184</v>
      </c>
      <c r="AN111" s="55" t="s">
        <v>287</v>
      </c>
      <c r="AO111" s="50"/>
      <c r="AP111" s="51" t="s">
        <v>291</v>
      </c>
      <c r="AQ111" s="279" t="s">
        <v>288</v>
      </c>
      <c r="AR111" s="53"/>
      <c r="AS111" s="54" t="s">
        <v>292</v>
      </c>
      <c r="AT111" s="49" t="s">
        <v>185</v>
      </c>
      <c r="AU111" s="50"/>
      <c r="AV111" s="51" t="s">
        <v>171</v>
      </c>
      <c r="AW111" s="78" t="s">
        <v>185</v>
      </c>
      <c r="AX111" s="53"/>
      <c r="AY111" s="54" t="s">
        <v>172</v>
      </c>
      <c r="AZ111" s="49" t="s">
        <v>185</v>
      </c>
      <c r="BA111" s="50"/>
      <c r="BB111" s="51" t="s">
        <v>171</v>
      </c>
      <c r="BC111" s="279" t="s">
        <v>173</v>
      </c>
      <c r="BD111" s="74"/>
      <c r="BE111" s="75" t="s">
        <v>174</v>
      </c>
      <c r="BF111" s="280" t="s">
        <v>192</v>
      </c>
      <c r="BG111" s="50"/>
      <c r="BH111" s="51" t="s">
        <v>175</v>
      </c>
      <c r="BI111" s="277" t="s">
        <v>270</v>
      </c>
      <c r="BJ111" s="53"/>
      <c r="BK111" s="54" t="s">
        <v>175</v>
      </c>
      <c r="BL111" s="280" t="s">
        <v>270</v>
      </c>
      <c r="BM111" s="50"/>
      <c r="BN111" s="51" t="s">
        <v>225</v>
      </c>
    </row>
    <row r="112" customFormat="false" ht="17.25" hidden="false" customHeight="true" outlineLevel="0" collapsed="false">
      <c r="B112" s="133"/>
      <c r="C112" s="160"/>
      <c r="D112" s="144"/>
      <c r="E112" s="145" t="s">
        <v>70</v>
      </c>
      <c r="F112" s="146"/>
      <c r="G112" s="78" t="s">
        <v>155</v>
      </c>
      <c r="H112" s="53"/>
      <c r="I112" s="54" t="s">
        <v>155</v>
      </c>
      <c r="J112" s="49" t="s">
        <v>46</v>
      </c>
      <c r="K112" s="50"/>
      <c r="L112" s="154" t="s">
        <v>46</v>
      </c>
      <c r="M112" s="78" t="s">
        <v>46</v>
      </c>
      <c r="N112" s="53"/>
      <c r="O112" s="153" t="s">
        <v>46</v>
      </c>
      <c r="P112" s="78" t="s">
        <v>46</v>
      </c>
      <c r="Q112" s="53"/>
      <c r="R112" s="54" t="s">
        <v>46</v>
      </c>
      <c r="S112" s="276" t="s">
        <v>278</v>
      </c>
      <c r="T112" s="50"/>
      <c r="U112" s="51" t="s">
        <v>279</v>
      </c>
      <c r="V112" s="277" t="s">
        <v>280</v>
      </c>
      <c r="W112" s="53"/>
      <c r="X112" s="54" t="s">
        <v>158</v>
      </c>
      <c r="Y112" s="280" t="s">
        <v>181</v>
      </c>
      <c r="Z112" s="50"/>
      <c r="AA112" s="57" t="s">
        <v>161</v>
      </c>
      <c r="AB112" s="277" t="s">
        <v>181</v>
      </c>
      <c r="AC112" s="53"/>
      <c r="AD112" s="54" t="s">
        <v>161</v>
      </c>
      <c r="AE112" s="49" t="s">
        <v>281</v>
      </c>
      <c r="AF112" s="50"/>
      <c r="AG112" s="51" t="s">
        <v>282</v>
      </c>
      <c r="AH112" s="78" t="s">
        <v>283</v>
      </c>
      <c r="AI112" s="53"/>
      <c r="AJ112" s="54" t="s">
        <v>284</v>
      </c>
      <c r="AK112" s="286" t="s">
        <v>285</v>
      </c>
      <c r="AL112" s="109"/>
      <c r="AM112" s="87" t="s">
        <v>184</v>
      </c>
      <c r="AN112" s="55" t="s">
        <v>287</v>
      </c>
      <c r="AO112" s="50"/>
      <c r="AP112" s="51" t="s">
        <v>291</v>
      </c>
      <c r="AQ112" s="279" t="s">
        <v>288</v>
      </c>
      <c r="AR112" s="53"/>
      <c r="AS112" s="54" t="s">
        <v>292</v>
      </c>
      <c r="AT112" s="49" t="s">
        <v>185</v>
      </c>
      <c r="AU112" s="50"/>
      <c r="AV112" s="51" t="s">
        <v>171</v>
      </c>
      <c r="AW112" s="78" t="s">
        <v>185</v>
      </c>
      <c r="AX112" s="53"/>
      <c r="AY112" s="54" t="s">
        <v>172</v>
      </c>
      <c r="AZ112" s="49" t="s">
        <v>185</v>
      </c>
      <c r="BA112" s="50"/>
      <c r="BB112" s="51" t="s">
        <v>171</v>
      </c>
      <c r="BC112" s="279" t="s">
        <v>173</v>
      </c>
      <c r="BD112" s="74"/>
      <c r="BE112" s="75" t="s">
        <v>174</v>
      </c>
      <c r="BF112" s="280" t="s">
        <v>192</v>
      </c>
      <c r="BG112" s="50"/>
      <c r="BH112" s="51" t="s">
        <v>175</v>
      </c>
      <c r="BI112" s="277" t="s">
        <v>270</v>
      </c>
      <c r="BJ112" s="53"/>
      <c r="BK112" s="54" t="s">
        <v>175</v>
      </c>
      <c r="BL112" s="280" t="s">
        <v>270</v>
      </c>
      <c r="BM112" s="50"/>
      <c r="BN112" s="51" t="s">
        <v>225</v>
      </c>
    </row>
    <row r="113" customFormat="false" ht="17.25" hidden="false" customHeight="true" outlineLevel="0" collapsed="false">
      <c r="B113" s="133"/>
      <c r="C113" s="160"/>
      <c r="D113" s="144" t="s">
        <v>76</v>
      </c>
      <c r="E113" s="145" t="s">
        <v>67</v>
      </c>
      <c r="F113" s="146" t="s">
        <v>77</v>
      </c>
      <c r="G113" s="78" t="s">
        <v>155</v>
      </c>
      <c r="H113" s="53"/>
      <c r="I113" s="54" t="s">
        <v>155</v>
      </c>
      <c r="J113" s="49" t="s">
        <v>46</v>
      </c>
      <c r="K113" s="50"/>
      <c r="L113" s="154" t="s">
        <v>46</v>
      </c>
      <c r="M113" s="78" t="s">
        <v>46</v>
      </c>
      <c r="N113" s="53"/>
      <c r="O113" s="153" t="s">
        <v>46</v>
      </c>
      <c r="P113" s="78" t="s">
        <v>46</v>
      </c>
      <c r="Q113" s="53"/>
      <c r="R113" s="54" t="s">
        <v>46</v>
      </c>
      <c r="S113" s="276" t="s">
        <v>278</v>
      </c>
      <c r="T113" s="50"/>
      <c r="U113" s="51" t="s">
        <v>279</v>
      </c>
      <c r="V113" s="277" t="s">
        <v>280</v>
      </c>
      <c r="W113" s="53"/>
      <c r="X113" s="54" t="s">
        <v>158</v>
      </c>
      <c r="Y113" s="280" t="s">
        <v>181</v>
      </c>
      <c r="Z113" s="50"/>
      <c r="AA113" s="57" t="s">
        <v>161</v>
      </c>
      <c r="AB113" s="277" t="s">
        <v>181</v>
      </c>
      <c r="AC113" s="53"/>
      <c r="AD113" s="54" t="s">
        <v>161</v>
      </c>
      <c r="AE113" s="49" t="s">
        <v>281</v>
      </c>
      <c r="AF113" s="50"/>
      <c r="AG113" s="51" t="s">
        <v>282</v>
      </c>
      <c r="AH113" s="78" t="s">
        <v>283</v>
      </c>
      <c r="AI113" s="53"/>
      <c r="AJ113" s="54" t="s">
        <v>284</v>
      </c>
      <c r="AK113" s="286" t="s">
        <v>285</v>
      </c>
      <c r="AL113" s="109"/>
      <c r="AM113" s="87" t="s">
        <v>286</v>
      </c>
      <c r="AN113" s="55" t="s">
        <v>287</v>
      </c>
      <c r="AO113" s="50"/>
      <c r="AP113" s="51" t="s">
        <v>291</v>
      </c>
      <c r="AQ113" s="279" t="s">
        <v>288</v>
      </c>
      <c r="AR113" s="53"/>
      <c r="AS113" s="75" t="s">
        <v>169</v>
      </c>
      <c r="AT113" s="49" t="s">
        <v>185</v>
      </c>
      <c r="AU113" s="50"/>
      <c r="AV113" s="51" t="s">
        <v>171</v>
      </c>
      <c r="AW113" s="78" t="s">
        <v>185</v>
      </c>
      <c r="AX113" s="53"/>
      <c r="AY113" s="54" t="s">
        <v>172</v>
      </c>
      <c r="AZ113" s="49" t="s">
        <v>185</v>
      </c>
      <c r="BA113" s="50"/>
      <c r="BB113" s="51" t="s">
        <v>171</v>
      </c>
      <c r="BC113" s="279" t="s">
        <v>173</v>
      </c>
      <c r="BD113" s="74"/>
      <c r="BE113" s="75" t="s">
        <v>174</v>
      </c>
      <c r="BF113" s="280" t="s">
        <v>192</v>
      </c>
      <c r="BG113" s="50"/>
      <c r="BH113" s="51" t="s">
        <v>175</v>
      </c>
      <c r="BI113" s="277" t="s">
        <v>270</v>
      </c>
      <c r="BJ113" s="53"/>
      <c r="BK113" s="54" t="s">
        <v>175</v>
      </c>
      <c r="BL113" s="280" t="s">
        <v>270</v>
      </c>
      <c r="BM113" s="50"/>
      <c r="BN113" s="51" t="s">
        <v>225</v>
      </c>
    </row>
    <row r="114" customFormat="false" ht="17.25" hidden="false" customHeight="true" outlineLevel="0" collapsed="false">
      <c r="B114" s="133"/>
      <c r="C114" s="160"/>
      <c r="D114" s="144"/>
      <c r="E114" s="145" t="s">
        <v>68</v>
      </c>
      <c r="F114" s="146"/>
      <c r="G114" s="78" t="s">
        <v>155</v>
      </c>
      <c r="H114" s="53"/>
      <c r="I114" s="54" t="s">
        <v>155</v>
      </c>
      <c r="J114" s="49" t="s">
        <v>46</v>
      </c>
      <c r="K114" s="50"/>
      <c r="L114" s="154" t="s">
        <v>46</v>
      </c>
      <c r="M114" s="78" t="s">
        <v>46</v>
      </c>
      <c r="N114" s="53"/>
      <c r="O114" s="153" t="s">
        <v>46</v>
      </c>
      <c r="P114" s="78" t="s">
        <v>46</v>
      </c>
      <c r="Q114" s="53"/>
      <c r="R114" s="54" t="s">
        <v>46</v>
      </c>
      <c r="S114" s="276" t="s">
        <v>278</v>
      </c>
      <c r="T114" s="50"/>
      <c r="U114" s="51" t="s">
        <v>279</v>
      </c>
      <c r="V114" s="277" t="s">
        <v>280</v>
      </c>
      <c r="W114" s="53"/>
      <c r="X114" s="54" t="s">
        <v>158</v>
      </c>
      <c r="Y114" s="280" t="s">
        <v>181</v>
      </c>
      <c r="Z114" s="50"/>
      <c r="AA114" s="57" t="s">
        <v>161</v>
      </c>
      <c r="AB114" s="277" t="s">
        <v>181</v>
      </c>
      <c r="AC114" s="53"/>
      <c r="AD114" s="54" t="s">
        <v>161</v>
      </c>
      <c r="AE114" s="49" t="s">
        <v>281</v>
      </c>
      <c r="AF114" s="50"/>
      <c r="AG114" s="51" t="s">
        <v>282</v>
      </c>
      <c r="AH114" s="78" t="s">
        <v>283</v>
      </c>
      <c r="AI114" s="53"/>
      <c r="AJ114" s="54" t="s">
        <v>284</v>
      </c>
      <c r="AK114" s="286" t="s">
        <v>285</v>
      </c>
      <c r="AL114" s="109"/>
      <c r="AM114" s="87" t="s">
        <v>286</v>
      </c>
      <c r="AN114" s="55" t="s">
        <v>287</v>
      </c>
      <c r="AO114" s="50"/>
      <c r="AP114" s="51" t="s">
        <v>291</v>
      </c>
      <c r="AQ114" s="279" t="s">
        <v>288</v>
      </c>
      <c r="AR114" s="53"/>
      <c r="AS114" s="75" t="s">
        <v>169</v>
      </c>
      <c r="AT114" s="49" t="s">
        <v>185</v>
      </c>
      <c r="AU114" s="50"/>
      <c r="AV114" s="51" t="s">
        <v>171</v>
      </c>
      <c r="AW114" s="78" t="s">
        <v>185</v>
      </c>
      <c r="AX114" s="53"/>
      <c r="AY114" s="54" t="s">
        <v>172</v>
      </c>
      <c r="AZ114" s="49" t="s">
        <v>185</v>
      </c>
      <c r="BA114" s="50"/>
      <c r="BB114" s="51" t="s">
        <v>171</v>
      </c>
      <c r="BC114" s="279" t="s">
        <v>173</v>
      </c>
      <c r="BD114" s="74"/>
      <c r="BE114" s="75" t="s">
        <v>174</v>
      </c>
      <c r="BF114" s="280" t="s">
        <v>192</v>
      </c>
      <c r="BG114" s="50"/>
      <c r="BH114" s="51" t="s">
        <v>175</v>
      </c>
      <c r="BI114" s="277" t="s">
        <v>270</v>
      </c>
      <c r="BJ114" s="53"/>
      <c r="BK114" s="54" t="s">
        <v>175</v>
      </c>
      <c r="BL114" s="280" t="s">
        <v>270</v>
      </c>
      <c r="BM114" s="50"/>
      <c r="BN114" s="51" t="s">
        <v>225</v>
      </c>
    </row>
    <row r="115" customFormat="false" ht="17.25" hidden="false" customHeight="true" outlineLevel="0" collapsed="false">
      <c r="B115" s="133"/>
      <c r="C115" s="160"/>
      <c r="D115" s="144"/>
      <c r="E115" s="145" t="s">
        <v>69</v>
      </c>
      <c r="F115" s="146"/>
      <c r="G115" s="78" t="s">
        <v>155</v>
      </c>
      <c r="H115" s="53"/>
      <c r="I115" s="54" t="s">
        <v>155</v>
      </c>
      <c r="J115" s="49" t="s">
        <v>46</v>
      </c>
      <c r="K115" s="50"/>
      <c r="L115" s="154" t="s">
        <v>46</v>
      </c>
      <c r="M115" s="78" t="s">
        <v>46</v>
      </c>
      <c r="N115" s="53"/>
      <c r="O115" s="153" t="s">
        <v>46</v>
      </c>
      <c r="P115" s="78" t="s">
        <v>46</v>
      </c>
      <c r="Q115" s="53"/>
      <c r="R115" s="54" t="s">
        <v>46</v>
      </c>
      <c r="S115" s="276" t="s">
        <v>278</v>
      </c>
      <c r="T115" s="50"/>
      <c r="U115" s="51" t="s">
        <v>279</v>
      </c>
      <c r="V115" s="277" t="s">
        <v>280</v>
      </c>
      <c r="W115" s="53"/>
      <c r="X115" s="54" t="s">
        <v>158</v>
      </c>
      <c r="Y115" s="280" t="s">
        <v>181</v>
      </c>
      <c r="Z115" s="50"/>
      <c r="AA115" s="57" t="s">
        <v>161</v>
      </c>
      <c r="AB115" s="277" t="s">
        <v>181</v>
      </c>
      <c r="AC115" s="53"/>
      <c r="AD115" s="54" t="s">
        <v>161</v>
      </c>
      <c r="AE115" s="49" t="s">
        <v>281</v>
      </c>
      <c r="AF115" s="50"/>
      <c r="AG115" s="51" t="s">
        <v>282</v>
      </c>
      <c r="AH115" s="78" t="s">
        <v>283</v>
      </c>
      <c r="AI115" s="53"/>
      <c r="AJ115" s="54" t="s">
        <v>284</v>
      </c>
      <c r="AK115" s="286" t="s">
        <v>285</v>
      </c>
      <c r="AL115" s="109"/>
      <c r="AM115" s="87" t="s">
        <v>286</v>
      </c>
      <c r="AN115" s="55" t="s">
        <v>287</v>
      </c>
      <c r="AO115" s="50"/>
      <c r="AP115" s="51" t="s">
        <v>291</v>
      </c>
      <c r="AQ115" s="279" t="s">
        <v>288</v>
      </c>
      <c r="AR115" s="53"/>
      <c r="AS115" s="75" t="s">
        <v>169</v>
      </c>
      <c r="AT115" s="49" t="s">
        <v>185</v>
      </c>
      <c r="AU115" s="50"/>
      <c r="AV115" s="51" t="s">
        <v>171</v>
      </c>
      <c r="AW115" s="78" t="s">
        <v>185</v>
      </c>
      <c r="AX115" s="53"/>
      <c r="AY115" s="54" t="s">
        <v>172</v>
      </c>
      <c r="AZ115" s="49" t="s">
        <v>185</v>
      </c>
      <c r="BA115" s="50"/>
      <c r="BB115" s="51" t="s">
        <v>171</v>
      </c>
      <c r="BC115" s="279" t="s">
        <v>173</v>
      </c>
      <c r="BD115" s="74"/>
      <c r="BE115" s="75" t="s">
        <v>174</v>
      </c>
      <c r="BF115" s="280" t="s">
        <v>192</v>
      </c>
      <c r="BG115" s="50"/>
      <c r="BH115" s="51" t="s">
        <v>175</v>
      </c>
      <c r="BI115" s="277" t="s">
        <v>270</v>
      </c>
      <c r="BJ115" s="53"/>
      <c r="BK115" s="54" t="s">
        <v>175</v>
      </c>
      <c r="BL115" s="280" t="s">
        <v>270</v>
      </c>
      <c r="BM115" s="50"/>
      <c r="BN115" s="51" t="s">
        <v>225</v>
      </c>
    </row>
    <row r="116" customFormat="false" ht="17.25" hidden="false" customHeight="true" outlineLevel="0" collapsed="false">
      <c r="B116" s="133"/>
      <c r="C116" s="160"/>
      <c r="D116" s="144"/>
      <c r="E116" s="145" t="s">
        <v>70</v>
      </c>
      <c r="F116" s="146"/>
      <c r="G116" s="78" t="s">
        <v>155</v>
      </c>
      <c r="H116" s="53"/>
      <c r="I116" s="54" t="s">
        <v>155</v>
      </c>
      <c r="J116" s="49" t="s">
        <v>46</v>
      </c>
      <c r="K116" s="50"/>
      <c r="L116" s="154" t="s">
        <v>46</v>
      </c>
      <c r="M116" s="78" t="s">
        <v>46</v>
      </c>
      <c r="N116" s="53"/>
      <c r="O116" s="153" t="s">
        <v>46</v>
      </c>
      <c r="P116" s="78" t="s">
        <v>46</v>
      </c>
      <c r="Q116" s="53"/>
      <c r="R116" s="54" t="s">
        <v>46</v>
      </c>
      <c r="S116" s="276" t="s">
        <v>278</v>
      </c>
      <c r="T116" s="50"/>
      <c r="U116" s="51" t="s">
        <v>279</v>
      </c>
      <c r="V116" s="277" t="s">
        <v>280</v>
      </c>
      <c r="W116" s="53"/>
      <c r="X116" s="54" t="s">
        <v>158</v>
      </c>
      <c r="Y116" s="280" t="s">
        <v>181</v>
      </c>
      <c r="Z116" s="50"/>
      <c r="AA116" s="57" t="s">
        <v>161</v>
      </c>
      <c r="AB116" s="277" t="s">
        <v>181</v>
      </c>
      <c r="AC116" s="53"/>
      <c r="AD116" s="54" t="s">
        <v>161</v>
      </c>
      <c r="AE116" s="49" t="s">
        <v>281</v>
      </c>
      <c r="AF116" s="50"/>
      <c r="AG116" s="51" t="s">
        <v>282</v>
      </c>
      <c r="AH116" s="78" t="s">
        <v>283</v>
      </c>
      <c r="AI116" s="53"/>
      <c r="AJ116" s="54" t="s">
        <v>284</v>
      </c>
      <c r="AK116" s="286" t="s">
        <v>285</v>
      </c>
      <c r="AL116" s="109"/>
      <c r="AM116" s="87" t="s">
        <v>286</v>
      </c>
      <c r="AN116" s="55" t="s">
        <v>287</v>
      </c>
      <c r="AO116" s="50"/>
      <c r="AP116" s="51" t="s">
        <v>291</v>
      </c>
      <c r="AQ116" s="279" t="s">
        <v>288</v>
      </c>
      <c r="AR116" s="53"/>
      <c r="AS116" s="75" t="s">
        <v>169</v>
      </c>
      <c r="AT116" s="49" t="s">
        <v>185</v>
      </c>
      <c r="AU116" s="50"/>
      <c r="AV116" s="51" t="s">
        <v>171</v>
      </c>
      <c r="AW116" s="78" t="s">
        <v>185</v>
      </c>
      <c r="AX116" s="53"/>
      <c r="AY116" s="54" t="s">
        <v>172</v>
      </c>
      <c r="AZ116" s="49" t="s">
        <v>185</v>
      </c>
      <c r="BA116" s="50"/>
      <c r="BB116" s="51" t="s">
        <v>171</v>
      </c>
      <c r="BC116" s="279" t="s">
        <v>173</v>
      </c>
      <c r="BD116" s="74"/>
      <c r="BE116" s="75" t="s">
        <v>174</v>
      </c>
      <c r="BF116" s="280" t="s">
        <v>192</v>
      </c>
      <c r="BG116" s="50"/>
      <c r="BH116" s="51" t="s">
        <v>175</v>
      </c>
      <c r="BI116" s="277" t="s">
        <v>270</v>
      </c>
      <c r="BJ116" s="53"/>
      <c r="BK116" s="54" t="s">
        <v>175</v>
      </c>
      <c r="BL116" s="280" t="s">
        <v>270</v>
      </c>
      <c r="BM116" s="50"/>
      <c r="BN116" s="51" t="s">
        <v>225</v>
      </c>
    </row>
    <row r="117" customFormat="false" ht="17.25" hidden="false" customHeight="true" outlineLevel="0" collapsed="false">
      <c r="B117" s="133"/>
      <c r="C117" s="160"/>
      <c r="D117" s="144" t="s">
        <v>78</v>
      </c>
      <c r="E117" s="145" t="s">
        <v>67</v>
      </c>
      <c r="F117" s="146" t="s">
        <v>79</v>
      </c>
      <c r="G117" s="78" t="s">
        <v>155</v>
      </c>
      <c r="H117" s="53"/>
      <c r="I117" s="54" t="s">
        <v>155</v>
      </c>
      <c r="J117" s="49" t="s">
        <v>46</v>
      </c>
      <c r="K117" s="50"/>
      <c r="L117" s="154" t="s">
        <v>46</v>
      </c>
      <c r="M117" s="78" t="s">
        <v>46</v>
      </c>
      <c r="N117" s="53"/>
      <c r="O117" s="153" t="s">
        <v>46</v>
      </c>
      <c r="P117" s="78" t="s">
        <v>46</v>
      </c>
      <c r="Q117" s="53"/>
      <c r="R117" s="54" t="s">
        <v>46</v>
      </c>
      <c r="S117" s="276" t="s">
        <v>278</v>
      </c>
      <c r="T117" s="50"/>
      <c r="U117" s="51" t="s">
        <v>279</v>
      </c>
      <c r="V117" s="277" t="s">
        <v>280</v>
      </c>
      <c r="W117" s="53"/>
      <c r="X117" s="54" t="s">
        <v>158</v>
      </c>
      <c r="Y117" s="280" t="s">
        <v>181</v>
      </c>
      <c r="Z117" s="50"/>
      <c r="AA117" s="57" t="s">
        <v>161</v>
      </c>
      <c r="AB117" s="277" t="s">
        <v>181</v>
      </c>
      <c r="AC117" s="53"/>
      <c r="AD117" s="54" t="s">
        <v>161</v>
      </c>
      <c r="AE117" s="49" t="s">
        <v>281</v>
      </c>
      <c r="AF117" s="50"/>
      <c r="AG117" s="51" t="s">
        <v>282</v>
      </c>
      <c r="AH117" s="78" t="s">
        <v>283</v>
      </c>
      <c r="AI117" s="53"/>
      <c r="AJ117" s="54" t="s">
        <v>284</v>
      </c>
      <c r="AK117" s="286" t="s">
        <v>285</v>
      </c>
      <c r="AL117" s="109"/>
      <c r="AM117" s="87" t="s">
        <v>286</v>
      </c>
      <c r="AN117" s="55" t="s">
        <v>287</v>
      </c>
      <c r="AO117" s="50"/>
      <c r="AP117" s="51" t="s">
        <v>291</v>
      </c>
      <c r="AQ117" s="279" t="s">
        <v>288</v>
      </c>
      <c r="AR117" s="53"/>
      <c r="AS117" s="75" t="s">
        <v>169</v>
      </c>
      <c r="AT117" s="49" t="s">
        <v>185</v>
      </c>
      <c r="AU117" s="50"/>
      <c r="AV117" s="51" t="s">
        <v>171</v>
      </c>
      <c r="AW117" s="78" t="s">
        <v>185</v>
      </c>
      <c r="AX117" s="53"/>
      <c r="AY117" s="54" t="s">
        <v>172</v>
      </c>
      <c r="AZ117" s="49" t="s">
        <v>185</v>
      </c>
      <c r="BA117" s="50"/>
      <c r="BB117" s="51" t="s">
        <v>171</v>
      </c>
      <c r="BC117" s="279" t="s">
        <v>173</v>
      </c>
      <c r="BD117" s="74"/>
      <c r="BE117" s="75" t="s">
        <v>174</v>
      </c>
      <c r="BF117" s="280" t="s">
        <v>192</v>
      </c>
      <c r="BG117" s="50"/>
      <c r="BH117" s="51" t="s">
        <v>175</v>
      </c>
      <c r="BI117" s="277" t="s">
        <v>270</v>
      </c>
      <c r="BJ117" s="53"/>
      <c r="BK117" s="54" t="s">
        <v>175</v>
      </c>
      <c r="BL117" s="280" t="s">
        <v>270</v>
      </c>
      <c r="BM117" s="50"/>
      <c r="BN117" s="51" t="s">
        <v>225</v>
      </c>
    </row>
    <row r="118" customFormat="false" ht="17.25" hidden="false" customHeight="true" outlineLevel="0" collapsed="false">
      <c r="B118" s="133"/>
      <c r="C118" s="160"/>
      <c r="D118" s="144"/>
      <c r="E118" s="145" t="s">
        <v>68</v>
      </c>
      <c r="F118" s="146"/>
      <c r="G118" s="78" t="s">
        <v>155</v>
      </c>
      <c r="H118" s="53"/>
      <c r="I118" s="54" t="s">
        <v>155</v>
      </c>
      <c r="J118" s="49" t="s">
        <v>46</v>
      </c>
      <c r="K118" s="50"/>
      <c r="L118" s="154" t="s">
        <v>46</v>
      </c>
      <c r="M118" s="78" t="s">
        <v>46</v>
      </c>
      <c r="N118" s="53"/>
      <c r="O118" s="153" t="s">
        <v>46</v>
      </c>
      <c r="P118" s="78" t="s">
        <v>46</v>
      </c>
      <c r="Q118" s="53"/>
      <c r="R118" s="54" t="s">
        <v>46</v>
      </c>
      <c r="S118" s="276" t="s">
        <v>278</v>
      </c>
      <c r="T118" s="50"/>
      <c r="U118" s="51" t="s">
        <v>279</v>
      </c>
      <c r="V118" s="277" t="s">
        <v>280</v>
      </c>
      <c r="W118" s="53"/>
      <c r="X118" s="54" t="s">
        <v>158</v>
      </c>
      <c r="Y118" s="280" t="s">
        <v>181</v>
      </c>
      <c r="Z118" s="50"/>
      <c r="AA118" s="57" t="s">
        <v>161</v>
      </c>
      <c r="AB118" s="277" t="s">
        <v>181</v>
      </c>
      <c r="AC118" s="53"/>
      <c r="AD118" s="54" t="s">
        <v>161</v>
      </c>
      <c r="AE118" s="49" t="s">
        <v>281</v>
      </c>
      <c r="AF118" s="50"/>
      <c r="AG118" s="51" t="s">
        <v>282</v>
      </c>
      <c r="AH118" s="78" t="s">
        <v>283</v>
      </c>
      <c r="AI118" s="53"/>
      <c r="AJ118" s="54" t="s">
        <v>284</v>
      </c>
      <c r="AK118" s="286" t="s">
        <v>285</v>
      </c>
      <c r="AL118" s="109"/>
      <c r="AM118" s="87" t="s">
        <v>286</v>
      </c>
      <c r="AN118" s="55" t="s">
        <v>287</v>
      </c>
      <c r="AO118" s="50"/>
      <c r="AP118" s="51" t="s">
        <v>291</v>
      </c>
      <c r="AQ118" s="279" t="s">
        <v>288</v>
      </c>
      <c r="AR118" s="53"/>
      <c r="AS118" s="75" t="s">
        <v>169</v>
      </c>
      <c r="AT118" s="49" t="s">
        <v>185</v>
      </c>
      <c r="AU118" s="50"/>
      <c r="AV118" s="51" t="s">
        <v>171</v>
      </c>
      <c r="AW118" s="78" t="s">
        <v>185</v>
      </c>
      <c r="AX118" s="53"/>
      <c r="AY118" s="54" t="s">
        <v>172</v>
      </c>
      <c r="AZ118" s="49" t="s">
        <v>185</v>
      </c>
      <c r="BA118" s="50"/>
      <c r="BB118" s="51" t="s">
        <v>171</v>
      </c>
      <c r="BC118" s="279" t="s">
        <v>173</v>
      </c>
      <c r="BD118" s="74"/>
      <c r="BE118" s="75" t="s">
        <v>174</v>
      </c>
      <c r="BF118" s="280" t="s">
        <v>192</v>
      </c>
      <c r="BG118" s="50"/>
      <c r="BH118" s="51" t="s">
        <v>175</v>
      </c>
      <c r="BI118" s="277" t="s">
        <v>270</v>
      </c>
      <c r="BJ118" s="53"/>
      <c r="BK118" s="54" t="s">
        <v>175</v>
      </c>
      <c r="BL118" s="280" t="s">
        <v>270</v>
      </c>
      <c r="BM118" s="50"/>
      <c r="BN118" s="51" t="s">
        <v>225</v>
      </c>
    </row>
    <row r="119" customFormat="false" ht="17.25" hidden="false" customHeight="true" outlineLevel="0" collapsed="false">
      <c r="B119" s="133"/>
      <c r="C119" s="160"/>
      <c r="D119" s="144"/>
      <c r="E119" s="145" t="s">
        <v>69</v>
      </c>
      <c r="F119" s="146"/>
      <c r="G119" s="78" t="s">
        <v>155</v>
      </c>
      <c r="H119" s="53"/>
      <c r="I119" s="54" t="s">
        <v>155</v>
      </c>
      <c r="J119" s="49" t="s">
        <v>46</v>
      </c>
      <c r="K119" s="50"/>
      <c r="L119" s="154" t="s">
        <v>46</v>
      </c>
      <c r="M119" s="78" t="s">
        <v>46</v>
      </c>
      <c r="N119" s="53"/>
      <c r="O119" s="153" t="s">
        <v>46</v>
      </c>
      <c r="P119" s="78" t="s">
        <v>46</v>
      </c>
      <c r="Q119" s="53"/>
      <c r="R119" s="54" t="s">
        <v>46</v>
      </c>
      <c r="S119" s="276" t="s">
        <v>278</v>
      </c>
      <c r="T119" s="50"/>
      <c r="U119" s="51" t="s">
        <v>279</v>
      </c>
      <c r="V119" s="277" t="s">
        <v>280</v>
      </c>
      <c r="W119" s="53"/>
      <c r="X119" s="54" t="s">
        <v>158</v>
      </c>
      <c r="Y119" s="280" t="s">
        <v>181</v>
      </c>
      <c r="Z119" s="50"/>
      <c r="AA119" s="57" t="s">
        <v>161</v>
      </c>
      <c r="AB119" s="277" t="s">
        <v>181</v>
      </c>
      <c r="AC119" s="53"/>
      <c r="AD119" s="54" t="s">
        <v>161</v>
      </c>
      <c r="AE119" s="49" t="s">
        <v>281</v>
      </c>
      <c r="AF119" s="50"/>
      <c r="AG119" s="51" t="s">
        <v>282</v>
      </c>
      <c r="AH119" s="78" t="s">
        <v>283</v>
      </c>
      <c r="AI119" s="53"/>
      <c r="AJ119" s="54" t="s">
        <v>284</v>
      </c>
      <c r="AK119" s="286" t="s">
        <v>285</v>
      </c>
      <c r="AL119" s="109"/>
      <c r="AM119" s="87" t="s">
        <v>286</v>
      </c>
      <c r="AN119" s="55" t="s">
        <v>287</v>
      </c>
      <c r="AO119" s="50"/>
      <c r="AP119" s="51" t="s">
        <v>291</v>
      </c>
      <c r="AQ119" s="279" t="s">
        <v>288</v>
      </c>
      <c r="AR119" s="53"/>
      <c r="AS119" s="75" t="s">
        <v>169</v>
      </c>
      <c r="AT119" s="49" t="s">
        <v>185</v>
      </c>
      <c r="AU119" s="50"/>
      <c r="AV119" s="51" t="s">
        <v>171</v>
      </c>
      <c r="AW119" s="78" t="s">
        <v>185</v>
      </c>
      <c r="AX119" s="53"/>
      <c r="AY119" s="54" t="s">
        <v>172</v>
      </c>
      <c r="AZ119" s="49" t="s">
        <v>185</v>
      </c>
      <c r="BA119" s="50"/>
      <c r="BB119" s="51" t="s">
        <v>171</v>
      </c>
      <c r="BC119" s="279" t="s">
        <v>173</v>
      </c>
      <c r="BD119" s="74"/>
      <c r="BE119" s="75" t="s">
        <v>174</v>
      </c>
      <c r="BF119" s="280" t="s">
        <v>192</v>
      </c>
      <c r="BG119" s="50"/>
      <c r="BH119" s="51" t="s">
        <v>175</v>
      </c>
      <c r="BI119" s="277" t="s">
        <v>270</v>
      </c>
      <c r="BJ119" s="53"/>
      <c r="BK119" s="54" t="s">
        <v>175</v>
      </c>
      <c r="BL119" s="280" t="s">
        <v>270</v>
      </c>
      <c r="BM119" s="50"/>
      <c r="BN119" s="51" t="s">
        <v>225</v>
      </c>
    </row>
    <row r="120" customFormat="false" ht="17.25" hidden="false" customHeight="true" outlineLevel="0" collapsed="false">
      <c r="B120" s="133"/>
      <c r="C120" s="160"/>
      <c r="D120" s="144"/>
      <c r="E120" s="145" t="s">
        <v>70</v>
      </c>
      <c r="F120" s="146"/>
      <c r="G120" s="78" t="s">
        <v>155</v>
      </c>
      <c r="H120" s="53"/>
      <c r="I120" s="54" t="s">
        <v>155</v>
      </c>
      <c r="J120" s="49" t="s">
        <v>46</v>
      </c>
      <c r="K120" s="50"/>
      <c r="L120" s="154" t="s">
        <v>46</v>
      </c>
      <c r="M120" s="78" t="s">
        <v>46</v>
      </c>
      <c r="N120" s="53"/>
      <c r="O120" s="153" t="s">
        <v>46</v>
      </c>
      <c r="P120" s="78" t="s">
        <v>46</v>
      </c>
      <c r="Q120" s="53"/>
      <c r="R120" s="54" t="s">
        <v>46</v>
      </c>
      <c r="S120" s="276" t="s">
        <v>278</v>
      </c>
      <c r="T120" s="50"/>
      <c r="U120" s="51" t="s">
        <v>279</v>
      </c>
      <c r="V120" s="277" t="s">
        <v>280</v>
      </c>
      <c r="W120" s="53"/>
      <c r="X120" s="54" t="s">
        <v>158</v>
      </c>
      <c r="Y120" s="280" t="s">
        <v>181</v>
      </c>
      <c r="Z120" s="50"/>
      <c r="AA120" s="57" t="s">
        <v>161</v>
      </c>
      <c r="AB120" s="277" t="s">
        <v>181</v>
      </c>
      <c r="AC120" s="53"/>
      <c r="AD120" s="54" t="s">
        <v>161</v>
      </c>
      <c r="AE120" s="49" t="s">
        <v>281</v>
      </c>
      <c r="AF120" s="50"/>
      <c r="AG120" s="51" t="s">
        <v>282</v>
      </c>
      <c r="AH120" s="78" t="s">
        <v>283</v>
      </c>
      <c r="AI120" s="53"/>
      <c r="AJ120" s="54" t="s">
        <v>284</v>
      </c>
      <c r="AK120" s="286" t="s">
        <v>285</v>
      </c>
      <c r="AL120" s="109"/>
      <c r="AM120" s="87" t="s">
        <v>286</v>
      </c>
      <c r="AN120" s="55" t="s">
        <v>287</v>
      </c>
      <c r="AO120" s="50"/>
      <c r="AP120" s="51" t="s">
        <v>291</v>
      </c>
      <c r="AQ120" s="279" t="s">
        <v>288</v>
      </c>
      <c r="AR120" s="53"/>
      <c r="AS120" s="75" t="s">
        <v>169</v>
      </c>
      <c r="AT120" s="49" t="s">
        <v>185</v>
      </c>
      <c r="AU120" s="50"/>
      <c r="AV120" s="51" t="s">
        <v>171</v>
      </c>
      <c r="AW120" s="78" t="s">
        <v>185</v>
      </c>
      <c r="AX120" s="53"/>
      <c r="AY120" s="54" t="s">
        <v>172</v>
      </c>
      <c r="AZ120" s="49" t="s">
        <v>185</v>
      </c>
      <c r="BA120" s="50"/>
      <c r="BB120" s="51" t="s">
        <v>171</v>
      </c>
      <c r="BC120" s="279" t="s">
        <v>173</v>
      </c>
      <c r="BD120" s="74"/>
      <c r="BE120" s="75" t="s">
        <v>174</v>
      </c>
      <c r="BF120" s="280" t="s">
        <v>192</v>
      </c>
      <c r="BG120" s="50"/>
      <c r="BH120" s="51" t="s">
        <v>175</v>
      </c>
      <c r="BI120" s="277" t="s">
        <v>270</v>
      </c>
      <c r="BJ120" s="53"/>
      <c r="BK120" s="54" t="s">
        <v>175</v>
      </c>
      <c r="BL120" s="280" t="s">
        <v>270</v>
      </c>
      <c r="BM120" s="50"/>
      <c r="BN120" s="51" t="s">
        <v>225</v>
      </c>
    </row>
    <row r="121" customFormat="false" ht="17.25" hidden="false" customHeight="true" outlineLevel="0" collapsed="false">
      <c r="B121" s="133"/>
      <c r="C121" s="143" t="s">
        <v>84</v>
      </c>
      <c r="D121" s="148"/>
      <c r="E121" s="149" t="s">
        <v>67</v>
      </c>
      <c r="F121" s="152"/>
      <c r="G121" s="78" t="s">
        <v>157</v>
      </c>
      <c r="H121" s="53"/>
      <c r="I121" s="54" t="s">
        <v>293</v>
      </c>
      <c r="J121" s="49" t="s">
        <v>46</v>
      </c>
      <c r="K121" s="50"/>
      <c r="L121" s="154" t="s">
        <v>46</v>
      </c>
      <c r="M121" s="78" t="s">
        <v>46</v>
      </c>
      <c r="N121" s="53"/>
      <c r="O121" s="153" t="s">
        <v>46</v>
      </c>
      <c r="P121" s="78" t="s">
        <v>46</v>
      </c>
      <c r="Q121" s="53"/>
      <c r="R121" s="54" t="s">
        <v>46</v>
      </c>
      <c r="S121" s="276" t="s">
        <v>278</v>
      </c>
      <c r="T121" s="50"/>
      <c r="U121" s="51" t="s">
        <v>294</v>
      </c>
      <c r="V121" s="277" t="s">
        <v>295</v>
      </c>
      <c r="W121" s="53"/>
      <c r="X121" s="54" t="s">
        <v>295</v>
      </c>
      <c r="Y121" s="280" t="s">
        <v>296</v>
      </c>
      <c r="Z121" s="50"/>
      <c r="AA121" s="51" t="s">
        <v>297</v>
      </c>
      <c r="AB121" s="277" t="s">
        <v>296</v>
      </c>
      <c r="AC121" s="53"/>
      <c r="AD121" s="54" t="s">
        <v>297</v>
      </c>
      <c r="AE121" s="280" t="s">
        <v>298</v>
      </c>
      <c r="AF121" s="50"/>
      <c r="AG121" s="51" t="s">
        <v>298</v>
      </c>
      <c r="AH121" s="78" t="s">
        <v>299</v>
      </c>
      <c r="AI121" s="53"/>
      <c r="AJ121" s="54" t="s">
        <v>299</v>
      </c>
      <c r="AK121" s="286" t="s">
        <v>269</v>
      </c>
      <c r="AL121" s="110"/>
      <c r="AM121" s="286" t="s">
        <v>269</v>
      </c>
      <c r="AN121" s="49" t="s">
        <v>269</v>
      </c>
      <c r="AO121" s="50"/>
      <c r="AP121" s="51" t="s">
        <v>269</v>
      </c>
      <c r="AQ121" s="277" t="s">
        <v>168</v>
      </c>
      <c r="AR121" s="53"/>
      <c r="AS121" s="54" t="s">
        <v>269</v>
      </c>
      <c r="AT121" s="49" t="s">
        <v>59</v>
      </c>
      <c r="AU121" s="50"/>
      <c r="AV121" s="51" t="s">
        <v>59</v>
      </c>
      <c r="AW121" s="78" t="s">
        <v>59</v>
      </c>
      <c r="AX121" s="53"/>
      <c r="AY121" s="54" t="s">
        <v>59</v>
      </c>
      <c r="AZ121" s="49" t="s">
        <v>59</v>
      </c>
      <c r="BA121" s="50"/>
      <c r="BB121" s="51" t="s">
        <v>59</v>
      </c>
      <c r="BC121" s="279" t="s">
        <v>173</v>
      </c>
      <c r="BD121" s="74"/>
      <c r="BE121" s="75" t="s">
        <v>174</v>
      </c>
      <c r="BF121" s="289" t="s">
        <v>59</v>
      </c>
      <c r="BG121" s="106"/>
      <c r="BH121" s="107" t="s">
        <v>59</v>
      </c>
      <c r="BI121" s="286" t="s">
        <v>189</v>
      </c>
      <c r="BJ121" s="109"/>
      <c r="BK121" s="87" t="s">
        <v>189</v>
      </c>
      <c r="BL121" s="289" t="s">
        <v>225</v>
      </c>
      <c r="BM121" s="106"/>
      <c r="BN121" s="51" t="s">
        <v>225</v>
      </c>
    </row>
    <row r="122" customFormat="false" ht="17.25" hidden="false" customHeight="true" outlineLevel="0" collapsed="false">
      <c r="B122" s="133"/>
      <c r="C122" s="143"/>
      <c r="D122" s="148"/>
      <c r="E122" s="149" t="s">
        <v>68</v>
      </c>
      <c r="F122" s="152"/>
      <c r="G122" s="78" t="s">
        <v>157</v>
      </c>
      <c r="H122" s="53"/>
      <c r="I122" s="54" t="s">
        <v>293</v>
      </c>
      <c r="J122" s="49" t="s">
        <v>46</v>
      </c>
      <c r="K122" s="50"/>
      <c r="L122" s="154" t="s">
        <v>46</v>
      </c>
      <c r="M122" s="78" t="s">
        <v>46</v>
      </c>
      <c r="N122" s="53"/>
      <c r="O122" s="153" t="s">
        <v>46</v>
      </c>
      <c r="P122" s="78" t="s">
        <v>46</v>
      </c>
      <c r="Q122" s="53"/>
      <c r="R122" s="54" t="s">
        <v>46</v>
      </c>
      <c r="S122" s="276" t="s">
        <v>278</v>
      </c>
      <c r="T122" s="50"/>
      <c r="U122" s="51" t="s">
        <v>294</v>
      </c>
      <c r="V122" s="277" t="s">
        <v>295</v>
      </c>
      <c r="W122" s="53"/>
      <c r="X122" s="54" t="s">
        <v>295</v>
      </c>
      <c r="Y122" s="280" t="s">
        <v>296</v>
      </c>
      <c r="Z122" s="50"/>
      <c r="AA122" s="51" t="s">
        <v>300</v>
      </c>
      <c r="AB122" s="277" t="s">
        <v>296</v>
      </c>
      <c r="AC122" s="53"/>
      <c r="AD122" s="54" t="s">
        <v>300</v>
      </c>
      <c r="AE122" s="49" t="s">
        <v>298</v>
      </c>
      <c r="AF122" s="50"/>
      <c r="AG122" s="51" t="s">
        <v>298</v>
      </c>
      <c r="AH122" s="78" t="s">
        <v>299</v>
      </c>
      <c r="AI122" s="53"/>
      <c r="AJ122" s="54" t="s">
        <v>299</v>
      </c>
      <c r="AK122" s="286" t="s">
        <v>269</v>
      </c>
      <c r="AL122" s="110"/>
      <c r="AM122" s="286" t="s">
        <v>269</v>
      </c>
      <c r="AN122" s="49" t="s">
        <v>269</v>
      </c>
      <c r="AO122" s="50"/>
      <c r="AP122" s="51" t="s">
        <v>269</v>
      </c>
      <c r="AQ122" s="277" t="s">
        <v>168</v>
      </c>
      <c r="AR122" s="53"/>
      <c r="AS122" s="54" t="s">
        <v>269</v>
      </c>
      <c r="AT122" s="49" t="s">
        <v>59</v>
      </c>
      <c r="AU122" s="50"/>
      <c r="AV122" s="51" t="s">
        <v>59</v>
      </c>
      <c r="AW122" s="78" t="s">
        <v>59</v>
      </c>
      <c r="AX122" s="53"/>
      <c r="AY122" s="54" t="s">
        <v>59</v>
      </c>
      <c r="AZ122" s="49" t="s">
        <v>59</v>
      </c>
      <c r="BA122" s="50"/>
      <c r="BB122" s="51" t="s">
        <v>59</v>
      </c>
      <c r="BC122" s="279" t="s">
        <v>173</v>
      </c>
      <c r="BD122" s="74"/>
      <c r="BE122" s="75" t="s">
        <v>174</v>
      </c>
      <c r="BF122" s="289" t="s">
        <v>59</v>
      </c>
      <c r="BG122" s="106"/>
      <c r="BH122" s="107" t="s">
        <v>59</v>
      </c>
      <c r="BI122" s="286" t="s">
        <v>189</v>
      </c>
      <c r="BJ122" s="109"/>
      <c r="BK122" s="87" t="s">
        <v>189</v>
      </c>
      <c r="BL122" s="289" t="s">
        <v>225</v>
      </c>
      <c r="BM122" s="106"/>
      <c r="BN122" s="51" t="s">
        <v>225</v>
      </c>
    </row>
    <row r="123" customFormat="false" ht="17.25" hidden="false" customHeight="true" outlineLevel="0" collapsed="false">
      <c r="B123" s="133"/>
      <c r="C123" s="143"/>
      <c r="D123" s="148"/>
      <c r="E123" s="149" t="s">
        <v>69</v>
      </c>
      <c r="F123" s="152"/>
      <c r="G123" s="78" t="s">
        <v>157</v>
      </c>
      <c r="H123" s="53"/>
      <c r="I123" s="54" t="s">
        <v>293</v>
      </c>
      <c r="J123" s="49" t="s">
        <v>46</v>
      </c>
      <c r="K123" s="50"/>
      <c r="L123" s="154" t="s">
        <v>46</v>
      </c>
      <c r="M123" s="78" t="s">
        <v>46</v>
      </c>
      <c r="N123" s="53"/>
      <c r="O123" s="153" t="s">
        <v>46</v>
      </c>
      <c r="P123" s="78" t="s">
        <v>46</v>
      </c>
      <c r="Q123" s="53"/>
      <c r="R123" s="54" t="s">
        <v>46</v>
      </c>
      <c r="S123" s="276" t="s">
        <v>278</v>
      </c>
      <c r="T123" s="50"/>
      <c r="U123" s="51" t="s">
        <v>294</v>
      </c>
      <c r="V123" s="277" t="s">
        <v>295</v>
      </c>
      <c r="W123" s="53"/>
      <c r="X123" s="54" t="s">
        <v>295</v>
      </c>
      <c r="Y123" s="280" t="s">
        <v>296</v>
      </c>
      <c r="Z123" s="50"/>
      <c r="AA123" s="51" t="s">
        <v>301</v>
      </c>
      <c r="AB123" s="277" t="s">
        <v>296</v>
      </c>
      <c r="AC123" s="53"/>
      <c r="AD123" s="54" t="s">
        <v>301</v>
      </c>
      <c r="AE123" s="49" t="s">
        <v>298</v>
      </c>
      <c r="AF123" s="50"/>
      <c r="AG123" s="51" t="s">
        <v>298</v>
      </c>
      <c r="AH123" s="78" t="s">
        <v>299</v>
      </c>
      <c r="AI123" s="53"/>
      <c r="AJ123" s="54" t="s">
        <v>299</v>
      </c>
      <c r="AK123" s="286" t="s">
        <v>269</v>
      </c>
      <c r="AL123" s="110"/>
      <c r="AM123" s="286" t="s">
        <v>269</v>
      </c>
      <c r="AN123" s="49" t="s">
        <v>269</v>
      </c>
      <c r="AO123" s="50"/>
      <c r="AP123" s="51" t="s">
        <v>269</v>
      </c>
      <c r="AQ123" s="277" t="s">
        <v>168</v>
      </c>
      <c r="AR123" s="53"/>
      <c r="AS123" s="54" t="s">
        <v>269</v>
      </c>
      <c r="AT123" s="49" t="s">
        <v>59</v>
      </c>
      <c r="AU123" s="50"/>
      <c r="AV123" s="51" t="s">
        <v>59</v>
      </c>
      <c r="AW123" s="78" t="s">
        <v>59</v>
      </c>
      <c r="AX123" s="53"/>
      <c r="AY123" s="54" t="s">
        <v>59</v>
      </c>
      <c r="AZ123" s="49" t="s">
        <v>59</v>
      </c>
      <c r="BA123" s="50"/>
      <c r="BB123" s="51" t="s">
        <v>59</v>
      </c>
      <c r="BC123" s="279" t="s">
        <v>173</v>
      </c>
      <c r="BD123" s="74"/>
      <c r="BE123" s="75" t="s">
        <v>174</v>
      </c>
      <c r="BF123" s="289" t="s">
        <v>59</v>
      </c>
      <c r="BG123" s="106"/>
      <c r="BH123" s="107" t="s">
        <v>59</v>
      </c>
      <c r="BI123" s="286" t="s">
        <v>189</v>
      </c>
      <c r="BJ123" s="109"/>
      <c r="BK123" s="87" t="s">
        <v>189</v>
      </c>
      <c r="BL123" s="289" t="s">
        <v>225</v>
      </c>
      <c r="BM123" s="106"/>
      <c r="BN123" s="51" t="s">
        <v>225</v>
      </c>
    </row>
    <row r="124" customFormat="false" ht="17.25" hidden="false" customHeight="true" outlineLevel="0" collapsed="false">
      <c r="B124" s="133"/>
      <c r="C124" s="143"/>
      <c r="D124" s="148"/>
      <c r="E124" s="149" t="s">
        <v>70</v>
      </c>
      <c r="F124" s="152"/>
      <c r="G124" s="78" t="s">
        <v>157</v>
      </c>
      <c r="H124" s="53"/>
      <c r="I124" s="54" t="s">
        <v>293</v>
      </c>
      <c r="J124" s="49" t="s">
        <v>46</v>
      </c>
      <c r="K124" s="50"/>
      <c r="L124" s="154" t="s">
        <v>46</v>
      </c>
      <c r="M124" s="78" t="s">
        <v>46</v>
      </c>
      <c r="N124" s="53"/>
      <c r="O124" s="153" t="s">
        <v>46</v>
      </c>
      <c r="P124" s="78" t="s">
        <v>46</v>
      </c>
      <c r="Q124" s="53"/>
      <c r="R124" s="54" t="s">
        <v>46</v>
      </c>
      <c r="S124" s="276" t="s">
        <v>278</v>
      </c>
      <c r="T124" s="50"/>
      <c r="U124" s="51" t="s">
        <v>294</v>
      </c>
      <c r="V124" s="277" t="s">
        <v>295</v>
      </c>
      <c r="W124" s="53"/>
      <c r="X124" s="54" t="s">
        <v>295</v>
      </c>
      <c r="Y124" s="280" t="s">
        <v>296</v>
      </c>
      <c r="Z124" s="50"/>
      <c r="AA124" s="51" t="s">
        <v>302</v>
      </c>
      <c r="AB124" s="277" t="s">
        <v>296</v>
      </c>
      <c r="AC124" s="53"/>
      <c r="AD124" s="54" t="s">
        <v>302</v>
      </c>
      <c r="AE124" s="49" t="s">
        <v>298</v>
      </c>
      <c r="AF124" s="50"/>
      <c r="AG124" s="51" t="s">
        <v>298</v>
      </c>
      <c r="AH124" s="78" t="s">
        <v>299</v>
      </c>
      <c r="AI124" s="53"/>
      <c r="AJ124" s="54" t="s">
        <v>299</v>
      </c>
      <c r="AK124" s="286" t="s">
        <v>269</v>
      </c>
      <c r="AL124" s="110"/>
      <c r="AM124" s="286" t="s">
        <v>269</v>
      </c>
      <c r="AN124" s="49" t="s">
        <v>269</v>
      </c>
      <c r="AO124" s="50"/>
      <c r="AP124" s="51" t="s">
        <v>269</v>
      </c>
      <c r="AQ124" s="277" t="s">
        <v>168</v>
      </c>
      <c r="AR124" s="53"/>
      <c r="AS124" s="54" t="s">
        <v>269</v>
      </c>
      <c r="AT124" s="49" t="s">
        <v>59</v>
      </c>
      <c r="AU124" s="50"/>
      <c r="AV124" s="51" t="s">
        <v>59</v>
      </c>
      <c r="AW124" s="78" t="s">
        <v>59</v>
      </c>
      <c r="AX124" s="53"/>
      <c r="AY124" s="54" t="s">
        <v>59</v>
      </c>
      <c r="AZ124" s="49" t="s">
        <v>59</v>
      </c>
      <c r="BA124" s="50"/>
      <c r="BB124" s="51" t="s">
        <v>59</v>
      </c>
      <c r="BC124" s="279" t="s">
        <v>173</v>
      </c>
      <c r="BD124" s="74"/>
      <c r="BE124" s="75" t="s">
        <v>174</v>
      </c>
      <c r="BF124" s="289" t="s">
        <v>59</v>
      </c>
      <c r="BG124" s="106"/>
      <c r="BH124" s="107" t="s">
        <v>59</v>
      </c>
      <c r="BI124" s="286" t="s">
        <v>189</v>
      </c>
      <c r="BJ124" s="109"/>
      <c r="BK124" s="87" t="s">
        <v>189</v>
      </c>
      <c r="BL124" s="289" t="s">
        <v>225</v>
      </c>
      <c r="BM124" s="106"/>
      <c r="BN124" s="51" t="s">
        <v>225</v>
      </c>
    </row>
    <row r="125" customFormat="false" ht="17.25" hidden="false" customHeight="true" outlineLevel="0" collapsed="false">
      <c r="B125" s="133"/>
      <c r="C125" s="143" t="s">
        <v>85</v>
      </c>
      <c r="D125" s="148"/>
      <c r="E125" s="149" t="s">
        <v>86</v>
      </c>
      <c r="F125" s="149"/>
      <c r="G125" s="78" t="s">
        <v>155</v>
      </c>
      <c r="H125" s="53"/>
      <c r="I125" s="54" t="s">
        <v>155</v>
      </c>
      <c r="J125" s="49" t="s">
        <v>46</v>
      </c>
      <c r="K125" s="50"/>
      <c r="L125" s="154" t="s">
        <v>46</v>
      </c>
      <c r="M125" s="78" t="s">
        <v>46</v>
      </c>
      <c r="N125" s="53"/>
      <c r="O125" s="153" t="s">
        <v>46</v>
      </c>
      <c r="P125" s="78" t="s">
        <v>46</v>
      </c>
      <c r="Q125" s="53"/>
      <c r="R125" s="54" t="s">
        <v>46</v>
      </c>
      <c r="S125" s="276" t="s">
        <v>179</v>
      </c>
      <c r="T125" s="50"/>
      <c r="U125" s="51" t="s">
        <v>303</v>
      </c>
      <c r="V125" s="277" t="s">
        <v>59</v>
      </c>
      <c r="W125" s="53"/>
      <c r="X125" s="54" t="s">
        <v>59</v>
      </c>
      <c r="Y125" s="280" t="s">
        <v>59</v>
      </c>
      <c r="Z125" s="50"/>
      <c r="AA125" s="51" t="s">
        <v>59</v>
      </c>
      <c r="AB125" s="277" t="s">
        <v>59</v>
      </c>
      <c r="AC125" s="53"/>
      <c r="AD125" s="54" t="s">
        <v>59</v>
      </c>
      <c r="AE125" s="49" t="s">
        <v>59</v>
      </c>
      <c r="AF125" s="50"/>
      <c r="AG125" s="51" t="s">
        <v>59</v>
      </c>
      <c r="AH125" s="78" t="s">
        <v>59</v>
      </c>
      <c r="AI125" s="53"/>
      <c r="AJ125" s="54" t="s">
        <v>59</v>
      </c>
      <c r="AK125" s="286" t="s">
        <v>59</v>
      </c>
      <c r="AL125" s="109"/>
      <c r="AM125" s="87" t="s">
        <v>59</v>
      </c>
      <c r="AN125" s="49" t="s">
        <v>59</v>
      </c>
      <c r="AO125" s="50"/>
      <c r="AP125" s="51" t="s">
        <v>59</v>
      </c>
      <c r="AQ125" s="277" t="s">
        <v>59</v>
      </c>
      <c r="AR125" s="53"/>
      <c r="AS125" s="54" t="s">
        <v>59</v>
      </c>
      <c r="AT125" s="49" t="s">
        <v>59</v>
      </c>
      <c r="AU125" s="50"/>
      <c r="AV125" s="51" t="s">
        <v>59</v>
      </c>
      <c r="AW125" s="78" t="s">
        <v>59</v>
      </c>
      <c r="AX125" s="53"/>
      <c r="AY125" s="54" t="s">
        <v>59</v>
      </c>
      <c r="AZ125" s="49" t="s">
        <v>59</v>
      </c>
      <c r="BA125" s="50"/>
      <c r="BB125" s="51" t="s">
        <v>59</v>
      </c>
      <c r="BC125" s="277" t="s">
        <v>59</v>
      </c>
      <c r="BD125" s="53"/>
      <c r="BE125" s="54" t="s">
        <v>59</v>
      </c>
      <c r="BF125" s="289" t="s">
        <v>59</v>
      </c>
      <c r="BG125" s="106"/>
      <c r="BH125" s="107" t="s">
        <v>59</v>
      </c>
      <c r="BI125" s="286" t="s">
        <v>59</v>
      </c>
      <c r="BJ125" s="109"/>
      <c r="BK125" s="87"/>
      <c r="BL125" s="289" t="s">
        <v>225</v>
      </c>
      <c r="BM125" s="106"/>
      <c r="BN125" s="107" t="s">
        <v>225</v>
      </c>
    </row>
    <row r="126" customFormat="false" ht="17.25" hidden="false" customHeight="true" outlineLevel="0" collapsed="false">
      <c r="B126" s="133"/>
      <c r="C126" s="143"/>
      <c r="D126" s="148"/>
      <c r="E126" s="149" t="s">
        <v>87</v>
      </c>
      <c r="F126" s="149"/>
      <c r="G126" s="78" t="s">
        <v>155</v>
      </c>
      <c r="H126" s="53"/>
      <c r="I126" s="54" t="s">
        <v>155</v>
      </c>
      <c r="J126" s="49" t="s">
        <v>46</v>
      </c>
      <c r="K126" s="50"/>
      <c r="L126" s="154" t="s">
        <v>46</v>
      </c>
      <c r="M126" s="78" t="s">
        <v>46</v>
      </c>
      <c r="N126" s="53"/>
      <c r="O126" s="153" t="s">
        <v>46</v>
      </c>
      <c r="P126" s="78" t="s">
        <v>46</v>
      </c>
      <c r="Q126" s="53"/>
      <c r="R126" s="54" t="s">
        <v>46</v>
      </c>
      <c r="S126" s="276" t="s">
        <v>179</v>
      </c>
      <c r="T126" s="50"/>
      <c r="U126" s="51" t="s">
        <v>303</v>
      </c>
      <c r="V126" s="277" t="s">
        <v>59</v>
      </c>
      <c r="W126" s="53"/>
      <c r="X126" s="54" t="s">
        <v>59</v>
      </c>
      <c r="Y126" s="280" t="s">
        <v>59</v>
      </c>
      <c r="Z126" s="50"/>
      <c r="AA126" s="51" t="s">
        <v>59</v>
      </c>
      <c r="AB126" s="277" t="s">
        <v>59</v>
      </c>
      <c r="AC126" s="53"/>
      <c r="AD126" s="54" t="s">
        <v>59</v>
      </c>
      <c r="AE126" s="49" t="s">
        <v>59</v>
      </c>
      <c r="AF126" s="50"/>
      <c r="AG126" s="51" t="s">
        <v>59</v>
      </c>
      <c r="AH126" s="78" t="s">
        <v>59</v>
      </c>
      <c r="AI126" s="53"/>
      <c r="AJ126" s="54" t="s">
        <v>59</v>
      </c>
      <c r="AK126" s="286" t="s">
        <v>59</v>
      </c>
      <c r="AL126" s="109"/>
      <c r="AM126" s="87" t="s">
        <v>59</v>
      </c>
      <c r="AN126" s="49" t="s">
        <v>59</v>
      </c>
      <c r="AO126" s="50"/>
      <c r="AP126" s="51" t="s">
        <v>59</v>
      </c>
      <c r="AQ126" s="277" t="s">
        <v>59</v>
      </c>
      <c r="AR126" s="53"/>
      <c r="AS126" s="54" t="s">
        <v>59</v>
      </c>
      <c r="AT126" s="49" t="s">
        <v>59</v>
      </c>
      <c r="AU126" s="50"/>
      <c r="AV126" s="51" t="s">
        <v>59</v>
      </c>
      <c r="AW126" s="78" t="s">
        <v>59</v>
      </c>
      <c r="AX126" s="53"/>
      <c r="AY126" s="54" t="s">
        <v>59</v>
      </c>
      <c r="AZ126" s="49" t="s">
        <v>59</v>
      </c>
      <c r="BA126" s="50"/>
      <c r="BB126" s="51" t="s">
        <v>59</v>
      </c>
      <c r="BC126" s="277" t="s">
        <v>59</v>
      </c>
      <c r="BD126" s="53"/>
      <c r="BE126" s="54" t="s">
        <v>59</v>
      </c>
      <c r="BF126" s="289" t="s">
        <v>59</v>
      </c>
      <c r="BG126" s="106"/>
      <c r="BH126" s="107" t="s">
        <v>59</v>
      </c>
      <c r="BI126" s="286" t="s">
        <v>59</v>
      </c>
      <c r="BJ126" s="109"/>
      <c r="BK126" s="87"/>
      <c r="BL126" s="289" t="s">
        <v>225</v>
      </c>
      <c r="BM126" s="106"/>
      <c r="BN126" s="107" t="s">
        <v>225</v>
      </c>
    </row>
    <row r="127" customFormat="false" ht="17.25" hidden="false" customHeight="true" outlineLevel="0" collapsed="false">
      <c r="B127" s="133"/>
      <c r="C127" s="143"/>
      <c r="D127" s="148"/>
      <c r="E127" s="149" t="s">
        <v>88</v>
      </c>
      <c r="F127" s="149"/>
      <c r="G127" s="78" t="s">
        <v>155</v>
      </c>
      <c r="H127" s="53"/>
      <c r="I127" s="54" t="s">
        <v>155</v>
      </c>
      <c r="J127" s="49" t="s">
        <v>46</v>
      </c>
      <c r="K127" s="50"/>
      <c r="L127" s="154" t="s">
        <v>46</v>
      </c>
      <c r="M127" s="78" t="s">
        <v>46</v>
      </c>
      <c r="N127" s="53"/>
      <c r="O127" s="153" t="s">
        <v>46</v>
      </c>
      <c r="P127" s="78" t="s">
        <v>46</v>
      </c>
      <c r="Q127" s="53"/>
      <c r="R127" s="54" t="s">
        <v>46</v>
      </c>
      <c r="S127" s="276" t="s">
        <v>179</v>
      </c>
      <c r="T127" s="50"/>
      <c r="U127" s="51" t="s">
        <v>303</v>
      </c>
      <c r="V127" s="277" t="s">
        <v>59</v>
      </c>
      <c r="W127" s="53"/>
      <c r="X127" s="54" t="s">
        <v>59</v>
      </c>
      <c r="Y127" s="280" t="s">
        <v>59</v>
      </c>
      <c r="Z127" s="50"/>
      <c r="AA127" s="51" t="s">
        <v>59</v>
      </c>
      <c r="AB127" s="277" t="s">
        <v>59</v>
      </c>
      <c r="AC127" s="53"/>
      <c r="AD127" s="54" t="s">
        <v>59</v>
      </c>
      <c r="AE127" s="49" t="s">
        <v>59</v>
      </c>
      <c r="AF127" s="50"/>
      <c r="AG127" s="51" t="s">
        <v>59</v>
      </c>
      <c r="AH127" s="78" t="s">
        <v>59</v>
      </c>
      <c r="AI127" s="53"/>
      <c r="AJ127" s="54" t="s">
        <v>59</v>
      </c>
      <c r="AK127" s="286" t="s">
        <v>59</v>
      </c>
      <c r="AL127" s="109"/>
      <c r="AM127" s="87" t="s">
        <v>59</v>
      </c>
      <c r="AN127" s="49" t="s">
        <v>59</v>
      </c>
      <c r="AO127" s="50"/>
      <c r="AP127" s="51" t="s">
        <v>59</v>
      </c>
      <c r="AQ127" s="277" t="s">
        <v>59</v>
      </c>
      <c r="AR127" s="53"/>
      <c r="AS127" s="54" t="s">
        <v>59</v>
      </c>
      <c r="AT127" s="49" t="s">
        <v>59</v>
      </c>
      <c r="AU127" s="50"/>
      <c r="AV127" s="51" t="s">
        <v>59</v>
      </c>
      <c r="AW127" s="78" t="s">
        <v>59</v>
      </c>
      <c r="AX127" s="53"/>
      <c r="AY127" s="54" t="s">
        <v>59</v>
      </c>
      <c r="AZ127" s="49" t="s">
        <v>59</v>
      </c>
      <c r="BA127" s="50"/>
      <c r="BB127" s="51" t="s">
        <v>59</v>
      </c>
      <c r="BC127" s="277" t="s">
        <v>59</v>
      </c>
      <c r="BD127" s="53"/>
      <c r="BE127" s="54" t="s">
        <v>59</v>
      </c>
      <c r="BF127" s="289" t="s">
        <v>59</v>
      </c>
      <c r="BG127" s="106"/>
      <c r="BH127" s="107" t="s">
        <v>59</v>
      </c>
      <c r="BI127" s="286" t="s">
        <v>59</v>
      </c>
      <c r="BJ127" s="109"/>
      <c r="BK127" s="87"/>
      <c r="BL127" s="289" t="s">
        <v>225</v>
      </c>
      <c r="BM127" s="106"/>
      <c r="BN127" s="107" t="s">
        <v>225</v>
      </c>
    </row>
    <row r="128" customFormat="false" ht="17.25" hidden="false" customHeight="true" outlineLevel="0" collapsed="false">
      <c r="B128" s="133"/>
      <c r="C128" s="143"/>
      <c r="D128" s="148"/>
      <c r="E128" s="149" t="s">
        <v>89</v>
      </c>
      <c r="F128" s="149"/>
      <c r="G128" s="78" t="s">
        <v>155</v>
      </c>
      <c r="H128" s="53"/>
      <c r="I128" s="54" t="s">
        <v>155</v>
      </c>
      <c r="J128" s="49" t="s">
        <v>46</v>
      </c>
      <c r="K128" s="50"/>
      <c r="L128" s="154" t="s">
        <v>46</v>
      </c>
      <c r="M128" s="78" t="s">
        <v>46</v>
      </c>
      <c r="N128" s="53"/>
      <c r="O128" s="153" t="s">
        <v>46</v>
      </c>
      <c r="P128" s="78" t="s">
        <v>46</v>
      </c>
      <c r="Q128" s="53"/>
      <c r="R128" s="54" t="s">
        <v>46</v>
      </c>
      <c r="S128" s="276" t="s">
        <v>179</v>
      </c>
      <c r="T128" s="50"/>
      <c r="U128" s="51" t="s">
        <v>303</v>
      </c>
      <c r="V128" s="277" t="s">
        <v>59</v>
      </c>
      <c r="W128" s="53"/>
      <c r="X128" s="54" t="s">
        <v>59</v>
      </c>
      <c r="Y128" s="280" t="s">
        <v>59</v>
      </c>
      <c r="Z128" s="50"/>
      <c r="AA128" s="51" t="s">
        <v>59</v>
      </c>
      <c r="AB128" s="277" t="s">
        <v>59</v>
      </c>
      <c r="AC128" s="53"/>
      <c r="AD128" s="54" t="s">
        <v>59</v>
      </c>
      <c r="AE128" s="49" t="s">
        <v>59</v>
      </c>
      <c r="AF128" s="50"/>
      <c r="AG128" s="51" t="s">
        <v>59</v>
      </c>
      <c r="AH128" s="78" t="s">
        <v>59</v>
      </c>
      <c r="AI128" s="53"/>
      <c r="AJ128" s="54" t="s">
        <v>59</v>
      </c>
      <c r="AK128" s="286" t="s">
        <v>59</v>
      </c>
      <c r="AL128" s="109"/>
      <c r="AM128" s="87" t="s">
        <v>59</v>
      </c>
      <c r="AN128" s="49" t="s">
        <v>59</v>
      </c>
      <c r="AO128" s="50"/>
      <c r="AP128" s="51" t="s">
        <v>59</v>
      </c>
      <c r="AQ128" s="277" t="s">
        <v>59</v>
      </c>
      <c r="AR128" s="53"/>
      <c r="AS128" s="54" t="s">
        <v>59</v>
      </c>
      <c r="AT128" s="49" t="s">
        <v>59</v>
      </c>
      <c r="AU128" s="50"/>
      <c r="AV128" s="51" t="s">
        <v>59</v>
      </c>
      <c r="AW128" s="78" t="s">
        <v>59</v>
      </c>
      <c r="AX128" s="53"/>
      <c r="AY128" s="54" t="s">
        <v>59</v>
      </c>
      <c r="AZ128" s="49" t="s">
        <v>59</v>
      </c>
      <c r="BA128" s="50"/>
      <c r="BB128" s="51" t="s">
        <v>59</v>
      </c>
      <c r="BC128" s="277" t="s">
        <v>59</v>
      </c>
      <c r="BD128" s="53"/>
      <c r="BE128" s="54" t="s">
        <v>59</v>
      </c>
      <c r="BF128" s="289" t="s">
        <v>59</v>
      </c>
      <c r="BG128" s="106"/>
      <c r="BH128" s="107" t="s">
        <v>59</v>
      </c>
      <c r="BI128" s="286" t="s">
        <v>59</v>
      </c>
      <c r="BJ128" s="109"/>
      <c r="BK128" s="87"/>
      <c r="BL128" s="289" t="s">
        <v>225</v>
      </c>
      <c r="BM128" s="106"/>
      <c r="BN128" s="107" t="s">
        <v>225</v>
      </c>
    </row>
    <row r="129" customFormat="false" ht="17.25" hidden="false" customHeight="true" outlineLevel="0" collapsed="false">
      <c r="B129" s="133"/>
      <c r="C129" s="143" t="s">
        <v>90</v>
      </c>
      <c r="D129" s="149"/>
      <c r="E129" s="149"/>
      <c r="F129" s="149"/>
      <c r="G129" s="78" t="s">
        <v>46</v>
      </c>
      <c r="H129" s="53"/>
      <c r="I129" s="54" t="s">
        <v>46</v>
      </c>
      <c r="J129" s="49" t="s">
        <v>239</v>
      </c>
      <c r="K129" s="50"/>
      <c r="L129" s="154" t="s">
        <v>244</v>
      </c>
      <c r="M129" s="78" t="s">
        <v>244</v>
      </c>
      <c r="N129" s="53"/>
      <c r="O129" s="153" t="s">
        <v>304</v>
      </c>
      <c r="P129" s="277" t="s">
        <v>304</v>
      </c>
      <c r="Q129" s="53"/>
      <c r="R129" s="54" t="s">
        <v>305</v>
      </c>
      <c r="S129" s="276" t="s">
        <v>306</v>
      </c>
      <c r="T129" s="50"/>
      <c r="U129" s="51" t="s">
        <v>156</v>
      </c>
      <c r="V129" s="277" t="s">
        <v>158</v>
      </c>
      <c r="W129" s="53"/>
      <c r="X129" s="54" t="s">
        <v>158</v>
      </c>
      <c r="Y129" s="280" t="s">
        <v>59</v>
      </c>
      <c r="Z129" s="50"/>
      <c r="AA129" s="51" t="s">
        <v>59</v>
      </c>
      <c r="AB129" s="277" t="s">
        <v>59</v>
      </c>
      <c r="AC129" s="53"/>
      <c r="AD129" s="54" t="s">
        <v>59</v>
      </c>
      <c r="AE129" s="49" t="s">
        <v>59</v>
      </c>
      <c r="AF129" s="50"/>
      <c r="AG129" s="51" t="s">
        <v>59</v>
      </c>
      <c r="AH129" s="78" t="s">
        <v>59</v>
      </c>
      <c r="AI129" s="53"/>
      <c r="AJ129" s="54" t="s">
        <v>59</v>
      </c>
      <c r="AK129" s="286" t="s">
        <v>307</v>
      </c>
      <c r="AL129" s="109"/>
      <c r="AM129" s="87" t="s">
        <v>156</v>
      </c>
      <c r="AN129" s="49" t="s">
        <v>59</v>
      </c>
      <c r="AO129" s="50"/>
      <c r="AP129" s="51" t="s">
        <v>59</v>
      </c>
      <c r="AQ129" s="277" t="s">
        <v>156</v>
      </c>
      <c r="AR129" s="53"/>
      <c r="AS129" s="54" t="s">
        <v>156</v>
      </c>
      <c r="AT129" s="49" t="s">
        <v>59</v>
      </c>
      <c r="AU129" s="50"/>
      <c r="AV129" s="51" t="s">
        <v>59</v>
      </c>
      <c r="AW129" s="78" t="s">
        <v>59</v>
      </c>
      <c r="AX129" s="53"/>
      <c r="AY129" s="54" t="s">
        <v>59</v>
      </c>
      <c r="AZ129" s="49" t="s">
        <v>59</v>
      </c>
      <c r="BA129" s="50"/>
      <c r="BB129" s="51" t="s">
        <v>59</v>
      </c>
      <c r="BC129" s="277" t="s">
        <v>59</v>
      </c>
      <c r="BD129" s="53"/>
      <c r="BE129" s="54" t="s">
        <v>59</v>
      </c>
      <c r="BF129" s="289" t="s">
        <v>59</v>
      </c>
      <c r="BG129" s="106"/>
      <c r="BH129" s="107" t="s">
        <v>59</v>
      </c>
      <c r="BI129" s="286" t="s">
        <v>59</v>
      </c>
      <c r="BJ129" s="109"/>
      <c r="BK129" s="87" t="s">
        <v>59</v>
      </c>
      <c r="BL129" s="289"/>
      <c r="BM129" s="106"/>
      <c r="BN129" s="107"/>
    </row>
    <row r="130" customFormat="false" ht="17.25" hidden="false" customHeight="true" outlineLevel="0" collapsed="false">
      <c r="B130" s="133"/>
      <c r="C130" s="143" t="s">
        <v>91</v>
      </c>
      <c r="D130" s="149"/>
      <c r="E130" s="149"/>
      <c r="F130" s="149"/>
      <c r="G130" s="78" t="s">
        <v>46</v>
      </c>
      <c r="H130" s="53"/>
      <c r="I130" s="54" t="s">
        <v>46</v>
      </c>
      <c r="J130" s="49" t="s">
        <v>59</v>
      </c>
      <c r="K130" s="50"/>
      <c r="L130" s="154" t="s">
        <v>59</v>
      </c>
      <c r="M130" s="78" t="s">
        <v>239</v>
      </c>
      <c r="N130" s="53"/>
      <c r="O130" s="153" t="s">
        <v>244</v>
      </c>
      <c r="P130" s="78" t="s">
        <v>304</v>
      </c>
      <c r="Q130" s="53"/>
      <c r="R130" s="54" t="s">
        <v>244</v>
      </c>
      <c r="S130" s="276" t="s">
        <v>308</v>
      </c>
      <c r="T130" s="50"/>
      <c r="U130" s="51" t="s">
        <v>308</v>
      </c>
      <c r="V130" s="277" t="s">
        <v>59</v>
      </c>
      <c r="W130" s="53"/>
      <c r="X130" s="54" t="s">
        <v>59</v>
      </c>
      <c r="Y130" s="280" t="s">
        <v>59</v>
      </c>
      <c r="Z130" s="50"/>
      <c r="AA130" s="51" t="s">
        <v>59</v>
      </c>
      <c r="AB130" s="277" t="s">
        <v>59</v>
      </c>
      <c r="AC130" s="53"/>
      <c r="AD130" s="54" t="s">
        <v>59</v>
      </c>
      <c r="AE130" s="49" t="s">
        <v>59</v>
      </c>
      <c r="AF130" s="50"/>
      <c r="AG130" s="51" t="s">
        <v>59</v>
      </c>
      <c r="AH130" s="78" t="s">
        <v>59</v>
      </c>
      <c r="AI130" s="53"/>
      <c r="AJ130" s="54" t="s">
        <v>59</v>
      </c>
      <c r="AK130" s="286" t="s">
        <v>159</v>
      </c>
      <c r="AL130" s="109"/>
      <c r="AM130" s="87" t="s">
        <v>159</v>
      </c>
      <c r="AN130" s="49" t="s">
        <v>59</v>
      </c>
      <c r="AO130" s="50"/>
      <c r="AP130" s="51" t="s">
        <v>59</v>
      </c>
      <c r="AQ130" s="277" t="s">
        <v>59</v>
      </c>
      <c r="AR130" s="53"/>
      <c r="AS130" s="54" t="s">
        <v>59</v>
      </c>
      <c r="AT130" s="49" t="s">
        <v>59</v>
      </c>
      <c r="AU130" s="50"/>
      <c r="AV130" s="51" t="s">
        <v>59</v>
      </c>
      <c r="AW130" s="78" t="s">
        <v>59</v>
      </c>
      <c r="AX130" s="53"/>
      <c r="AY130" s="54" t="s">
        <v>59</v>
      </c>
      <c r="AZ130" s="49" t="s">
        <v>59</v>
      </c>
      <c r="BA130" s="50"/>
      <c r="BB130" s="51" t="s">
        <v>59</v>
      </c>
      <c r="BC130" s="277" t="s">
        <v>59</v>
      </c>
      <c r="BD130" s="53"/>
      <c r="BE130" s="54" t="s">
        <v>59</v>
      </c>
      <c r="BF130" s="289" t="s">
        <v>59</v>
      </c>
      <c r="BG130" s="106"/>
      <c r="BH130" s="107" t="s">
        <v>59</v>
      </c>
      <c r="BI130" s="286" t="s">
        <v>59</v>
      </c>
      <c r="BJ130" s="109"/>
      <c r="BK130" s="87" t="s">
        <v>59</v>
      </c>
      <c r="BL130" s="289" t="s">
        <v>309</v>
      </c>
      <c r="BM130" s="106"/>
      <c r="BN130" s="107" t="s">
        <v>309</v>
      </c>
    </row>
    <row r="131" customFormat="false" ht="17.25" hidden="false" customHeight="true" outlineLevel="0" collapsed="false">
      <c r="B131" s="133"/>
      <c r="C131" s="143" t="s">
        <v>92</v>
      </c>
      <c r="D131" s="149"/>
      <c r="E131" s="149"/>
      <c r="F131" s="149"/>
      <c r="G131" s="78" t="s">
        <v>46</v>
      </c>
      <c r="H131" s="53"/>
      <c r="I131" s="54" t="s">
        <v>46</v>
      </c>
      <c r="J131" s="49" t="s">
        <v>310</v>
      </c>
      <c r="K131" s="50"/>
      <c r="L131" s="154" t="s">
        <v>310</v>
      </c>
      <c r="M131" s="78" t="s">
        <v>310</v>
      </c>
      <c r="N131" s="53"/>
      <c r="O131" s="153" t="s">
        <v>310</v>
      </c>
      <c r="P131" s="78" t="s">
        <v>310</v>
      </c>
      <c r="Q131" s="53"/>
      <c r="R131" s="54" t="s">
        <v>310</v>
      </c>
      <c r="S131" s="276" t="s">
        <v>59</v>
      </c>
      <c r="T131" s="50"/>
      <c r="U131" s="51" t="s">
        <v>59</v>
      </c>
      <c r="V131" s="277" t="s">
        <v>59</v>
      </c>
      <c r="W131" s="53"/>
      <c r="X131" s="54" t="s">
        <v>59</v>
      </c>
      <c r="Y131" s="280" t="s">
        <v>59</v>
      </c>
      <c r="Z131" s="50"/>
      <c r="AA131" s="51" t="s">
        <v>59</v>
      </c>
      <c r="AB131" s="277" t="s">
        <v>59</v>
      </c>
      <c r="AC131" s="53"/>
      <c r="AD131" s="54" t="s">
        <v>59</v>
      </c>
      <c r="AE131" s="49" t="s">
        <v>59</v>
      </c>
      <c r="AF131" s="50"/>
      <c r="AG131" s="51" t="s">
        <v>59</v>
      </c>
      <c r="AH131" s="78" t="s">
        <v>59</v>
      </c>
      <c r="AI131" s="53"/>
      <c r="AJ131" s="54" t="s">
        <v>59</v>
      </c>
      <c r="AK131" s="286" t="s">
        <v>311</v>
      </c>
      <c r="AL131" s="109"/>
      <c r="AM131" s="87" t="s">
        <v>311</v>
      </c>
      <c r="AN131" s="49" t="s">
        <v>59</v>
      </c>
      <c r="AO131" s="50"/>
      <c r="AP131" s="51" t="s">
        <v>59</v>
      </c>
      <c r="AQ131" s="277" t="s">
        <v>59</v>
      </c>
      <c r="AR131" s="53"/>
      <c r="AS131" s="54" t="s">
        <v>59</v>
      </c>
      <c r="AT131" s="49" t="s">
        <v>59</v>
      </c>
      <c r="AU131" s="50"/>
      <c r="AV131" s="51" t="s">
        <v>59</v>
      </c>
      <c r="AW131" s="78" t="s">
        <v>59</v>
      </c>
      <c r="AX131" s="53"/>
      <c r="AY131" s="54" t="s">
        <v>59</v>
      </c>
      <c r="AZ131" s="49" t="s">
        <v>59</v>
      </c>
      <c r="BA131" s="50"/>
      <c r="BB131" s="51" t="s">
        <v>59</v>
      </c>
      <c r="BC131" s="277" t="s">
        <v>59</v>
      </c>
      <c r="BD131" s="53"/>
      <c r="BE131" s="54" t="s">
        <v>59</v>
      </c>
      <c r="BF131" s="289" t="s">
        <v>59</v>
      </c>
      <c r="BG131" s="106"/>
      <c r="BH131" s="107" t="s">
        <v>59</v>
      </c>
      <c r="BI131" s="286" t="s">
        <v>59</v>
      </c>
      <c r="BJ131" s="109"/>
      <c r="BK131" s="87" t="s">
        <v>59</v>
      </c>
      <c r="BL131" s="289" t="s">
        <v>309</v>
      </c>
      <c r="BM131" s="106"/>
      <c r="BN131" s="105" t="s">
        <v>309</v>
      </c>
    </row>
    <row r="132" customFormat="false" ht="17.25" hidden="false" customHeight="true" outlineLevel="0" collapsed="false">
      <c r="B132" s="133"/>
      <c r="C132" s="143" t="s">
        <v>243</v>
      </c>
      <c r="D132" s="149"/>
      <c r="E132" s="149"/>
      <c r="F132" s="149"/>
      <c r="G132" s="78" t="s">
        <v>46</v>
      </c>
      <c r="H132" s="53"/>
      <c r="I132" s="54" t="s">
        <v>46</v>
      </c>
      <c r="J132" s="49" t="s">
        <v>244</v>
      </c>
      <c r="K132" s="50"/>
      <c r="L132" s="154" t="s">
        <v>244</v>
      </c>
      <c r="M132" s="78" t="s">
        <v>309</v>
      </c>
      <c r="N132" s="53"/>
      <c r="O132" s="153" t="s">
        <v>244</v>
      </c>
      <c r="P132" s="78" t="s">
        <v>304</v>
      </c>
      <c r="Q132" s="53"/>
      <c r="R132" s="54" t="s">
        <v>312</v>
      </c>
      <c r="S132" s="276" t="s">
        <v>308</v>
      </c>
      <c r="T132" s="50"/>
      <c r="U132" s="51" t="s">
        <v>308</v>
      </c>
      <c r="V132" s="277" t="s">
        <v>59</v>
      </c>
      <c r="W132" s="53"/>
      <c r="X132" s="54" t="s">
        <v>59</v>
      </c>
      <c r="Y132" s="280" t="s">
        <v>59</v>
      </c>
      <c r="Z132" s="50"/>
      <c r="AA132" s="51" t="s">
        <v>59</v>
      </c>
      <c r="AB132" s="277" t="s">
        <v>59</v>
      </c>
      <c r="AC132" s="53"/>
      <c r="AD132" s="54" t="s">
        <v>59</v>
      </c>
      <c r="AE132" s="49" t="s">
        <v>59</v>
      </c>
      <c r="AF132" s="50"/>
      <c r="AG132" s="51" t="s">
        <v>59</v>
      </c>
      <c r="AH132" s="78" t="s">
        <v>59</v>
      </c>
      <c r="AI132" s="53"/>
      <c r="AJ132" s="54" t="s">
        <v>59</v>
      </c>
      <c r="AK132" s="286" t="s">
        <v>59</v>
      </c>
      <c r="AL132" s="109"/>
      <c r="AM132" s="87" t="s">
        <v>59</v>
      </c>
      <c r="AN132" s="49" t="s">
        <v>59</v>
      </c>
      <c r="AO132" s="50"/>
      <c r="AP132" s="51" t="s">
        <v>59</v>
      </c>
      <c r="AQ132" s="277" t="s">
        <v>59</v>
      </c>
      <c r="AR132" s="53"/>
      <c r="AS132" s="54" t="s">
        <v>59</v>
      </c>
      <c r="AT132" s="49" t="s">
        <v>59</v>
      </c>
      <c r="AU132" s="50"/>
      <c r="AV132" s="51" t="s">
        <v>59</v>
      </c>
      <c r="AW132" s="78" t="s">
        <v>59</v>
      </c>
      <c r="AX132" s="53"/>
      <c r="AY132" s="54" t="s">
        <v>59</v>
      </c>
      <c r="AZ132" s="49" t="s">
        <v>59</v>
      </c>
      <c r="BA132" s="50"/>
      <c r="BB132" s="51" t="s">
        <v>59</v>
      </c>
      <c r="BC132" s="277" t="s">
        <v>59</v>
      </c>
      <c r="BD132" s="53"/>
      <c r="BE132" s="54" t="s">
        <v>59</v>
      </c>
      <c r="BF132" s="289" t="s">
        <v>59</v>
      </c>
      <c r="BG132" s="106"/>
      <c r="BH132" s="107" t="s">
        <v>59</v>
      </c>
      <c r="BI132" s="286" t="s">
        <v>59</v>
      </c>
      <c r="BJ132" s="109"/>
      <c r="BK132" s="87" t="s">
        <v>59</v>
      </c>
      <c r="BL132" s="289"/>
      <c r="BM132" s="106"/>
      <c r="BN132" s="107"/>
    </row>
    <row r="133" customFormat="false" ht="17.25" hidden="false" customHeight="true" outlineLevel="0" collapsed="false">
      <c r="B133" s="133"/>
      <c r="C133" s="213" t="s">
        <v>251</v>
      </c>
      <c r="D133" s="214"/>
      <c r="E133" s="214"/>
      <c r="F133" s="214"/>
      <c r="G133" s="205" t="s">
        <v>46</v>
      </c>
      <c r="H133" s="124"/>
      <c r="I133" s="125" t="s">
        <v>46</v>
      </c>
      <c r="J133" s="97" t="s">
        <v>244</v>
      </c>
      <c r="K133" s="94"/>
      <c r="L133" s="104" t="s">
        <v>244</v>
      </c>
      <c r="M133" s="205" t="s">
        <v>309</v>
      </c>
      <c r="N133" s="124"/>
      <c r="O133" s="119" t="s">
        <v>244</v>
      </c>
      <c r="P133" s="205" t="s">
        <v>312</v>
      </c>
      <c r="Q133" s="124"/>
      <c r="R133" s="125" t="s">
        <v>244</v>
      </c>
      <c r="S133" s="296" t="s">
        <v>308</v>
      </c>
      <c r="T133" s="121"/>
      <c r="U133" s="122" t="s">
        <v>308</v>
      </c>
      <c r="V133" s="277" t="s">
        <v>59</v>
      </c>
      <c r="W133" s="124"/>
      <c r="X133" s="54" t="s">
        <v>59</v>
      </c>
      <c r="Y133" s="297" t="s">
        <v>59</v>
      </c>
      <c r="Z133" s="121"/>
      <c r="AA133" s="122" t="s">
        <v>59</v>
      </c>
      <c r="AB133" s="298" t="s">
        <v>59</v>
      </c>
      <c r="AC133" s="124"/>
      <c r="AD133" s="125" t="s">
        <v>59</v>
      </c>
      <c r="AE133" s="120" t="s">
        <v>59</v>
      </c>
      <c r="AF133" s="121"/>
      <c r="AG133" s="122" t="s">
        <v>59</v>
      </c>
      <c r="AH133" s="205" t="s">
        <v>59</v>
      </c>
      <c r="AI133" s="124"/>
      <c r="AJ133" s="125" t="s">
        <v>59</v>
      </c>
      <c r="AK133" s="292" t="s">
        <v>59</v>
      </c>
      <c r="AL133" s="130"/>
      <c r="AM133" s="131" t="s">
        <v>59</v>
      </c>
      <c r="AN133" s="49" t="s">
        <v>59</v>
      </c>
      <c r="AO133" s="121"/>
      <c r="AP133" s="51" t="s">
        <v>59</v>
      </c>
      <c r="AQ133" s="277" t="s">
        <v>59</v>
      </c>
      <c r="AR133" s="124"/>
      <c r="AS133" s="54" t="s">
        <v>59</v>
      </c>
      <c r="AT133" s="97" t="s">
        <v>59</v>
      </c>
      <c r="AU133" s="94"/>
      <c r="AV133" s="98" t="s">
        <v>59</v>
      </c>
      <c r="AW133" s="95" t="s">
        <v>59</v>
      </c>
      <c r="AX133" s="100"/>
      <c r="AY133" s="96" t="s">
        <v>59</v>
      </c>
      <c r="AZ133" s="97" t="s">
        <v>59</v>
      </c>
      <c r="BA133" s="94"/>
      <c r="BB133" s="98" t="s">
        <v>59</v>
      </c>
      <c r="BC133" s="298" t="s">
        <v>59</v>
      </c>
      <c r="BD133" s="124"/>
      <c r="BE133" s="125" t="s">
        <v>59</v>
      </c>
      <c r="BF133" s="299" t="s">
        <v>59</v>
      </c>
      <c r="BG133" s="167"/>
      <c r="BH133" s="168" t="s">
        <v>59</v>
      </c>
      <c r="BI133" s="300" t="s">
        <v>59</v>
      </c>
      <c r="BJ133" s="170"/>
      <c r="BK133" s="171" t="s">
        <v>59</v>
      </c>
      <c r="BL133" s="289"/>
      <c r="BM133" s="167"/>
      <c r="BN133" s="168"/>
    </row>
    <row r="134" customFormat="false" ht="17.25" hidden="false" customHeight="true" outlineLevel="0" collapsed="false">
      <c r="B134" s="173" t="s">
        <v>94</v>
      </c>
      <c r="C134" s="301" t="s">
        <v>313</v>
      </c>
      <c r="D134" s="177"/>
      <c r="E134" s="177" t="s">
        <v>97</v>
      </c>
      <c r="F134" s="176"/>
      <c r="G134" s="58" t="s">
        <v>314</v>
      </c>
      <c r="H134" s="59"/>
      <c r="I134" s="178" t="s">
        <v>315</v>
      </c>
      <c r="J134" s="61" t="s">
        <v>46</v>
      </c>
      <c r="K134" s="62"/>
      <c r="L134" s="211" t="s">
        <v>46</v>
      </c>
      <c r="M134" s="58" t="s">
        <v>46</v>
      </c>
      <c r="N134" s="59"/>
      <c r="O134" s="178" t="s">
        <v>46</v>
      </c>
      <c r="P134" s="58" t="s">
        <v>46</v>
      </c>
      <c r="Q134" s="59"/>
      <c r="R134" s="60" t="s">
        <v>46</v>
      </c>
      <c r="S134" s="271" t="s">
        <v>157</v>
      </c>
      <c r="T134" s="62"/>
      <c r="U134" s="63" t="s">
        <v>180</v>
      </c>
      <c r="V134" s="272" t="s">
        <v>191</v>
      </c>
      <c r="W134" s="59"/>
      <c r="X134" s="60" t="s">
        <v>280</v>
      </c>
      <c r="Y134" s="273" t="s">
        <v>181</v>
      </c>
      <c r="Z134" s="62"/>
      <c r="AA134" s="63" t="s">
        <v>316</v>
      </c>
      <c r="AB134" s="272" t="s">
        <v>181</v>
      </c>
      <c r="AC134" s="59"/>
      <c r="AD134" s="60" t="s">
        <v>316</v>
      </c>
      <c r="AE134" s="302" t="s">
        <v>307</v>
      </c>
      <c r="AF134" s="62"/>
      <c r="AG134" s="63" t="s">
        <v>317</v>
      </c>
      <c r="AH134" s="58" t="s">
        <v>307</v>
      </c>
      <c r="AI134" s="59"/>
      <c r="AJ134" s="60" t="s">
        <v>318</v>
      </c>
      <c r="AK134" s="294" t="s">
        <v>239</v>
      </c>
      <c r="AL134" s="185"/>
      <c r="AM134" s="186" t="s">
        <v>319</v>
      </c>
      <c r="AN134" s="61" t="s">
        <v>320</v>
      </c>
      <c r="AO134" s="62"/>
      <c r="AP134" s="63" t="s">
        <v>307</v>
      </c>
      <c r="AQ134" s="272" t="s">
        <v>307</v>
      </c>
      <c r="AR134" s="59"/>
      <c r="AS134" s="60" t="s">
        <v>320</v>
      </c>
      <c r="AT134" s="61" t="s">
        <v>59</v>
      </c>
      <c r="AU134" s="62"/>
      <c r="AV134" s="63" t="s">
        <v>59</v>
      </c>
      <c r="AW134" s="58" t="s">
        <v>59</v>
      </c>
      <c r="AX134" s="59"/>
      <c r="AY134" s="60" t="s">
        <v>59</v>
      </c>
      <c r="AZ134" s="61" t="s">
        <v>321</v>
      </c>
      <c r="BA134" s="62"/>
      <c r="BB134" s="63" t="s">
        <v>317</v>
      </c>
      <c r="BC134" s="272" t="s">
        <v>59</v>
      </c>
      <c r="BD134" s="59"/>
      <c r="BE134" s="60" t="s">
        <v>59</v>
      </c>
      <c r="BF134" s="303" t="s">
        <v>322</v>
      </c>
      <c r="BG134" s="182"/>
      <c r="BH134" s="183" t="s">
        <v>239</v>
      </c>
      <c r="BI134" s="294" t="s">
        <v>234</v>
      </c>
      <c r="BJ134" s="185"/>
      <c r="BK134" s="186" t="s">
        <v>239</v>
      </c>
      <c r="BL134" s="303" t="s">
        <v>224</v>
      </c>
      <c r="BM134" s="182"/>
      <c r="BN134" s="183" t="s">
        <v>323</v>
      </c>
    </row>
    <row r="135" customFormat="false" ht="17.25" hidden="false" customHeight="true" outlineLevel="0" collapsed="false">
      <c r="B135" s="173"/>
      <c r="C135" s="301"/>
      <c r="D135" s="189"/>
      <c r="E135" s="189" t="s">
        <v>99</v>
      </c>
      <c r="F135" s="190"/>
      <c r="G135" s="191" t="s">
        <v>314</v>
      </c>
      <c r="H135" s="192"/>
      <c r="I135" s="193" t="s">
        <v>315</v>
      </c>
      <c r="J135" s="49" t="s">
        <v>46</v>
      </c>
      <c r="K135" s="50"/>
      <c r="L135" s="154" t="s">
        <v>46</v>
      </c>
      <c r="M135" s="78" t="s">
        <v>46</v>
      </c>
      <c r="N135" s="53"/>
      <c r="O135" s="153" t="s">
        <v>46</v>
      </c>
      <c r="P135" s="78" t="s">
        <v>46</v>
      </c>
      <c r="Q135" s="53"/>
      <c r="R135" s="54" t="s">
        <v>46</v>
      </c>
      <c r="S135" s="276" t="s">
        <v>157</v>
      </c>
      <c r="T135" s="50"/>
      <c r="U135" s="51" t="s">
        <v>180</v>
      </c>
      <c r="V135" s="304" t="s">
        <v>191</v>
      </c>
      <c r="W135" s="192"/>
      <c r="X135" s="195" t="s">
        <v>280</v>
      </c>
      <c r="Y135" s="305" t="s">
        <v>181</v>
      </c>
      <c r="Z135" s="197"/>
      <c r="AA135" s="199" t="s">
        <v>316</v>
      </c>
      <c r="AB135" s="304" t="s">
        <v>181</v>
      </c>
      <c r="AC135" s="192"/>
      <c r="AD135" s="195" t="s">
        <v>316</v>
      </c>
      <c r="AE135" s="306" t="s">
        <v>307</v>
      </c>
      <c r="AF135" s="197"/>
      <c r="AG135" s="199" t="s">
        <v>317</v>
      </c>
      <c r="AH135" s="191" t="s">
        <v>307</v>
      </c>
      <c r="AI135" s="192"/>
      <c r="AJ135" s="195" t="s">
        <v>318</v>
      </c>
      <c r="AK135" s="286" t="s">
        <v>239</v>
      </c>
      <c r="AL135" s="307"/>
      <c r="AM135" s="307" t="s">
        <v>319</v>
      </c>
      <c r="AN135" s="198" t="s">
        <v>320</v>
      </c>
      <c r="AO135" s="197"/>
      <c r="AP135" s="199" t="s">
        <v>307</v>
      </c>
      <c r="AQ135" s="304" t="s">
        <v>307</v>
      </c>
      <c r="AR135" s="192"/>
      <c r="AS135" s="195" t="s">
        <v>320</v>
      </c>
      <c r="AT135" s="49" t="s">
        <v>59</v>
      </c>
      <c r="AU135" s="50"/>
      <c r="AV135" s="51" t="s">
        <v>59</v>
      </c>
      <c r="AW135" s="78" t="s">
        <v>59</v>
      </c>
      <c r="AX135" s="53"/>
      <c r="AY135" s="54" t="s">
        <v>59</v>
      </c>
      <c r="AZ135" s="49" t="s">
        <v>321</v>
      </c>
      <c r="BA135" s="50"/>
      <c r="BB135" s="51" t="s">
        <v>317</v>
      </c>
      <c r="BC135" s="304" t="s">
        <v>59</v>
      </c>
      <c r="BD135" s="192"/>
      <c r="BE135" s="195" t="s">
        <v>59</v>
      </c>
      <c r="BF135" s="289" t="s">
        <v>322</v>
      </c>
      <c r="BG135" s="106"/>
      <c r="BH135" s="107" t="s">
        <v>239</v>
      </c>
      <c r="BI135" s="286" t="s">
        <v>234</v>
      </c>
      <c r="BJ135" s="109"/>
      <c r="BK135" s="186" t="s">
        <v>239</v>
      </c>
      <c r="BL135" s="303" t="s">
        <v>224</v>
      </c>
      <c r="BM135" s="106"/>
      <c r="BN135" s="183" t="s">
        <v>323</v>
      </c>
    </row>
    <row r="136" customFormat="false" ht="17.25" hidden="false" customHeight="true" outlineLevel="0" collapsed="false">
      <c r="B136" s="173"/>
      <c r="C136" s="115" t="s">
        <v>324</v>
      </c>
      <c r="D136" s="202"/>
      <c r="E136" s="202" t="s">
        <v>97</v>
      </c>
      <c r="F136" s="113"/>
      <c r="G136" s="78" t="s">
        <v>314</v>
      </c>
      <c r="H136" s="53"/>
      <c r="I136" s="153" t="s">
        <v>156</v>
      </c>
      <c r="J136" s="49" t="s">
        <v>46</v>
      </c>
      <c r="K136" s="50"/>
      <c r="L136" s="154" t="s">
        <v>46</v>
      </c>
      <c r="M136" s="78" t="s">
        <v>46</v>
      </c>
      <c r="N136" s="53"/>
      <c r="O136" s="153" t="s">
        <v>46</v>
      </c>
      <c r="P136" s="78" t="s">
        <v>46</v>
      </c>
      <c r="Q136" s="53"/>
      <c r="R136" s="54" t="s">
        <v>46</v>
      </c>
      <c r="S136" s="276" t="s">
        <v>157</v>
      </c>
      <c r="T136" s="50"/>
      <c r="U136" s="51" t="s">
        <v>180</v>
      </c>
      <c r="V136" s="277" t="s">
        <v>191</v>
      </c>
      <c r="W136" s="53"/>
      <c r="X136" s="54" t="s">
        <v>280</v>
      </c>
      <c r="Y136" s="305" t="s">
        <v>181</v>
      </c>
      <c r="Z136" s="197"/>
      <c r="AA136" s="199" t="s">
        <v>316</v>
      </c>
      <c r="AB136" s="277" t="s">
        <v>181</v>
      </c>
      <c r="AC136" s="53"/>
      <c r="AD136" s="54" t="s">
        <v>316</v>
      </c>
      <c r="AE136" s="308" t="s">
        <v>307</v>
      </c>
      <c r="AF136" s="50"/>
      <c r="AG136" s="51" t="s">
        <v>317</v>
      </c>
      <c r="AH136" s="78" t="s">
        <v>307</v>
      </c>
      <c r="AI136" s="53"/>
      <c r="AJ136" s="54" t="s">
        <v>318</v>
      </c>
      <c r="AK136" s="286" t="s">
        <v>239</v>
      </c>
      <c r="AL136" s="109"/>
      <c r="AM136" s="307" t="s">
        <v>319</v>
      </c>
      <c r="AN136" s="198" t="s">
        <v>320</v>
      </c>
      <c r="AO136" s="50"/>
      <c r="AP136" s="199" t="s">
        <v>307</v>
      </c>
      <c r="AQ136" s="304" t="s">
        <v>307</v>
      </c>
      <c r="AR136" s="53"/>
      <c r="AS136" s="195" t="s">
        <v>320</v>
      </c>
      <c r="AT136" s="49" t="s">
        <v>59</v>
      </c>
      <c r="AU136" s="50"/>
      <c r="AV136" s="51" t="s">
        <v>59</v>
      </c>
      <c r="AW136" s="78" t="s">
        <v>59</v>
      </c>
      <c r="AX136" s="53"/>
      <c r="AY136" s="54" t="s">
        <v>59</v>
      </c>
      <c r="AZ136" s="49" t="s">
        <v>321</v>
      </c>
      <c r="BA136" s="50"/>
      <c r="BB136" s="51" t="s">
        <v>317</v>
      </c>
      <c r="BC136" s="277" t="s">
        <v>59</v>
      </c>
      <c r="BD136" s="53"/>
      <c r="BE136" s="54" t="s">
        <v>59</v>
      </c>
      <c r="BF136" s="289" t="s">
        <v>322</v>
      </c>
      <c r="BG136" s="106"/>
      <c r="BH136" s="107" t="s">
        <v>239</v>
      </c>
      <c r="BI136" s="294" t="s">
        <v>234</v>
      </c>
      <c r="BJ136" s="109"/>
      <c r="BK136" s="186" t="s">
        <v>239</v>
      </c>
      <c r="BL136" s="303" t="s">
        <v>224</v>
      </c>
      <c r="BM136" s="106"/>
      <c r="BN136" s="183" t="s">
        <v>323</v>
      </c>
    </row>
    <row r="137" customFormat="false" ht="17.25" hidden="false" customHeight="true" outlineLevel="0" collapsed="false">
      <c r="B137" s="173"/>
      <c r="C137" s="115"/>
      <c r="D137" s="203"/>
      <c r="E137" s="203" t="s">
        <v>99</v>
      </c>
      <c r="F137" s="204"/>
      <c r="G137" s="205" t="s">
        <v>314</v>
      </c>
      <c r="H137" s="124"/>
      <c r="I137" s="119" t="s">
        <v>156</v>
      </c>
      <c r="J137" s="120" t="s">
        <v>46</v>
      </c>
      <c r="K137" s="121"/>
      <c r="L137" s="165" t="s">
        <v>46</v>
      </c>
      <c r="M137" s="205" t="s">
        <v>46</v>
      </c>
      <c r="N137" s="124"/>
      <c r="O137" s="119" t="s">
        <v>46</v>
      </c>
      <c r="P137" s="205" t="s">
        <v>46</v>
      </c>
      <c r="Q137" s="124"/>
      <c r="R137" s="125" t="s">
        <v>46</v>
      </c>
      <c r="S137" s="296" t="s">
        <v>157</v>
      </c>
      <c r="T137" s="121"/>
      <c r="U137" s="122" t="s">
        <v>180</v>
      </c>
      <c r="V137" s="298" t="s">
        <v>191</v>
      </c>
      <c r="W137" s="124"/>
      <c r="X137" s="125" t="s">
        <v>280</v>
      </c>
      <c r="Y137" s="305" t="s">
        <v>181</v>
      </c>
      <c r="Z137" s="197"/>
      <c r="AA137" s="199" t="s">
        <v>316</v>
      </c>
      <c r="AB137" s="298" t="s">
        <v>181</v>
      </c>
      <c r="AC137" s="124"/>
      <c r="AD137" s="125" t="s">
        <v>316</v>
      </c>
      <c r="AE137" s="309" t="s">
        <v>307</v>
      </c>
      <c r="AF137" s="121"/>
      <c r="AG137" s="122" t="s">
        <v>317</v>
      </c>
      <c r="AH137" s="205" t="s">
        <v>307</v>
      </c>
      <c r="AI137" s="124"/>
      <c r="AJ137" s="125" t="s">
        <v>318</v>
      </c>
      <c r="AK137" s="292" t="s">
        <v>239</v>
      </c>
      <c r="AL137" s="130"/>
      <c r="AM137" s="307" t="s">
        <v>319</v>
      </c>
      <c r="AN137" s="198" t="s">
        <v>320</v>
      </c>
      <c r="AO137" s="121"/>
      <c r="AP137" s="199" t="s">
        <v>307</v>
      </c>
      <c r="AQ137" s="304" t="s">
        <v>307</v>
      </c>
      <c r="AR137" s="124"/>
      <c r="AS137" s="195" t="s">
        <v>320</v>
      </c>
      <c r="AT137" s="120" t="s">
        <v>59</v>
      </c>
      <c r="AU137" s="121"/>
      <c r="AV137" s="122" t="s">
        <v>59</v>
      </c>
      <c r="AW137" s="205" t="s">
        <v>59</v>
      </c>
      <c r="AX137" s="124"/>
      <c r="AY137" s="125" t="s">
        <v>59</v>
      </c>
      <c r="AZ137" s="120" t="s">
        <v>321</v>
      </c>
      <c r="BA137" s="121"/>
      <c r="BB137" s="122" t="s">
        <v>317</v>
      </c>
      <c r="BC137" s="298" t="s">
        <v>59</v>
      </c>
      <c r="BD137" s="124"/>
      <c r="BE137" s="125" t="s">
        <v>59</v>
      </c>
      <c r="BF137" s="291" t="s">
        <v>322</v>
      </c>
      <c r="BG137" s="127"/>
      <c r="BH137" s="128" t="s">
        <v>239</v>
      </c>
      <c r="BI137" s="286" t="s">
        <v>234</v>
      </c>
      <c r="BJ137" s="130"/>
      <c r="BK137" s="186" t="s">
        <v>239</v>
      </c>
      <c r="BL137" s="303" t="s">
        <v>224</v>
      </c>
      <c r="BM137" s="106"/>
      <c r="BN137" s="183" t="s">
        <v>323</v>
      </c>
    </row>
    <row r="138" customFormat="false" ht="17.25" hidden="false" customHeight="true" outlineLevel="0" collapsed="false">
      <c r="B138" s="207" t="s">
        <v>101</v>
      </c>
      <c r="C138" s="134" t="s">
        <v>84</v>
      </c>
      <c r="D138" s="136"/>
      <c r="E138" s="136"/>
      <c r="F138" s="310"/>
      <c r="G138" s="58" t="s">
        <v>325</v>
      </c>
      <c r="H138" s="59"/>
      <c r="I138" s="178" t="s">
        <v>293</v>
      </c>
      <c r="J138" s="61" t="s">
        <v>46</v>
      </c>
      <c r="K138" s="62"/>
      <c r="L138" s="211" t="s">
        <v>46</v>
      </c>
      <c r="M138" s="58" t="s">
        <v>46</v>
      </c>
      <c r="N138" s="59"/>
      <c r="O138" s="178" t="s">
        <v>46</v>
      </c>
      <c r="P138" s="58" t="s">
        <v>46</v>
      </c>
      <c r="Q138" s="59"/>
      <c r="R138" s="60" t="s">
        <v>46</v>
      </c>
      <c r="S138" s="271" t="s">
        <v>156</v>
      </c>
      <c r="T138" s="62"/>
      <c r="U138" s="63" t="s">
        <v>156</v>
      </c>
      <c r="V138" s="272" t="s">
        <v>156</v>
      </c>
      <c r="W138" s="59"/>
      <c r="X138" s="60" t="s">
        <v>156</v>
      </c>
      <c r="Y138" s="273" t="s">
        <v>59</v>
      </c>
      <c r="Z138" s="62"/>
      <c r="AA138" s="63" t="s">
        <v>59</v>
      </c>
      <c r="AB138" s="272" t="s">
        <v>59</v>
      </c>
      <c r="AC138" s="59"/>
      <c r="AD138" s="60" t="s">
        <v>59</v>
      </c>
      <c r="AE138" s="61" t="s">
        <v>59</v>
      </c>
      <c r="AF138" s="62"/>
      <c r="AG138" s="63" t="s">
        <v>59</v>
      </c>
      <c r="AH138" s="58" t="s">
        <v>59</v>
      </c>
      <c r="AI138" s="59"/>
      <c r="AJ138" s="60" t="s">
        <v>59</v>
      </c>
      <c r="AK138" s="294" t="s">
        <v>326</v>
      </c>
      <c r="AL138" s="185"/>
      <c r="AM138" s="186" t="s">
        <v>327</v>
      </c>
      <c r="AN138" s="61" t="s">
        <v>328</v>
      </c>
      <c r="AO138" s="62"/>
      <c r="AP138" s="63" t="s">
        <v>328</v>
      </c>
      <c r="AQ138" s="272" t="s">
        <v>59</v>
      </c>
      <c r="AR138" s="59"/>
      <c r="AS138" s="60" t="s">
        <v>59</v>
      </c>
      <c r="AT138" s="55" t="s">
        <v>59</v>
      </c>
      <c r="AU138" s="56"/>
      <c r="AV138" s="57" t="s">
        <v>59</v>
      </c>
      <c r="AW138" s="73" t="s">
        <v>59</v>
      </c>
      <c r="AX138" s="74"/>
      <c r="AY138" s="75" t="s">
        <v>59</v>
      </c>
      <c r="AZ138" s="55" t="s">
        <v>59</v>
      </c>
      <c r="BA138" s="56"/>
      <c r="BB138" s="57" t="s">
        <v>59</v>
      </c>
      <c r="BC138" s="272" t="s">
        <v>59</v>
      </c>
      <c r="BD138" s="59"/>
      <c r="BE138" s="60" t="s">
        <v>59</v>
      </c>
      <c r="BF138" s="303" t="s">
        <v>59</v>
      </c>
      <c r="BG138" s="182"/>
      <c r="BH138" s="183" t="s">
        <v>59</v>
      </c>
      <c r="BI138" s="294" t="s">
        <v>59</v>
      </c>
      <c r="BJ138" s="185"/>
      <c r="BK138" s="186" t="s">
        <v>59</v>
      </c>
      <c r="BL138" s="303" t="s">
        <v>59</v>
      </c>
      <c r="BM138" s="182"/>
      <c r="BN138" s="183" t="s">
        <v>59</v>
      </c>
    </row>
    <row r="139" customFormat="false" ht="17.25" hidden="false" customHeight="true" outlineLevel="0" collapsed="false">
      <c r="B139" s="207"/>
      <c r="C139" s="143" t="s">
        <v>329</v>
      </c>
      <c r="D139" s="149"/>
      <c r="E139" s="149"/>
      <c r="F139" s="212"/>
      <c r="G139" s="78" t="s">
        <v>46</v>
      </c>
      <c r="H139" s="53"/>
      <c r="I139" s="153" t="s">
        <v>46</v>
      </c>
      <c r="J139" s="49" t="s">
        <v>46</v>
      </c>
      <c r="K139" s="50"/>
      <c r="L139" s="154" t="s">
        <v>46</v>
      </c>
      <c r="M139" s="78" t="s">
        <v>46</v>
      </c>
      <c r="N139" s="53"/>
      <c r="O139" s="153" t="s">
        <v>46</v>
      </c>
      <c r="P139" s="78" t="s">
        <v>46</v>
      </c>
      <c r="Q139" s="53"/>
      <c r="R139" s="54" t="s">
        <v>46</v>
      </c>
      <c r="S139" s="276" t="s">
        <v>59</v>
      </c>
      <c r="T139" s="50"/>
      <c r="U139" s="51" t="s">
        <v>59</v>
      </c>
      <c r="V139" s="277" t="s">
        <v>156</v>
      </c>
      <c r="W139" s="53"/>
      <c r="X139" s="54" t="s">
        <v>156</v>
      </c>
      <c r="Y139" s="280" t="s">
        <v>59</v>
      </c>
      <c r="Z139" s="50"/>
      <c r="AA139" s="51" t="s">
        <v>59</v>
      </c>
      <c r="AB139" s="277" t="s">
        <v>59</v>
      </c>
      <c r="AC139" s="53"/>
      <c r="AD139" s="54" t="s">
        <v>59</v>
      </c>
      <c r="AE139" s="49" t="s">
        <v>59</v>
      </c>
      <c r="AF139" s="50"/>
      <c r="AG139" s="51" t="s">
        <v>59</v>
      </c>
      <c r="AH139" s="78" t="s">
        <v>59</v>
      </c>
      <c r="AI139" s="53"/>
      <c r="AJ139" s="54" t="s">
        <v>59</v>
      </c>
      <c r="AK139" s="286" t="s">
        <v>59</v>
      </c>
      <c r="AL139" s="109"/>
      <c r="AM139" s="87" t="s">
        <v>59</v>
      </c>
      <c r="AN139" s="49" t="s">
        <v>328</v>
      </c>
      <c r="AO139" s="50"/>
      <c r="AP139" s="51" t="s">
        <v>328</v>
      </c>
      <c r="AQ139" s="277" t="s">
        <v>59</v>
      </c>
      <c r="AR139" s="53"/>
      <c r="AS139" s="54" t="s">
        <v>59</v>
      </c>
      <c r="AT139" s="49" t="s">
        <v>59</v>
      </c>
      <c r="AU139" s="50"/>
      <c r="AV139" s="51" t="s">
        <v>59</v>
      </c>
      <c r="AW139" s="78" t="s">
        <v>59</v>
      </c>
      <c r="AX139" s="53"/>
      <c r="AY139" s="54" t="s">
        <v>59</v>
      </c>
      <c r="AZ139" s="49" t="s">
        <v>59</v>
      </c>
      <c r="BA139" s="50"/>
      <c r="BB139" s="51" t="s">
        <v>59</v>
      </c>
      <c r="BC139" s="277" t="s">
        <v>59</v>
      </c>
      <c r="BD139" s="53"/>
      <c r="BE139" s="54" t="s">
        <v>59</v>
      </c>
      <c r="BF139" s="289" t="s">
        <v>59</v>
      </c>
      <c r="BG139" s="106"/>
      <c r="BH139" s="107" t="s">
        <v>59</v>
      </c>
      <c r="BI139" s="286" t="s">
        <v>59</v>
      </c>
      <c r="BJ139" s="109"/>
      <c r="BK139" s="87" t="s">
        <v>59</v>
      </c>
      <c r="BL139" s="289" t="s">
        <v>59</v>
      </c>
      <c r="BM139" s="106"/>
      <c r="BN139" s="107" t="s">
        <v>59</v>
      </c>
    </row>
    <row r="140" customFormat="false" ht="17.25" hidden="false" customHeight="true" outlineLevel="0" collapsed="false">
      <c r="B140" s="207"/>
      <c r="C140" s="143" t="s">
        <v>251</v>
      </c>
      <c r="D140" s="149"/>
      <c r="E140" s="149"/>
      <c r="F140" s="212"/>
      <c r="G140" s="78" t="s">
        <v>46</v>
      </c>
      <c r="H140" s="53"/>
      <c r="I140" s="153" t="s">
        <v>46</v>
      </c>
      <c r="J140" s="49" t="s">
        <v>46</v>
      </c>
      <c r="K140" s="50"/>
      <c r="L140" s="154" t="s">
        <v>46</v>
      </c>
      <c r="M140" s="78" t="s">
        <v>46</v>
      </c>
      <c r="N140" s="53"/>
      <c r="O140" s="153" t="s">
        <v>46</v>
      </c>
      <c r="P140" s="78" t="s">
        <v>46</v>
      </c>
      <c r="Q140" s="53"/>
      <c r="R140" s="54" t="s">
        <v>46</v>
      </c>
      <c r="S140" s="276" t="s">
        <v>59</v>
      </c>
      <c r="T140" s="50"/>
      <c r="U140" s="51" t="s">
        <v>59</v>
      </c>
      <c r="V140" s="277" t="s">
        <v>156</v>
      </c>
      <c r="W140" s="53"/>
      <c r="X140" s="54" t="s">
        <v>156</v>
      </c>
      <c r="Y140" s="280" t="s">
        <v>59</v>
      </c>
      <c r="Z140" s="50"/>
      <c r="AA140" s="51" t="s">
        <v>59</v>
      </c>
      <c r="AB140" s="277" t="s">
        <v>59</v>
      </c>
      <c r="AC140" s="53"/>
      <c r="AD140" s="54" t="s">
        <v>59</v>
      </c>
      <c r="AE140" s="49" t="s">
        <v>59</v>
      </c>
      <c r="AF140" s="50"/>
      <c r="AG140" s="51" t="s">
        <v>59</v>
      </c>
      <c r="AH140" s="78" t="s">
        <v>59</v>
      </c>
      <c r="AI140" s="53"/>
      <c r="AJ140" s="54" t="s">
        <v>59</v>
      </c>
      <c r="AK140" s="286" t="s">
        <v>59</v>
      </c>
      <c r="AL140" s="109"/>
      <c r="AM140" s="87" t="s">
        <v>59</v>
      </c>
      <c r="AN140" s="49" t="s">
        <v>328</v>
      </c>
      <c r="AO140" s="50"/>
      <c r="AP140" s="51" t="s">
        <v>328</v>
      </c>
      <c r="AQ140" s="277" t="s">
        <v>59</v>
      </c>
      <c r="AR140" s="53"/>
      <c r="AS140" s="54" t="s">
        <v>59</v>
      </c>
      <c r="AT140" s="49" t="s">
        <v>59</v>
      </c>
      <c r="AU140" s="50"/>
      <c r="AV140" s="51" t="s">
        <v>59</v>
      </c>
      <c r="AW140" s="78" t="s">
        <v>59</v>
      </c>
      <c r="AX140" s="53"/>
      <c r="AY140" s="54" t="s">
        <v>59</v>
      </c>
      <c r="AZ140" s="49" t="s">
        <v>59</v>
      </c>
      <c r="BA140" s="50"/>
      <c r="BB140" s="51" t="s">
        <v>59</v>
      </c>
      <c r="BC140" s="277" t="s">
        <v>59</v>
      </c>
      <c r="BD140" s="53"/>
      <c r="BE140" s="54" t="s">
        <v>59</v>
      </c>
      <c r="BF140" s="289" t="s">
        <v>59</v>
      </c>
      <c r="BG140" s="106"/>
      <c r="BH140" s="107" t="s">
        <v>59</v>
      </c>
      <c r="BI140" s="286" t="s">
        <v>59</v>
      </c>
      <c r="BJ140" s="109"/>
      <c r="BK140" s="87" t="s">
        <v>59</v>
      </c>
      <c r="BL140" s="289" t="s">
        <v>59</v>
      </c>
      <c r="BM140" s="106"/>
      <c r="BN140" s="107" t="s">
        <v>59</v>
      </c>
    </row>
    <row r="141" customFormat="false" ht="17.25" hidden="false" customHeight="true" outlineLevel="0" collapsed="false">
      <c r="B141" s="207"/>
      <c r="C141" s="213" t="s">
        <v>102</v>
      </c>
      <c r="D141" s="214"/>
      <c r="E141" s="214"/>
      <c r="F141" s="215"/>
      <c r="G141" s="205" t="s">
        <v>46</v>
      </c>
      <c r="H141" s="124"/>
      <c r="I141" s="119" t="s">
        <v>46</v>
      </c>
      <c r="J141" s="120" t="s">
        <v>46</v>
      </c>
      <c r="K141" s="121"/>
      <c r="L141" s="165" t="s">
        <v>46</v>
      </c>
      <c r="M141" s="205" t="s">
        <v>46</v>
      </c>
      <c r="N141" s="124"/>
      <c r="O141" s="119" t="s">
        <v>46</v>
      </c>
      <c r="P141" s="205" t="s">
        <v>46</v>
      </c>
      <c r="Q141" s="124"/>
      <c r="R141" s="125" t="s">
        <v>46</v>
      </c>
      <c r="S141" s="276" t="s">
        <v>59</v>
      </c>
      <c r="T141" s="121"/>
      <c r="U141" s="51" t="s">
        <v>59</v>
      </c>
      <c r="V141" s="298" t="s">
        <v>156</v>
      </c>
      <c r="W141" s="124"/>
      <c r="X141" s="125" t="s">
        <v>156</v>
      </c>
      <c r="Y141" s="297" t="s">
        <v>59</v>
      </c>
      <c r="Z141" s="121"/>
      <c r="AA141" s="122" t="s">
        <v>59</v>
      </c>
      <c r="AB141" s="298" t="s">
        <v>59</v>
      </c>
      <c r="AC141" s="124"/>
      <c r="AD141" s="125" t="s">
        <v>59</v>
      </c>
      <c r="AE141" s="120" t="s">
        <v>59</v>
      </c>
      <c r="AF141" s="121"/>
      <c r="AG141" s="122" t="s">
        <v>59</v>
      </c>
      <c r="AH141" s="205" t="s">
        <v>59</v>
      </c>
      <c r="AI141" s="124"/>
      <c r="AJ141" s="125" t="s">
        <v>59</v>
      </c>
      <c r="AK141" s="286" t="s">
        <v>59</v>
      </c>
      <c r="AL141" s="130"/>
      <c r="AM141" s="87" t="s">
        <v>59</v>
      </c>
      <c r="AN141" s="120" t="s">
        <v>59</v>
      </c>
      <c r="AO141" s="121"/>
      <c r="AP141" s="122" t="s">
        <v>59</v>
      </c>
      <c r="AQ141" s="298" t="s">
        <v>59</v>
      </c>
      <c r="AR141" s="124"/>
      <c r="AS141" s="125" t="s">
        <v>59</v>
      </c>
      <c r="AT141" s="97" t="s">
        <v>59</v>
      </c>
      <c r="AU141" s="94"/>
      <c r="AV141" s="98" t="s">
        <v>59</v>
      </c>
      <c r="AW141" s="95" t="s">
        <v>59</v>
      </c>
      <c r="AX141" s="100"/>
      <c r="AY141" s="96" t="s">
        <v>59</v>
      </c>
      <c r="AZ141" s="97" t="s">
        <v>59</v>
      </c>
      <c r="BA141" s="94"/>
      <c r="BB141" s="98" t="s">
        <v>59</v>
      </c>
      <c r="BC141" s="298" t="s">
        <v>59</v>
      </c>
      <c r="BD141" s="124"/>
      <c r="BE141" s="125" t="s">
        <v>59</v>
      </c>
      <c r="BF141" s="291" t="s">
        <v>59</v>
      </c>
      <c r="BG141" s="127"/>
      <c r="BH141" s="128" t="s">
        <v>59</v>
      </c>
      <c r="BI141" s="292" t="s">
        <v>59</v>
      </c>
      <c r="BJ141" s="130"/>
      <c r="BK141" s="131" t="s">
        <v>59</v>
      </c>
      <c r="BL141" s="291" t="s">
        <v>59</v>
      </c>
      <c r="BM141" s="127"/>
      <c r="BN141" s="128" t="s">
        <v>59</v>
      </c>
    </row>
    <row r="142" customFormat="false" ht="17.25" hidden="false" customHeight="true" outlineLevel="0" collapsed="false">
      <c r="B142" s="173" t="s">
        <v>103</v>
      </c>
      <c r="C142" s="42" t="s">
        <v>85</v>
      </c>
      <c r="D142" s="177"/>
      <c r="E142" s="177"/>
      <c r="F142" s="216"/>
      <c r="G142" s="58" t="s">
        <v>46</v>
      </c>
      <c r="H142" s="59"/>
      <c r="I142" s="178" t="s">
        <v>46</v>
      </c>
      <c r="J142" s="61" t="s">
        <v>46</v>
      </c>
      <c r="K142" s="62"/>
      <c r="L142" s="211" t="s">
        <v>46</v>
      </c>
      <c r="M142" s="58" t="s">
        <v>46</v>
      </c>
      <c r="N142" s="59"/>
      <c r="O142" s="178" t="s">
        <v>46</v>
      </c>
      <c r="P142" s="58" t="s">
        <v>46</v>
      </c>
      <c r="Q142" s="59"/>
      <c r="R142" s="60" t="s">
        <v>46</v>
      </c>
      <c r="S142" s="293" t="s">
        <v>156</v>
      </c>
      <c r="T142" s="56"/>
      <c r="U142" s="57" t="s">
        <v>156</v>
      </c>
      <c r="V142" s="272" t="s">
        <v>59</v>
      </c>
      <c r="W142" s="59"/>
      <c r="X142" s="60" t="s">
        <v>59</v>
      </c>
      <c r="Y142" s="273" t="s">
        <v>59</v>
      </c>
      <c r="Z142" s="62"/>
      <c r="AA142" s="63" t="s">
        <v>59</v>
      </c>
      <c r="AB142" s="272" t="s">
        <v>59</v>
      </c>
      <c r="AC142" s="59"/>
      <c r="AD142" s="60" t="s">
        <v>59</v>
      </c>
      <c r="AE142" s="61" t="s">
        <v>59</v>
      </c>
      <c r="AF142" s="62"/>
      <c r="AG142" s="63" t="s">
        <v>59</v>
      </c>
      <c r="AH142" s="58" t="s">
        <v>59</v>
      </c>
      <c r="AI142" s="59"/>
      <c r="AJ142" s="60" t="s">
        <v>59</v>
      </c>
      <c r="AK142" s="294" t="s">
        <v>231</v>
      </c>
      <c r="AL142" s="185"/>
      <c r="AM142" s="186" t="s">
        <v>330</v>
      </c>
      <c r="AN142" s="61" t="s">
        <v>59</v>
      </c>
      <c r="AO142" s="62"/>
      <c r="AP142" s="63" t="s">
        <v>59</v>
      </c>
      <c r="AQ142" s="272" t="s">
        <v>158</v>
      </c>
      <c r="AR142" s="59"/>
      <c r="AS142" s="60" t="s">
        <v>158</v>
      </c>
      <c r="AT142" s="61" t="s">
        <v>59</v>
      </c>
      <c r="AU142" s="62"/>
      <c r="AV142" s="63" t="s">
        <v>59</v>
      </c>
      <c r="AW142" s="58" t="s">
        <v>59</v>
      </c>
      <c r="AX142" s="59"/>
      <c r="AY142" s="60" t="s">
        <v>59</v>
      </c>
      <c r="AZ142" s="61" t="s">
        <v>59</v>
      </c>
      <c r="BA142" s="62"/>
      <c r="BB142" s="63" t="s">
        <v>59</v>
      </c>
      <c r="BC142" s="272" t="s">
        <v>59</v>
      </c>
      <c r="BD142" s="59"/>
      <c r="BE142" s="60" t="s">
        <v>59</v>
      </c>
      <c r="BF142" s="311" t="s">
        <v>59</v>
      </c>
      <c r="BG142" s="221"/>
      <c r="BH142" s="222" t="s">
        <v>59</v>
      </c>
      <c r="BI142" s="283" t="s">
        <v>59</v>
      </c>
      <c r="BJ142" s="188"/>
      <c r="BK142" s="187" t="s">
        <v>59</v>
      </c>
      <c r="BL142" s="311" t="s">
        <v>59</v>
      </c>
      <c r="BM142" s="221"/>
      <c r="BN142" s="222" t="s">
        <v>59</v>
      </c>
    </row>
    <row r="143" customFormat="false" ht="17.25" hidden="false" customHeight="true" outlineLevel="0" collapsed="false">
      <c r="B143" s="173"/>
      <c r="C143" s="115" t="s">
        <v>92</v>
      </c>
      <c r="D143" s="203"/>
      <c r="E143" s="203"/>
      <c r="F143" s="224"/>
      <c r="G143" s="205" t="s">
        <v>46</v>
      </c>
      <c r="H143" s="124"/>
      <c r="I143" s="119" t="s">
        <v>46</v>
      </c>
      <c r="J143" s="120" t="s">
        <v>331</v>
      </c>
      <c r="K143" s="121"/>
      <c r="L143" s="165" t="s">
        <v>331</v>
      </c>
      <c r="M143" s="205" t="s">
        <v>331</v>
      </c>
      <c r="N143" s="124"/>
      <c r="O143" s="119" t="s">
        <v>331</v>
      </c>
      <c r="P143" s="205" t="s">
        <v>331</v>
      </c>
      <c r="Q143" s="124"/>
      <c r="R143" s="125" t="s">
        <v>331</v>
      </c>
      <c r="S143" s="293" t="s">
        <v>156</v>
      </c>
      <c r="T143" s="56"/>
      <c r="U143" s="57" t="s">
        <v>156</v>
      </c>
      <c r="V143" s="288" t="s">
        <v>59</v>
      </c>
      <c r="W143" s="100"/>
      <c r="X143" s="96" t="s">
        <v>59</v>
      </c>
      <c r="Y143" s="297" t="s">
        <v>59</v>
      </c>
      <c r="Z143" s="121"/>
      <c r="AA143" s="122" t="s">
        <v>59</v>
      </c>
      <c r="AB143" s="298" t="s">
        <v>59</v>
      </c>
      <c r="AC143" s="124"/>
      <c r="AD143" s="125" t="s">
        <v>59</v>
      </c>
      <c r="AE143" s="120" t="s">
        <v>59</v>
      </c>
      <c r="AF143" s="121"/>
      <c r="AG143" s="122" t="s">
        <v>59</v>
      </c>
      <c r="AH143" s="205" t="s">
        <v>59</v>
      </c>
      <c r="AI143" s="124"/>
      <c r="AJ143" s="125" t="s">
        <v>59</v>
      </c>
      <c r="AK143" s="292" t="s">
        <v>330</v>
      </c>
      <c r="AL143" s="130"/>
      <c r="AM143" s="131" t="s">
        <v>231</v>
      </c>
      <c r="AN143" s="120" t="s">
        <v>169</v>
      </c>
      <c r="AO143" s="121"/>
      <c r="AP143" s="122" t="s">
        <v>328</v>
      </c>
      <c r="AQ143" s="298" t="s">
        <v>59</v>
      </c>
      <c r="AR143" s="124"/>
      <c r="AS143" s="125" t="s">
        <v>59</v>
      </c>
      <c r="AT143" s="120" t="s">
        <v>59</v>
      </c>
      <c r="AU143" s="121"/>
      <c r="AV143" s="122" t="s">
        <v>59</v>
      </c>
      <c r="AW143" s="205" t="s">
        <v>59</v>
      </c>
      <c r="AX143" s="124"/>
      <c r="AY143" s="125" t="s">
        <v>59</v>
      </c>
      <c r="AZ143" s="120" t="s">
        <v>59</v>
      </c>
      <c r="BA143" s="121"/>
      <c r="BB143" s="122" t="s">
        <v>59</v>
      </c>
      <c r="BC143" s="298" t="s">
        <v>59</v>
      </c>
      <c r="BD143" s="124"/>
      <c r="BE143" s="125" t="s">
        <v>59</v>
      </c>
      <c r="BF143" s="291" t="s">
        <v>59</v>
      </c>
      <c r="BG143" s="127"/>
      <c r="BH143" s="128" t="s">
        <v>59</v>
      </c>
      <c r="BI143" s="292" t="s">
        <v>59</v>
      </c>
      <c r="BJ143" s="130"/>
      <c r="BK143" s="131" t="s">
        <v>59</v>
      </c>
      <c r="BL143" s="291" t="s">
        <v>59</v>
      </c>
      <c r="BM143" s="127"/>
      <c r="BN143" s="128" t="s">
        <v>59</v>
      </c>
    </row>
    <row r="144" customFormat="false" ht="17.25" hidden="false" customHeight="true" outlineLevel="0" collapsed="false">
      <c r="B144" s="207" t="s">
        <v>104</v>
      </c>
      <c r="C144" s="134" t="s">
        <v>332</v>
      </c>
      <c r="D144" s="135"/>
      <c r="E144" s="136" t="s">
        <v>107</v>
      </c>
      <c r="F144" s="137" t="s">
        <v>106</v>
      </c>
      <c r="G144" s="58" t="s">
        <v>293</v>
      </c>
      <c r="H144" s="59"/>
      <c r="I144" s="178" t="s">
        <v>293</v>
      </c>
      <c r="J144" s="61" t="s">
        <v>46</v>
      </c>
      <c r="K144" s="62"/>
      <c r="L144" s="211" t="s">
        <v>46</v>
      </c>
      <c r="M144" s="58" t="s">
        <v>46</v>
      </c>
      <c r="N144" s="59"/>
      <c r="O144" s="178" t="s">
        <v>46</v>
      </c>
      <c r="P144" s="58" t="s">
        <v>46</v>
      </c>
      <c r="Q144" s="59"/>
      <c r="R144" s="60" t="s">
        <v>46</v>
      </c>
      <c r="S144" s="271" t="s">
        <v>333</v>
      </c>
      <c r="T144" s="62"/>
      <c r="U144" s="312" t="s">
        <v>333</v>
      </c>
      <c r="V144" s="272" t="s">
        <v>59</v>
      </c>
      <c r="W144" s="59"/>
      <c r="X144" s="60" t="s">
        <v>59</v>
      </c>
      <c r="Y144" s="313" t="s">
        <v>59</v>
      </c>
      <c r="Z144" s="62"/>
      <c r="AA144" s="63" t="s">
        <v>59</v>
      </c>
      <c r="AB144" s="272" t="s">
        <v>59</v>
      </c>
      <c r="AC144" s="59"/>
      <c r="AD144" s="60" t="s">
        <v>59</v>
      </c>
      <c r="AE144" s="61" t="s">
        <v>59</v>
      </c>
      <c r="AF144" s="62"/>
      <c r="AG144" s="63" t="s">
        <v>59</v>
      </c>
      <c r="AH144" s="58" t="s">
        <v>59</v>
      </c>
      <c r="AI144" s="59"/>
      <c r="AJ144" s="60" t="s">
        <v>59</v>
      </c>
      <c r="AK144" s="294" t="s">
        <v>334</v>
      </c>
      <c r="AL144" s="185"/>
      <c r="AM144" s="186" t="s">
        <v>335</v>
      </c>
      <c r="AN144" s="302" t="s">
        <v>336</v>
      </c>
      <c r="AO144" s="62"/>
      <c r="AP144" s="63" t="s">
        <v>337</v>
      </c>
      <c r="AQ144" s="272" t="s">
        <v>336</v>
      </c>
      <c r="AR144" s="59"/>
      <c r="AS144" s="60" t="s">
        <v>337</v>
      </c>
      <c r="AT144" s="55" t="s">
        <v>59</v>
      </c>
      <c r="AU144" s="56"/>
      <c r="AV144" s="57" t="s">
        <v>59</v>
      </c>
      <c r="AW144" s="73" t="s">
        <v>59</v>
      </c>
      <c r="AX144" s="74"/>
      <c r="AY144" s="75" t="s">
        <v>59</v>
      </c>
      <c r="AZ144" s="55" t="s">
        <v>59</v>
      </c>
      <c r="BA144" s="56"/>
      <c r="BB144" s="57" t="s">
        <v>59</v>
      </c>
      <c r="BC144" s="272" t="s">
        <v>59</v>
      </c>
      <c r="BD144" s="59"/>
      <c r="BE144" s="60" t="s">
        <v>59</v>
      </c>
      <c r="BF144" s="311" t="s">
        <v>59</v>
      </c>
      <c r="BG144" s="221"/>
      <c r="BH144" s="222" t="s">
        <v>59</v>
      </c>
      <c r="BI144" s="283" t="s">
        <v>59</v>
      </c>
      <c r="BJ144" s="188"/>
      <c r="BK144" s="187" t="s">
        <v>59</v>
      </c>
      <c r="BL144" s="311" t="s">
        <v>59</v>
      </c>
      <c r="BM144" s="221"/>
      <c r="BN144" s="222" t="s">
        <v>59</v>
      </c>
    </row>
    <row r="145" customFormat="false" ht="17.25" hidden="false" customHeight="true" outlineLevel="0" collapsed="false">
      <c r="B145" s="207"/>
      <c r="C145" s="134"/>
      <c r="D145" s="135"/>
      <c r="E145" s="141" t="s">
        <v>108</v>
      </c>
      <c r="F145" s="137"/>
      <c r="G145" s="73" t="s">
        <v>293</v>
      </c>
      <c r="H145" s="74"/>
      <c r="I145" s="210" t="s">
        <v>293</v>
      </c>
      <c r="J145" s="49" t="s">
        <v>46</v>
      </c>
      <c r="K145" s="50"/>
      <c r="L145" s="154" t="s">
        <v>46</v>
      </c>
      <c r="M145" s="78" t="s">
        <v>46</v>
      </c>
      <c r="N145" s="53"/>
      <c r="O145" s="153" t="s">
        <v>46</v>
      </c>
      <c r="P145" s="78" t="s">
        <v>46</v>
      </c>
      <c r="Q145" s="53"/>
      <c r="R145" s="54" t="s">
        <v>46</v>
      </c>
      <c r="S145" s="293" t="s">
        <v>333</v>
      </c>
      <c r="T145" s="56"/>
      <c r="U145" s="314" t="s">
        <v>333</v>
      </c>
      <c r="V145" s="277" t="s">
        <v>59</v>
      </c>
      <c r="W145" s="53"/>
      <c r="X145" s="54" t="s">
        <v>59</v>
      </c>
      <c r="Y145" s="315" t="s">
        <v>59</v>
      </c>
      <c r="Z145" s="56"/>
      <c r="AA145" s="57" t="s">
        <v>59</v>
      </c>
      <c r="AB145" s="279" t="s">
        <v>59</v>
      </c>
      <c r="AC145" s="74"/>
      <c r="AD145" s="75" t="s">
        <v>59</v>
      </c>
      <c r="AE145" s="55" t="s">
        <v>59</v>
      </c>
      <c r="AF145" s="56"/>
      <c r="AG145" s="57" t="s">
        <v>59</v>
      </c>
      <c r="AH145" s="73" t="s">
        <v>59</v>
      </c>
      <c r="AI145" s="74"/>
      <c r="AJ145" s="75" t="s">
        <v>59</v>
      </c>
      <c r="AK145" s="286" t="s">
        <v>334</v>
      </c>
      <c r="AL145" s="188"/>
      <c r="AM145" s="87" t="s">
        <v>335</v>
      </c>
      <c r="AN145" s="316" t="s">
        <v>337</v>
      </c>
      <c r="AO145" s="56"/>
      <c r="AP145" s="57" t="s">
        <v>337</v>
      </c>
      <c r="AQ145" s="279" t="s">
        <v>337</v>
      </c>
      <c r="AR145" s="74"/>
      <c r="AS145" s="75" t="s">
        <v>337</v>
      </c>
      <c r="AT145" s="49" t="s">
        <v>59</v>
      </c>
      <c r="AU145" s="50"/>
      <c r="AV145" s="51" t="s">
        <v>59</v>
      </c>
      <c r="AW145" s="78" t="s">
        <v>59</v>
      </c>
      <c r="AX145" s="53"/>
      <c r="AY145" s="54" t="s">
        <v>59</v>
      </c>
      <c r="AZ145" s="49" t="s">
        <v>59</v>
      </c>
      <c r="BA145" s="50"/>
      <c r="BB145" s="51" t="s">
        <v>59</v>
      </c>
      <c r="BC145" s="279" t="s">
        <v>59</v>
      </c>
      <c r="BD145" s="74"/>
      <c r="BE145" s="75" t="s">
        <v>59</v>
      </c>
      <c r="BF145" s="289" t="s">
        <v>59</v>
      </c>
      <c r="BG145" s="106"/>
      <c r="BH145" s="107" t="s">
        <v>59</v>
      </c>
      <c r="BI145" s="286" t="s">
        <v>59</v>
      </c>
      <c r="BJ145" s="109"/>
      <c r="BK145" s="87" t="s">
        <v>59</v>
      </c>
      <c r="BL145" s="289" t="s">
        <v>59</v>
      </c>
      <c r="BM145" s="106"/>
      <c r="BN145" s="107" t="s">
        <v>59</v>
      </c>
    </row>
    <row r="146" customFormat="false" ht="17.25" hidden="false" customHeight="true" outlineLevel="0" collapsed="false">
      <c r="B146" s="207"/>
      <c r="C146" s="134"/>
      <c r="D146" s="135"/>
      <c r="E146" s="141" t="s">
        <v>109</v>
      </c>
      <c r="F146" s="137"/>
      <c r="G146" s="73" t="s">
        <v>293</v>
      </c>
      <c r="H146" s="74"/>
      <c r="I146" s="210" t="s">
        <v>293</v>
      </c>
      <c r="J146" s="49" t="s">
        <v>46</v>
      </c>
      <c r="K146" s="50"/>
      <c r="L146" s="154" t="s">
        <v>46</v>
      </c>
      <c r="M146" s="78" t="s">
        <v>46</v>
      </c>
      <c r="N146" s="53"/>
      <c r="O146" s="153" t="s">
        <v>46</v>
      </c>
      <c r="P146" s="78" t="s">
        <v>46</v>
      </c>
      <c r="Q146" s="53"/>
      <c r="R146" s="54" t="s">
        <v>46</v>
      </c>
      <c r="S146" s="271" t="s">
        <v>333</v>
      </c>
      <c r="T146" s="56"/>
      <c r="U146" s="312" t="s">
        <v>333</v>
      </c>
      <c r="V146" s="277" t="s">
        <v>59</v>
      </c>
      <c r="W146" s="53"/>
      <c r="X146" s="54" t="s">
        <v>59</v>
      </c>
      <c r="Y146" s="315" t="s">
        <v>59</v>
      </c>
      <c r="Z146" s="56"/>
      <c r="AA146" s="57" t="s">
        <v>59</v>
      </c>
      <c r="AB146" s="279" t="s">
        <v>59</v>
      </c>
      <c r="AC146" s="74"/>
      <c r="AD146" s="75" t="s">
        <v>59</v>
      </c>
      <c r="AE146" s="55" t="s">
        <v>59</v>
      </c>
      <c r="AF146" s="56"/>
      <c r="AG146" s="57" t="s">
        <v>59</v>
      </c>
      <c r="AH146" s="73" t="s">
        <v>59</v>
      </c>
      <c r="AI146" s="74"/>
      <c r="AJ146" s="75" t="s">
        <v>59</v>
      </c>
      <c r="AK146" s="286" t="s">
        <v>334</v>
      </c>
      <c r="AL146" s="188"/>
      <c r="AM146" s="87" t="s">
        <v>335</v>
      </c>
      <c r="AN146" s="316" t="s">
        <v>338</v>
      </c>
      <c r="AO146" s="56"/>
      <c r="AP146" s="57" t="s">
        <v>339</v>
      </c>
      <c r="AQ146" s="279" t="s">
        <v>338</v>
      </c>
      <c r="AR146" s="74"/>
      <c r="AS146" s="75" t="s">
        <v>339</v>
      </c>
      <c r="AT146" s="49" t="s">
        <v>59</v>
      </c>
      <c r="AU146" s="50"/>
      <c r="AV146" s="51" t="s">
        <v>59</v>
      </c>
      <c r="AW146" s="78" t="s">
        <v>59</v>
      </c>
      <c r="AX146" s="53"/>
      <c r="AY146" s="54" t="s">
        <v>59</v>
      </c>
      <c r="AZ146" s="49" t="s">
        <v>59</v>
      </c>
      <c r="BA146" s="50"/>
      <c r="BB146" s="51" t="s">
        <v>59</v>
      </c>
      <c r="BC146" s="279" t="s">
        <v>59</v>
      </c>
      <c r="BD146" s="74"/>
      <c r="BE146" s="75" t="s">
        <v>59</v>
      </c>
      <c r="BF146" s="289" t="s">
        <v>59</v>
      </c>
      <c r="BG146" s="106"/>
      <c r="BH146" s="107" t="s">
        <v>59</v>
      </c>
      <c r="BI146" s="286" t="s">
        <v>59</v>
      </c>
      <c r="BJ146" s="109"/>
      <c r="BK146" s="87" t="s">
        <v>59</v>
      </c>
      <c r="BL146" s="289" t="s">
        <v>59</v>
      </c>
      <c r="BM146" s="106"/>
      <c r="BN146" s="107" t="s">
        <v>59</v>
      </c>
    </row>
    <row r="147" customFormat="false" ht="17.25" hidden="false" customHeight="true" outlineLevel="0" collapsed="false">
      <c r="B147" s="207"/>
      <c r="C147" s="134"/>
      <c r="D147" s="135"/>
      <c r="E147" s="141" t="s">
        <v>110</v>
      </c>
      <c r="F147" s="137"/>
      <c r="G147" s="73" t="s">
        <v>293</v>
      </c>
      <c r="H147" s="74"/>
      <c r="I147" s="210" t="s">
        <v>293</v>
      </c>
      <c r="J147" s="49" t="s">
        <v>46</v>
      </c>
      <c r="K147" s="50"/>
      <c r="L147" s="154" t="s">
        <v>46</v>
      </c>
      <c r="M147" s="78" t="s">
        <v>46</v>
      </c>
      <c r="N147" s="53"/>
      <c r="O147" s="153" t="s">
        <v>46</v>
      </c>
      <c r="P147" s="78" t="s">
        <v>46</v>
      </c>
      <c r="Q147" s="53"/>
      <c r="R147" s="54" t="s">
        <v>46</v>
      </c>
      <c r="S147" s="293" t="s">
        <v>333</v>
      </c>
      <c r="T147" s="56"/>
      <c r="U147" s="314" t="s">
        <v>333</v>
      </c>
      <c r="V147" s="277" t="s">
        <v>59</v>
      </c>
      <c r="W147" s="53"/>
      <c r="X147" s="54" t="s">
        <v>59</v>
      </c>
      <c r="Y147" s="315" t="s">
        <v>59</v>
      </c>
      <c r="Z147" s="56"/>
      <c r="AA147" s="57" t="s">
        <v>59</v>
      </c>
      <c r="AB147" s="279" t="s">
        <v>59</v>
      </c>
      <c r="AC147" s="74"/>
      <c r="AD147" s="75" t="s">
        <v>59</v>
      </c>
      <c r="AE147" s="55" t="s">
        <v>59</v>
      </c>
      <c r="AF147" s="56"/>
      <c r="AG147" s="57" t="s">
        <v>59</v>
      </c>
      <c r="AH147" s="73" t="s">
        <v>59</v>
      </c>
      <c r="AI147" s="74"/>
      <c r="AJ147" s="75" t="s">
        <v>59</v>
      </c>
      <c r="AK147" s="286" t="s">
        <v>334</v>
      </c>
      <c r="AL147" s="188"/>
      <c r="AM147" s="87" t="s">
        <v>335</v>
      </c>
      <c r="AN147" s="316" t="s">
        <v>340</v>
      </c>
      <c r="AO147" s="56"/>
      <c r="AP147" s="57" t="s">
        <v>340</v>
      </c>
      <c r="AQ147" s="279" t="s">
        <v>340</v>
      </c>
      <c r="AR147" s="74"/>
      <c r="AS147" s="75" t="s">
        <v>340</v>
      </c>
      <c r="AT147" s="49" t="s">
        <v>59</v>
      </c>
      <c r="AU147" s="50"/>
      <c r="AV147" s="51" t="s">
        <v>59</v>
      </c>
      <c r="AW147" s="78" t="s">
        <v>59</v>
      </c>
      <c r="AX147" s="53"/>
      <c r="AY147" s="54" t="s">
        <v>59</v>
      </c>
      <c r="AZ147" s="49" t="s">
        <v>59</v>
      </c>
      <c r="BA147" s="50"/>
      <c r="BB147" s="51" t="s">
        <v>59</v>
      </c>
      <c r="BC147" s="279" t="s">
        <v>59</v>
      </c>
      <c r="BD147" s="74"/>
      <c r="BE147" s="75" t="s">
        <v>59</v>
      </c>
      <c r="BF147" s="289" t="s">
        <v>59</v>
      </c>
      <c r="BG147" s="106"/>
      <c r="BH147" s="107" t="s">
        <v>59</v>
      </c>
      <c r="BI147" s="286" t="s">
        <v>59</v>
      </c>
      <c r="BJ147" s="109"/>
      <c r="BK147" s="87" t="s">
        <v>59</v>
      </c>
      <c r="BL147" s="289" t="s">
        <v>59</v>
      </c>
      <c r="BM147" s="106"/>
      <c r="BN147" s="107" t="s">
        <v>59</v>
      </c>
    </row>
    <row r="148" customFormat="false" ht="17.25" hidden="false" customHeight="true" outlineLevel="0" collapsed="false">
      <c r="B148" s="207"/>
      <c r="C148" s="134"/>
      <c r="D148" s="148"/>
      <c r="E148" s="141" t="s">
        <v>112</v>
      </c>
      <c r="F148" s="150" t="s">
        <v>111</v>
      </c>
      <c r="G148" s="73" t="s">
        <v>293</v>
      </c>
      <c r="H148" s="74"/>
      <c r="I148" s="210" t="s">
        <v>293</v>
      </c>
      <c r="J148" s="49" t="s">
        <v>46</v>
      </c>
      <c r="K148" s="50"/>
      <c r="L148" s="154" t="s">
        <v>46</v>
      </c>
      <c r="M148" s="78" t="s">
        <v>46</v>
      </c>
      <c r="N148" s="53"/>
      <c r="O148" s="153" t="s">
        <v>46</v>
      </c>
      <c r="P148" s="78" t="s">
        <v>46</v>
      </c>
      <c r="Q148" s="53"/>
      <c r="R148" s="54" t="s">
        <v>46</v>
      </c>
      <c r="S148" s="271" t="s">
        <v>333</v>
      </c>
      <c r="T148" s="56"/>
      <c r="U148" s="312" t="s">
        <v>333</v>
      </c>
      <c r="V148" s="277" t="s">
        <v>59</v>
      </c>
      <c r="W148" s="53"/>
      <c r="X148" s="54" t="s">
        <v>59</v>
      </c>
      <c r="Y148" s="315" t="s">
        <v>59</v>
      </c>
      <c r="Z148" s="56"/>
      <c r="AA148" s="57" t="s">
        <v>59</v>
      </c>
      <c r="AB148" s="279" t="s">
        <v>59</v>
      </c>
      <c r="AC148" s="74"/>
      <c r="AD148" s="75" t="s">
        <v>59</v>
      </c>
      <c r="AE148" s="55" t="s">
        <v>59</v>
      </c>
      <c r="AF148" s="56"/>
      <c r="AG148" s="57" t="s">
        <v>59</v>
      </c>
      <c r="AH148" s="73" t="s">
        <v>59</v>
      </c>
      <c r="AI148" s="74"/>
      <c r="AJ148" s="75" t="s">
        <v>59</v>
      </c>
      <c r="AK148" s="286" t="s">
        <v>341</v>
      </c>
      <c r="AL148" s="109"/>
      <c r="AM148" s="87" t="s">
        <v>231</v>
      </c>
      <c r="AN148" s="316" t="s">
        <v>336</v>
      </c>
      <c r="AO148" s="56"/>
      <c r="AP148" s="57" t="s">
        <v>337</v>
      </c>
      <c r="AQ148" s="279" t="s">
        <v>336</v>
      </c>
      <c r="AR148" s="74"/>
      <c r="AS148" s="75" t="s">
        <v>337</v>
      </c>
      <c r="AT148" s="49" t="s">
        <v>59</v>
      </c>
      <c r="AU148" s="50"/>
      <c r="AV148" s="51" t="s">
        <v>59</v>
      </c>
      <c r="AW148" s="78" t="s">
        <v>59</v>
      </c>
      <c r="AX148" s="53"/>
      <c r="AY148" s="54" t="s">
        <v>59</v>
      </c>
      <c r="AZ148" s="49" t="s">
        <v>59</v>
      </c>
      <c r="BA148" s="50"/>
      <c r="BB148" s="51" t="s">
        <v>59</v>
      </c>
      <c r="BC148" s="279" t="s">
        <v>59</v>
      </c>
      <c r="BD148" s="74"/>
      <c r="BE148" s="75" t="s">
        <v>59</v>
      </c>
      <c r="BF148" s="289" t="s">
        <v>59</v>
      </c>
      <c r="BG148" s="106"/>
      <c r="BH148" s="107" t="s">
        <v>59</v>
      </c>
      <c r="BI148" s="286" t="s">
        <v>59</v>
      </c>
      <c r="BJ148" s="109"/>
      <c r="BK148" s="87" t="s">
        <v>59</v>
      </c>
      <c r="BL148" s="289" t="s">
        <v>59</v>
      </c>
      <c r="BM148" s="106"/>
      <c r="BN148" s="107" t="s">
        <v>59</v>
      </c>
    </row>
    <row r="149" customFormat="false" ht="17.25" hidden="false" customHeight="true" outlineLevel="0" collapsed="false">
      <c r="B149" s="207"/>
      <c r="C149" s="134"/>
      <c r="D149" s="148"/>
      <c r="E149" s="141" t="s">
        <v>113</v>
      </c>
      <c r="F149" s="150"/>
      <c r="G149" s="73" t="s">
        <v>293</v>
      </c>
      <c r="H149" s="74"/>
      <c r="I149" s="210" t="s">
        <v>293</v>
      </c>
      <c r="J149" s="49" t="s">
        <v>46</v>
      </c>
      <c r="K149" s="50"/>
      <c r="L149" s="154" t="s">
        <v>46</v>
      </c>
      <c r="M149" s="78" t="s">
        <v>46</v>
      </c>
      <c r="N149" s="53"/>
      <c r="O149" s="153" t="s">
        <v>46</v>
      </c>
      <c r="P149" s="78" t="s">
        <v>46</v>
      </c>
      <c r="Q149" s="53"/>
      <c r="R149" s="54" t="s">
        <v>46</v>
      </c>
      <c r="S149" s="293" t="s">
        <v>333</v>
      </c>
      <c r="T149" s="56"/>
      <c r="U149" s="314" t="s">
        <v>333</v>
      </c>
      <c r="V149" s="277" t="s">
        <v>59</v>
      </c>
      <c r="W149" s="53"/>
      <c r="X149" s="54" t="s">
        <v>59</v>
      </c>
      <c r="Y149" s="315" t="s">
        <v>59</v>
      </c>
      <c r="Z149" s="56"/>
      <c r="AA149" s="57" t="s">
        <v>59</v>
      </c>
      <c r="AB149" s="279" t="s">
        <v>59</v>
      </c>
      <c r="AC149" s="74"/>
      <c r="AD149" s="75" t="s">
        <v>59</v>
      </c>
      <c r="AE149" s="55" t="s">
        <v>59</v>
      </c>
      <c r="AF149" s="56"/>
      <c r="AG149" s="57" t="s">
        <v>59</v>
      </c>
      <c r="AH149" s="73" t="s">
        <v>59</v>
      </c>
      <c r="AI149" s="74"/>
      <c r="AJ149" s="75" t="s">
        <v>59</v>
      </c>
      <c r="AK149" s="286" t="s">
        <v>341</v>
      </c>
      <c r="AL149" s="109"/>
      <c r="AM149" s="87" t="s">
        <v>231</v>
      </c>
      <c r="AN149" s="316" t="s">
        <v>337</v>
      </c>
      <c r="AO149" s="56"/>
      <c r="AP149" s="57" t="s">
        <v>337</v>
      </c>
      <c r="AQ149" s="279" t="s">
        <v>337</v>
      </c>
      <c r="AR149" s="74"/>
      <c r="AS149" s="75" t="s">
        <v>337</v>
      </c>
      <c r="AT149" s="49" t="s">
        <v>59</v>
      </c>
      <c r="AU149" s="50"/>
      <c r="AV149" s="51" t="s">
        <v>59</v>
      </c>
      <c r="AW149" s="78" t="s">
        <v>59</v>
      </c>
      <c r="AX149" s="53"/>
      <c r="AY149" s="54" t="s">
        <v>59</v>
      </c>
      <c r="AZ149" s="49" t="s">
        <v>59</v>
      </c>
      <c r="BA149" s="50"/>
      <c r="BB149" s="51" t="s">
        <v>59</v>
      </c>
      <c r="BC149" s="279" t="s">
        <v>59</v>
      </c>
      <c r="BD149" s="74"/>
      <c r="BE149" s="75" t="s">
        <v>59</v>
      </c>
      <c r="BF149" s="289" t="s">
        <v>59</v>
      </c>
      <c r="BG149" s="106"/>
      <c r="BH149" s="107" t="s">
        <v>59</v>
      </c>
      <c r="BI149" s="286" t="s">
        <v>59</v>
      </c>
      <c r="BJ149" s="109"/>
      <c r="BK149" s="87" t="s">
        <v>59</v>
      </c>
      <c r="BL149" s="289" t="s">
        <v>59</v>
      </c>
      <c r="BM149" s="106"/>
      <c r="BN149" s="107" t="s">
        <v>59</v>
      </c>
    </row>
    <row r="150" customFormat="false" ht="17.25" hidden="false" customHeight="true" outlineLevel="0" collapsed="false">
      <c r="B150" s="207"/>
      <c r="C150" s="134"/>
      <c r="D150" s="148"/>
      <c r="E150" s="141" t="s">
        <v>109</v>
      </c>
      <c r="F150" s="150"/>
      <c r="G150" s="73" t="s">
        <v>293</v>
      </c>
      <c r="H150" s="74"/>
      <c r="I150" s="210" t="s">
        <v>293</v>
      </c>
      <c r="J150" s="49" t="s">
        <v>46</v>
      </c>
      <c r="K150" s="50"/>
      <c r="L150" s="154" t="s">
        <v>46</v>
      </c>
      <c r="M150" s="78" t="s">
        <v>46</v>
      </c>
      <c r="N150" s="53"/>
      <c r="O150" s="153" t="s">
        <v>46</v>
      </c>
      <c r="P150" s="78" t="s">
        <v>46</v>
      </c>
      <c r="Q150" s="53"/>
      <c r="R150" s="54" t="s">
        <v>46</v>
      </c>
      <c r="S150" s="271" t="s">
        <v>333</v>
      </c>
      <c r="T150" s="56"/>
      <c r="U150" s="312" t="s">
        <v>333</v>
      </c>
      <c r="V150" s="277" t="s">
        <v>59</v>
      </c>
      <c r="W150" s="53"/>
      <c r="X150" s="54" t="s">
        <v>59</v>
      </c>
      <c r="Y150" s="315" t="s">
        <v>59</v>
      </c>
      <c r="Z150" s="56"/>
      <c r="AA150" s="57" t="s">
        <v>59</v>
      </c>
      <c r="AB150" s="279" t="s">
        <v>59</v>
      </c>
      <c r="AC150" s="74"/>
      <c r="AD150" s="75" t="s">
        <v>59</v>
      </c>
      <c r="AE150" s="55" t="s">
        <v>59</v>
      </c>
      <c r="AF150" s="56"/>
      <c r="AG150" s="57" t="s">
        <v>59</v>
      </c>
      <c r="AH150" s="73" t="s">
        <v>59</v>
      </c>
      <c r="AI150" s="74"/>
      <c r="AJ150" s="75" t="s">
        <v>59</v>
      </c>
      <c r="AK150" s="286" t="s">
        <v>341</v>
      </c>
      <c r="AL150" s="109"/>
      <c r="AM150" s="87" t="s">
        <v>231</v>
      </c>
      <c r="AN150" s="316" t="s">
        <v>338</v>
      </c>
      <c r="AO150" s="56"/>
      <c r="AP150" s="57" t="s">
        <v>339</v>
      </c>
      <c r="AQ150" s="279" t="s">
        <v>338</v>
      </c>
      <c r="AR150" s="74"/>
      <c r="AS150" s="75" t="s">
        <v>339</v>
      </c>
      <c r="AT150" s="49" t="s">
        <v>59</v>
      </c>
      <c r="AU150" s="50"/>
      <c r="AV150" s="51" t="s">
        <v>59</v>
      </c>
      <c r="AW150" s="78" t="s">
        <v>59</v>
      </c>
      <c r="AX150" s="53"/>
      <c r="AY150" s="54" t="s">
        <v>59</v>
      </c>
      <c r="AZ150" s="49" t="s">
        <v>59</v>
      </c>
      <c r="BA150" s="50"/>
      <c r="BB150" s="51" t="s">
        <v>59</v>
      </c>
      <c r="BC150" s="279" t="s">
        <v>59</v>
      </c>
      <c r="BD150" s="74"/>
      <c r="BE150" s="75" t="s">
        <v>59</v>
      </c>
      <c r="BF150" s="289" t="s">
        <v>59</v>
      </c>
      <c r="BG150" s="106"/>
      <c r="BH150" s="107" t="s">
        <v>59</v>
      </c>
      <c r="BI150" s="286" t="s">
        <v>59</v>
      </c>
      <c r="BJ150" s="109"/>
      <c r="BK150" s="87" t="s">
        <v>59</v>
      </c>
      <c r="BL150" s="289" t="s">
        <v>59</v>
      </c>
      <c r="BM150" s="106"/>
      <c r="BN150" s="107" t="s">
        <v>59</v>
      </c>
    </row>
    <row r="151" customFormat="false" ht="17.25" hidden="false" customHeight="true" outlineLevel="0" collapsed="false">
      <c r="B151" s="207"/>
      <c r="C151" s="134"/>
      <c r="D151" s="148"/>
      <c r="E151" s="141" t="s">
        <v>110</v>
      </c>
      <c r="F151" s="150"/>
      <c r="G151" s="73" t="s">
        <v>293</v>
      </c>
      <c r="H151" s="74"/>
      <c r="I151" s="210" t="s">
        <v>293</v>
      </c>
      <c r="J151" s="49" t="s">
        <v>46</v>
      </c>
      <c r="K151" s="50"/>
      <c r="L151" s="154" t="s">
        <v>46</v>
      </c>
      <c r="M151" s="78" t="s">
        <v>46</v>
      </c>
      <c r="N151" s="53"/>
      <c r="O151" s="153" t="s">
        <v>46</v>
      </c>
      <c r="P151" s="78" t="s">
        <v>46</v>
      </c>
      <c r="Q151" s="53"/>
      <c r="R151" s="54" t="s">
        <v>46</v>
      </c>
      <c r="S151" s="293" t="s">
        <v>333</v>
      </c>
      <c r="T151" s="56"/>
      <c r="U151" s="314" t="s">
        <v>333</v>
      </c>
      <c r="V151" s="277" t="s">
        <v>59</v>
      </c>
      <c r="W151" s="53"/>
      <c r="X151" s="54" t="s">
        <v>59</v>
      </c>
      <c r="Y151" s="315" t="s">
        <v>59</v>
      </c>
      <c r="Z151" s="56"/>
      <c r="AA151" s="57" t="s">
        <v>59</v>
      </c>
      <c r="AB151" s="279" t="s">
        <v>59</v>
      </c>
      <c r="AC151" s="74"/>
      <c r="AD151" s="75" t="s">
        <v>59</v>
      </c>
      <c r="AE151" s="55" t="s">
        <v>59</v>
      </c>
      <c r="AF151" s="56"/>
      <c r="AG151" s="57" t="s">
        <v>59</v>
      </c>
      <c r="AH151" s="73" t="s">
        <v>59</v>
      </c>
      <c r="AI151" s="74"/>
      <c r="AJ151" s="75" t="s">
        <v>59</v>
      </c>
      <c r="AK151" s="286" t="s">
        <v>341</v>
      </c>
      <c r="AL151" s="109"/>
      <c r="AM151" s="87" t="s">
        <v>231</v>
      </c>
      <c r="AN151" s="316" t="s">
        <v>340</v>
      </c>
      <c r="AO151" s="56"/>
      <c r="AP151" s="57" t="s">
        <v>340</v>
      </c>
      <c r="AQ151" s="279" t="s">
        <v>340</v>
      </c>
      <c r="AR151" s="74"/>
      <c r="AS151" s="75" t="s">
        <v>340</v>
      </c>
      <c r="AT151" s="49" t="s">
        <v>59</v>
      </c>
      <c r="AU151" s="50"/>
      <c r="AV151" s="51" t="s">
        <v>59</v>
      </c>
      <c r="AW151" s="78" t="s">
        <v>59</v>
      </c>
      <c r="AX151" s="53"/>
      <c r="AY151" s="54" t="s">
        <v>59</v>
      </c>
      <c r="AZ151" s="49" t="s">
        <v>59</v>
      </c>
      <c r="BA151" s="50"/>
      <c r="BB151" s="51" t="s">
        <v>59</v>
      </c>
      <c r="BC151" s="279" t="s">
        <v>59</v>
      </c>
      <c r="BD151" s="74"/>
      <c r="BE151" s="75" t="s">
        <v>59</v>
      </c>
      <c r="BF151" s="289" t="s">
        <v>59</v>
      </c>
      <c r="BG151" s="106"/>
      <c r="BH151" s="107" t="s">
        <v>59</v>
      </c>
      <c r="BI151" s="286" t="s">
        <v>59</v>
      </c>
      <c r="BJ151" s="109"/>
      <c r="BK151" s="87" t="s">
        <v>59</v>
      </c>
      <c r="BL151" s="289" t="s">
        <v>59</v>
      </c>
      <c r="BM151" s="106"/>
      <c r="BN151" s="107" t="s">
        <v>59</v>
      </c>
    </row>
    <row r="152" customFormat="false" ht="17.25" hidden="false" customHeight="true" outlineLevel="0" collapsed="false">
      <c r="B152" s="207"/>
      <c r="C152" s="143" t="s">
        <v>114</v>
      </c>
      <c r="D152" s="148"/>
      <c r="E152" s="149" t="s">
        <v>112</v>
      </c>
      <c r="F152" s="212"/>
      <c r="G152" s="78" t="s">
        <v>342</v>
      </c>
      <c r="H152" s="53"/>
      <c r="I152" s="153" t="s">
        <v>342</v>
      </c>
      <c r="J152" s="49" t="s">
        <v>46</v>
      </c>
      <c r="K152" s="50"/>
      <c r="L152" s="154" t="s">
        <v>46</v>
      </c>
      <c r="M152" s="78" t="s">
        <v>46</v>
      </c>
      <c r="N152" s="53"/>
      <c r="O152" s="153" t="s">
        <v>46</v>
      </c>
      <c r="P152" s="78" t="s">
        <v>46</v>
      </c>
      <c r="Q152" s="53"/>
      <c r="R152" s="54" t="s">
        <v>46</v>
      </c>
      <c r="S152" s="276" t="s">
        <v>59</v>
      </c>
      <c r="T152" s="50"/>
      <c r="U152" s="154" t="s">
        <v>59</v>
      </c>
      <c r="V152" s="277" t="s">
        <v>59</v>
      </c>
      <c r="W152" s="53"/>
      <c r="X152" s="54" t="s">
        <v>59</v>
      </c>
      <c r="Y152" s="317" t="s">
        <v>59</v>
      </c>
      <c r="Z152" s="50"/>
      <c r="AA152" s="51" t="s">
        <v>59</v>
      </c>
      <c r="AB152" s="277" t="s">
        <v>59</v>
      </c>
      <c r="AC152" s="53"/>
      <c r="AD152" s="54" t="s">
        <v>59</v>
      </c>
      <c r="AE152" s="49" t="s">
        <v>59</v>
      </c>
      <c r="AF152" s="50"/>
      <c r="AG152" s="51" t="s">
        <v>59</v>
      </c>
      <c r="AH152" s="78" t="s">
        <v>59</v>
      </c>
      <c r="AI152" s="53"/>
      <c r="AJ152" s="54" t="s">
        <v>59</v>
      </c>
      <c r="AK152" s="286" t="s">
        <v>343</v>
      </c>
      <c r="AL152" s="188"/>
      <c r="AM152" s="87" t="s">
        <v>344</v>
      </c>
      <c r="AN152" s="308" t="s">
        <v>344</v>
      </c>
      <c r="AO152" s="50"/>
      <c r="AP152" s="51" t="s">
        <v>344</v>
      </c>
      <c r="AQ152" s="277" t="s">
        <v>344</v>
      </c>
      <c r="AR152" s="53"/>
      <c r="AS152" s="54" t="s">
        <v>344</v>
      </c>
      <c r="AT152" s="49" t="s">
        <v>59</v>
      </c>
      <c r="AU152" s="50"/>
      <c r="AV152" s="51" t="s">
        <v>59</v>
      </c>
      <c r="AW152" s="78" t="s">
        <v>59</v>
      </c>
      <c r="AX152" s="53"/>
      <c r="AY152" s="54" t="s">
        <v>59</v>
      </c>
      <c r="AZ152" s="49" t="s">
        <v>59</v>
      </c>
      <c r="BA152" s="50"/>
      <c r="BB152" s="51" t="s">
        <v>59</v>
      </c>
      <c r="BC152" s="277" t="s">
        <v>59</v>
      </c>
      <c r="BD152" s="53"/>
      <c r="BE152" s="54" t="s">
        <v>59</v>
      </c>
      <c r="BF152" s="289" t="s">
        <v>59</v>
      </c>
      <c r="BG152" s="106"/>
      <c r="BH152" s="107" t="s">
        <v>59</v>
      </c>
      <c r="BI152" s="286" t="s">
        <v>59</v>
      </c>
      <c r="BJ152" s="109"/>
      <c r="BK152" s="87" t="s">
        <v>59</v>
      </c>
      <c r="BL152" s="289" t="s">
        <v>59</v>
      </c>
      <c r="BM152" s="106"/>
      <c r="BN152" s="107" t="s">
        <v>59</v>
      </c>
    </row>
    <row r="153" customFormat="false" ht="17.25" hidden="false" customHeight="true" outlineLevel="0" collapsed="false">
      <c r="B153" s="207"/>
      <c r="C153" s="143"/>
      <c r="D153" s="148"/>
      <c r="E153" s="149" t="s">
        <v>113</v>
      </c>
      <c r="F153" s="212"/>
      <c r="G153" s="78" t="s">
        <v>342</v>
      </c>
      <c r="H153" s="53"/>
      <c r="I153" s="153" t="s">
        <v>342</v>
      </c>
      <c r="J153" s="49" t="s">
        <v>46</v>
      </c>
      <c r="K153" s="50"/>
      <c r="L153" s="154" t="s">
        <v>46</v>
      </c>
      <c r="M153" s="78" t="s">
        <v>46</v>
      </c>
      <c r="N153" s="53"/>
      <c r="O153" s="153" t="s">
        <v>46</v>
      </c>
      <c r="P153" s="78" t="s">
        <v>46</v>
      </c>
      <c r="Q153" s="53"/>
      <c r="R153" s="54" t="s">
        <v>46</v>
      </c>
      <c r="S153" s="276" t="s">
        <v>59</v>
      </c>
      <c r="T153" s="50"/>
      <c r="U153" s="154" t="s">
        <v>59</v>
      </c>
      <c r="V153" s="277" t="s">
        <v>59</v>
      </c>
      <c r="W153" s="53"/>
      <c r="X153" s="54" t="s">
        <v>59</v>
      </c>
      <c r="Y153" s="317" t="s">
        <v>59</v>
      </c>
      <c r="Z153" s="50"/>
      <c r="AA153" s="51" t="s">
        <v>59</v>
      </c>
      <c r="AB153" s="277" t="s">
        <v>59</v>
      </c>
      <c r="AC153" s="53"/>
      <c r="AD153" s="54" t="s">
        <v>59</v>
      </c>
      <c r="AE153" s="49" t="s">
        <v>59</v>
      </c>
      <c r="AF153" s="50"/>
      <c r="AG153" s="51" t="s">
        <v>59</v>
      </c>
      <c r="AH153" s="78" t="s">
        <v>59</v>
      </c>
      <c r="AI153" s="53"/>
      <c r="AJ153" s="54" t="s">
        <v>59</v>
      </c>
      <c r="AK153" s="286" t="s">
        <v>343</v>
      </c>
      <c r="AL153" s="188"/>
      <c r="AM153" s="87" t="s">
        <v>344</v>
      </c>
      <c r="AN153" s="308" t="s">
        <v>344</v>
      </c>
      <c r="AO153" s="50"/>
      <c r="AP153" s="51" t="s">
        <v>344</v>
      </c>
      <c r="AQ153" s="277" t="s">
        <v>344</v>
      </c>
      <c r="AR153" s="53"/>
      <c r="AS153" s="54" t="s">
        <v>344</v>
      </c>
      <c r="AT153" s="49" t="s">
        <v>59</v>
      </c>
      <c r="AU153" s="50"/>
      <c r="AV153" s="51" t="s">
        <v>59</v>
      </c>
      <c r="AW153" s="78" t="s">
        <v>59</v>
      </c>
      <c r="AX153" s="53"/>
      <c r="AY153" s="54" t="s">
        <v>59</v>
      </c>
      <c r="AZ153" s="49" t="s">
        <v>59</v>
      </c>
      <c r="BA153" s="50"/>
      <c r="BB153" s="51" t="s">
        <v>59</v>
      </c>
      <c r="BC153" s="277" t="s">
        <v>59</v>
      </c>
      <c r="BD153" s="53"/>
      <c r="BE153" s="54" t="s">
        <v>59</v>
      </c>
      <c r="BF153" s="289" t="s">
        <v>59</v>
      </c>
      <c r="BG153" s="106"/>
      <c r="BH153" s="107" t="s">
        <v>59</v>
      </c>
      <c r="BI153" s="286" t="s">
        <v>59</v>
      </c>
      <c r="BJ153" s="109"/>
      <c r="BK153" s="87" t="s">
        <v>59</v>
      </c>
      <c r="BL153" s="289" t="s">
        <v>59</v>
      </c>
      <c r="BM153" s="106"/>
      <c r="BN153" s="107" t="s">
        <v>59</v>
      </c>
    </row>
    <row r="154" customFormat="false" ht="17.25" hidden="false" customHeight="true" outlineLevel="0" collapsed="false">
      <c r="B154" s="207"/>
      <c r="C154" s="143"/>
      <c r="D154" s="148"/>
      <c r="E154" s="149" t="s">
        <v>109</v>
      </c>
      <c r="F154" s="212"/>
      <c r="G154" s="78" t="s">
        <v>342</v>
      </c>
      <c r="H154" s="53"/>
      <c r="I154" s="153" t="s">
        <v>342</v>
      </c>
      <c r="J154" s="49" t="s">
        <v>46</v>
      </c>
      <c r="K154" s="50"/>
      <c r="L154" s="154" t="s">
        <v>46</v>
      </c>
      <c r="M154" s="78" t="s">
        <v>46</v>
      </c>
      <c r="N154" s="53"/>
      <c r="O154" s="153" t="s">
        <v>46</v>
      </c>
      <c r="P154" s="78" t="s">
        <v>46</v>
      </c>
      <c r="Q154" s="53"/>
      <c r="R154" s="54" t="s">
        <v>46</v>
      </c>
      <c r="S154" s="276" t="s">
        <v>59</v>
      </c>
      <c r="T154" s="50"/>
      <c r="U154" s="154" t="s">
        <v>59</v>
      </c>
      <c r="V154" s="277" t="s">
        <v>59</v>
      </c>
      <c r="W154" s="53"/>
      <c r="X154" s="54" t="s">
        <v>59</v>
      </c>
      <c r="Y154" s="317" t="s">
        <v>59</v>
      </c>
      <c r="Z154" s="50"/>
      <c r="AA154" s="51" t="s">
        <v>59</v>
      </c>
      <c r="AB154" s="277" t="s">
        <v>59</v>
      </c>
      <c r="AC154" s="53"/>
      <c r="AD154" s="54" t="s">
        <v>59</v>
      </c>
      <c r="AE154" s="49" t="s">
        <v>59</v>
      </c>
      <c r="AF154" s="50"/>
      <c r="AG154" s="51" t="s">
        <v>59</v>
      </c>
      <c r="AH154" s="78" t="s">
        <v>59</v>
      </c>
      <c r="AI154" s="53"/>
      <c r="AJ154" s="54" t="s">
        <v>59</v>
      </c>
      <c r="AK154" s="286" t="s">
        <v>343</v>
      </c>
      <c r="AL154" s="188"/>
      <c r="AM154" s="87" t="s">
        <v>344</v>
      </c>
      <c r="AN154" s="308" t="s">
        <v>344</v>
      </c>
      <c r="AO154" s="50"/>
      <c r="AP154" s="51" t="s">
        <v>344</v>
      </c>
      <c r="AQ154" s="277" t="s">
        <v>344</v>
      </c>
      <c r="AR154" s="53"/>
      <c r="AS154" s="54" t="s">
        <v>344</v>
      </c>
      <c r="AT154" s="49" t="s">
        <v>59</v>
      </c>
      <c r="AU154" s="50"/>
      <c r="AV154" s="51" t="s">
        <v>59</v>
      </c>
      <c r="AW154" s="78" t="s">
        <v>59</v>
      </c>
      <c r="AX154" s="53"/>
      <c r="AY154" s="54" t="s">
        <v>59</v>
      </c>
      <c r="AZ154" s="49" t="s">
        <v>59</v>
      </c>
      <c r="BA154" s="50"/>
      <c r="BB154" s="51" t="s">
        <v>59</v>
      </c>
      <c r="BC154" s="277" t="s">
        <v>59</v>
      </c>
      <c r="BD154" s="53"/>
      <c r="BE154" s="54" t="s">
        <v>59</v>
      </c>
      <c r="BF154" s="289" t="s">
        <v>59</v>
      </c>
      <c r="BG154" s="106"/>
      <c r="BH154" s="107" t="s">
        <v>59</v>
      </c>
      <c r="BI154" s="286" t="s">
        <v>59</v>
      </c>
      <c r="BJ154" s="109"/>
      <c r="BK154" s="87" t="s">
        <v>59</v>
      </c>
      <c r="BL154" s="289" t="s">
        <v>59</v>
      </c>
      <c r="BM154" s="106"/>
      <c r="BN154" s="107" t="s">
        <v>59</v>
      </c>
    </row>
    <row r="155" customFormat="false" ht="17.25" hidden="false" customHeight="true" outlineLevel="0" collapsed="false">
      <c r="B155" s="207"/>
      <c r="C155" s="143"/>
      <c r="D155" s="148"/>
      <c r="E155" s="149" t="s">
        <v>110</v>
      </c>
      <c r="F155" s="212"/>
      <c r="G155" s="78" t="s">
        <v>342</v>
      </c>
      <c r="H155" s="53"/>
      <c r="I155" s="153" t="s">
        <v>342</v>
      </c>
      <c r="J155" s="49" t="s">
        <v>46</v>
      </c>
      <c r="K155" s="50"/>
      <c r="L155" s="154" t="s">
        <v>46</v>
      </c>
      <c r="M155" s="78" t="s">
        <v>46</v>
      </c>
      <c r="N155" s="53"/>
      <c r="O155" s="153" t="s">
        <v>46</v>
      </c>
      <c r="P155" s="78" t="s">
        <v>46</v>
      </c>
      <c r="Q155" s="53"/>
      <c r="R155" s="54" t="s">
        <v>46</v>
      </c>
      <c r="S155" s="276" t="s">
        <v>59</v>
      </c>
      <c r="T155" s="50"/>
      <c r="U155" s="154" t="s">
        <v>59</v>
      </c>
      <c r="V155" s="277" t="s">
        <v>59</v>
      </c>
      <c r="W155" s="53"/>
      <c r="X155" s="54" t="s">
        <v>59</v>
      </c>
      <c r="Y155" s="317" t="s">
        <v>59</v>
      </c>
      <c r="Z155" s="50"/>
      <c r="AA155" s="51" t="s">
        <v>59</v>
      </c>
      <c r="AB155" s="277" t="s">
        <v>59</v>
      </c>
      <c r="AC155" s="53"/>
      <c r="AD155" s="54" t="s">
        <v>59</v>
      </c>
      <c r="AE155" s="49" t="s">
        <v>59</v>
      </c>
      <c r="AF155" s="50"/>
      <c r="AG155" s="51" t="s">
        <v>59</v>
      </c>
      <c r="AH155" s="78" t="s">
        <v>59</v>
      </c>
      <c r="AI155" s="53"/>
      <c r="AJ155" s="54" t="s">
        <v>59</v>
      </c>
      <c r="AK155" s="286" t="s">
        <v>343</v>
      </c>
      <c r="AL155" s="188"/>
      <c r="AM155" s="87" t="s">
        <v>344</v>
      </c>
      <c r="AN155" s="308" t="s">
        <v>344</v>
      </c>
      <c r="AO155" s="50"/>
      <c r="AP155" s="51" t="s">
        <v>344</v>
      </c>
      <c r="AQ155" s="277" t="s">
        <v>344</v>
      </c>
      <c r="AR155" s="53"/>
      <c r="AS155" s="54" t="s">
        <v>344</v>
      </c>
      <c r="AT155" s="49" t="s">
        <v>59</v>
      </c>
      <c r="AU155" s="50"/>
      <c r="AV155" s="51" t="s">
        <v>59</v>
      </c>
      <c r="AW155" s="78" t="s">
        <v>59</v>
      </c>
      <c r="AX155" s="53"/>
      <c r="AY155" s="54" t="s">
        <v>59</v>
      </c>
      <c r="AZ155" s="49" t="s">
        <v>59</v>
      </c>
      <c r="BA155" s="50"/>
      <c r="BB155" s="51" t="s">
        <v>59</v>
      </c>
      <c r="BC155" s="277" t="s">
        <v>59</v>
      </c>
      <c r="BD155" s="53"/>
      <c r="BE155" s="54" t="s">
        <v>59</v>
      </c>
      <c r="BF155" s="289" t="s">
        <v>59</v>
      </c>
      <c r="BG155" s="106"/>
      <c r="BH155" s="107" t="s">
        <v>59</v>
      </c>
      <c r="BI155" s="286" t="s">
        <v>59</v>
      </c>
      <c r="BJ155" s="109"/>
      <c r="BK155" s="87" t="s">
        <v>59</v>
      </c>
      <c r="BL155" s="289" t="s">
        <v>59</v>
      </c>
      <c r="BM155" s="106"/>
      <c r="BN155" s="107" t="s">
        <v>59</v>
      </c>
    </row>
    <row r="156" customFormat="false" ht="17.25" hidden="false" customHeight="true" outlineLevel="0" collapsed="false">
      <c r="B156" s="207"/>
      <c r="C156" s="143" t="s">
        <v>115</v>
      </c>
      <c r="D156" s="149"/>
      <c r="E156" s="149"/>
      <c r="F156" s="212"/>
      <c r="G156" s="78" t="s">
        <v>293</v>
      </c>
      <c r="H156" s="53"/>
      <c r="I156" s="153" t="s">
        <v>293</v>
      </c>
      <c r="J156" s="49" t="s">
        <v>46</v>
      </c>
      <c r="K156" s="50"/>
      <c r="L156" s="154" t="s">
        <v>46</v>
      </c>
      <c r="M156" s="78" t="s">
        <v>46</v>
      </c>
      <c r="N156" s="53"/>
      <c r="O156" s="153" t="s">
        <v>46</v>
      </c>
      <c r="P156" s="78" t="s">
        <v>46</v>
      </c>
      <c r="Q156" s="53"/>
      <c r="R156" s="54" t="s">
        <v>46</v>
      </c>
      <c r="S156" s="276" t="s">
        <v>59</v>
      </c>
      <c r="T156" s="50"/>
      <c r="U156" s="154" t="s">
        <v>59</v>
      </c>
      <c r="V156" s="277" t="s">
        <v>333</v>
      </c>
      <c r="W156" s="53"/>
      <c r="X156" s="54" t="s">
        <v>333</v>
      </c>
      <c r="Y156" s="317" t="s">
        <v>59</v>
      </c>
      <c r="Z156" s="50"/>
      <c r="AA156" s="51" t="s">
        <v>59</v>
      </c>
      <c r="AB156" s="277" t="s">
        <v>59</v>
      </c>
      <c r="AC156" s="53"/>
      <c r="AD156" s="54" t="s">
        <v>59</v>
      </c>
      <c r="AE156" s="49" t="s">
        <v>59</v>
      </c>
      <c r="AF156" s="50"/>
      <c r="AG156" s="51" t="s">
        <v>59</v>
      </c>
      <c r="AH156" s="78" t="s">
        <v>59</v>
      </c>
      <c r="AI156" s="53"/>
      <c r="AJ156" s="54" t="s">
        <v>59</v>
      </c>
      <c r="AK156" s="286" t="s">
        <v>231</v>
      </c>
      <c r="AL156" s="109"/>
      <c r="AM156" s="87" t="s">
        <v>231</v>
      </c>
      <c r="AN156" s="308" t="s">
        <v>59</v>
      </c>
      <c r="AO156" s="50"/>
      <c r="AP156" s="51" t="s">
        <v>59</v>
      </c>
      <c r="AQ156" s="277" t="s">
        <v>59</v>
      </c>
      <c r="AR156" s="53"/>
      <c r="AS156" s="54" t="s">
        <v>59</v>
      </c>
      <c r="AT156" s="49" t="s">
        <v>59</v>
      </c>
      <c r="AU156" s="50"/>
      <c r="AV156" s="51" t="s">
        <v>59</v>
      </c>
      <c r="AW156" s="78" t="s">
        <v>59</v>
      </c>
      <c r="AX156" s="53"/>
      <c r="AY156" s="54" t="s">
        <v>59</v>
      </c>
      <c r="AZ156" s="49" t="s">
        <v>59</v>
      </c>
      <c r="BA156" s="50"/>
      <c r="BB156" s="51" t="s">
        <v>59</v>
      </c>
      <c r="BC156" s="277" t="s">
        <v>59</v>
      </c>
      <c r="BD156" s="53"/>
      <c r="BE156" s="54" t="s">
        <v>59</v>
      </c>
      <c r="BF156" s="289" t="s">
        <v>59</v>
      </c>
      <c r="BG156" s="106"/>
      <c r="BH156" s="107" t="s">
        <v>59</v>
      </c>
      <c r="BI156" s="286" t="s">
        <v>59</v>
      </c>
      <c r="BJ156" s="109"/>
      <c r="BK156" s="87" t="s">
        <v>59</v>
      </c>
      <c r="BL156" s="289" t="s">
        <v>59</v>
      </c>
      <c r="BM156" s="106"/>
      <c r="BN156" s="107" t="s">
        <v>59</v>
      </c>
    </row>
    <row r="157" customFormat="false" ht="17.25" hidden="false" customHeight="true" outlineLevel="0" collapsed="false">
      <c r="B157" s="207"/>
      <c r="C157" s="213" t="s">
        <v>116</v>
      </c>
      <c r="D157" s="214"/>
      <c r="E157" s="214"/>
      <c r="F157" s="215"/>
      <c r="G157" s="205" t="s">
        <v>46</v>
      </c>
      <c r="H157" s="124"/>
      <c r="I157" s="119" t="s">
        <v>46</v>
      </c>
      <c r="J157" s="120"/>
      <c r="K157" s="121"/>
      <c r="L157" s="165" t="s">
        <v>46</v>
      </c>
      <c r="M157" s="205" t="s">
        <v>46</v>
      </c>
      <c r="N157" s="124"/>
      <c r="O157" s="119" t="s">
        <v>46</v>
      </c>
      <c r="P157" s="205" t="s">
        <v>46</v>
      </c>
      <c r="Q157" s="124"/>
      <c r="R157" s="125" t="s">
        <v>46</v>
      </c>
      <c r="S157" s="296" t="s">
        <v>345</v>
      </c>
      <c r="T157" s="121"/>
      <c r="U157" s="165" t="s">
        <v>345</v>
      </c>
      <c r="V157" s="298" t="s">
        <v>59</v>
      </c>
      <c r="W157" s="124"/>
      <c r="X157" s="125" t="s">
        <v>59</v>
      </c>
      <c r="Y157" s="318" t="s">
        <v>59</v>
      </c>
      <c r="Z157" s="121"/>
      <c r="AA157" s="122" t="s">
        <v>59</v>
      </c>
      <c r="AB157" s="298" t="s">
        <v>59</v>
      </c>
      <c r="AC157" s="124"/>
      <c r="AD157" s="125" t="s">
        <v>59</v>
      </c>
      <c r="AE157" s="120" t="s">
        <v>59</v>
      </c>
      <c r="AF157" s="121"/>
      <c r="AG157" s="122" t="s">
        <v>59</v>
      </c>
      <c r="AH157" s="205" t="s">
        <v>59</v>
      </c>
      <c r="AI157" s="124"/>
      <c r="AJ157" s="125" t="s">
        <v>59</v>
      </c>
      <c r="AK157" s="286" t="s">
        <v>231</v>
      </c>
      <c r="AL157" s="130"/>
      <c r="AM157" s="131" t="s">
        <v>346</v>
      </c>
      <c r="AN157" s="309" t="s">
        <v>59</v>
      </c>
      <c r="AO157" s="121"/>
      <c r="AP157" s="51" t="s">
        <v>59</v>
      </c>
      <c r="AQ157" s="277" t="s">
        <v>59</v>
      </c>
      <c r="AR157" s="124"/>
      <c r="AS157" s="54" t="s">
        <v>59</v>
      </c>
      <c r="AT157" s="120" t="s">
        <v>59</v>
      </c>
      <c r="AU157" s="121"/>
      <c r="AV157" s="122" t="s">
        <v>59</v>
      </c>
      <c r="AW157" s="205" t="s">
        <v>59</v>
      </c>
      <c r="AX157" s="124"/>
      <c r="AY157" s="125" t="s">
        <v>59</v>
      </c>
      <c r="AZ157" s="120" t="s">
        <v>59</v>
      </c>
      <c r="BA157" s="121"/>
      <c r="BB157" s="122" t="s">
        <v>59</v>
      </c>
      <c r="BC157" s="298" t="s">
        <v>59</v>
      </c>
      <c r="BD157" s="124"/>
      <c r="BE157" s="125" t="s">
        <v>59</v>
      </c>
      <c r="BF157" s="291" t="s">
        <v>59</v>
      </c>
      <c r="BG157" s="127"/>
      <c r="BH157" s="128" t="s">
        <v>59</v>
      </c>
      <c r="BI157" s="292" t="s">
        <v>59</v>
      </c>
      <c r="BJ157" s="130"/>
      <c r="BK157" s="131" t="s">
        <v>59</v>
      </c>
      <c r="BL157" s="291" t="s">
        <v>59</v>
      </c>
      <c r="BM157" s="127"/>
      <c r="BN157" s="128" t="s">
        <v>59</v>
      </c>
    </row>
    <row r="158" customFormat="false" ht="15" hidden="false" customHeight="true" outlineLevel="0" collapsed="false">
      <c r="B158" s="173" t="s">
        <v>117</v>
      </c>
      <c r="C158" s="42" t="s">
        <v>347</v>
      </c>
      <c r="D158" s="177"/>
      <c r="E158" s="44" t="s">
        <v>120</v>
      </c>
      <c r="F158" s="216"/>
      <c r="G158" s="58"/>
      <c r="H158" s="74"/>
      <c r="I158" s="178"/>
      <c r="J158" s="55"/>
      <c r="K158" s="56"/>
      <c r="L158" s="57"/>
      <c r="M158" s="58"/>
      <c r="N158" s="59"/>
      <c r="O158" s="178"/>
      <c r="P158" s="58"/>
      <c r="Q158" s="59"/>
      <c r="R158" s="178"/>
      <c r="S158" s="49"/>
      <c r="T158" s="56"/>
      <c r="U158" s="51"/>
      <c r="V158" s="108"/>
      <c r="W158" s="178"/>
      <c r="X158" s="87"/>
      <c r="Y158" s="84"/>
      <c r="Z158" s="62"/>
      <c r="AA158" s="233"/>
      <c r="AB158" s="108"/>
      <c r="AC158" s="179"/>
      <c r="AD158" s="87"/>
      <c r="AE158" s="49"/>
      <c r="AF158" s="62"/>
      <c r="AG158" s="51"/>
      <c r="AH158" s="49"/>
      <c r="AI158" s="62"/>
      <c r="AJ158" s="51"/>
      <c r="AK158" s="78"/>
      <c r="AL158" s="74"/>
      <c r="AM158" s="54"/>
      <c r="AN158" s="154"/>
      <c r="AO158" s="50"/>
      <c r="AP158" s="51"/>
      <c r="AQ158" s="108"/>
      <c r="AR158" s="74"/>
      <c r="AS158" s="87"/>
      <c r="AT158" s="49"/>
      <c r="AU158" s="62"/>
      <c r="AV158" s="51"/>
      <c r="AW158" s="108"/>
      <c r="AX158" s="74"/>
      <c r="AY158" s="87"/>
      <c r="AZ158" s="49"/>
      <c r="BA158" s="62"/>
      <c r="BB158" s="51"/>
      <c r="BC158" s="108"/>
      <c r="BD158" s="74"/>
      <c r="BE158" s="87"/>
      <c r="BF158" s="49"/>
      <c r="BG158" s="62"/>
      <c r="BH158" s="51"/>
      <c r="BI158" s="108"/>
      <c r="BJ158" s="74"/>
      <c r="BK158" s="87"/>
      <c r="BL158" s="49"/>
      <c r="BM158" s="62"/>
      <c r="BN158" s="51"/>
    </row>
    <row r="159" customFormat="false" ht="15" hidden="false" customHeight="true" outlineLevel="0" collapsed="false">
      <c r="B159" s="173"/>
      <c r="C159" s="85" t="s">
        <v>348</v>
      </c>
      <c r="D159" s="202"/>
      <c r="E159" s="44" t="s">
        <v>123</v>
      </c>
      <c r="F159" s="235"/>
      <c r="G159" s="78"/>
      <c r="H159" s="74"/>
      <c r="I159" s="153"/>
      <c r="J159" s="49"/>
      <c r="K159" s="50"/>
      <c r="L159" s="51"/>
      <c r="M159" s="78"/>
      <c r="N159" s="53"/>
      <c r="O159" s="153"/>
      <c r="P159" s="78"/>
      <c r="Q159" s="53"/>
      <c r="R159" s="153"/>
      <c r="S159" s="49"/>
      <c r="T159" s="56"/>
      <c r="U159" s="51"/>
      <c r="V159" s="108"/>
      <c r="W159" s="153"/>
      <c r="X159" s="87"/>
      <c r="Y159" s="84"/>
      <c r="Z159" s="197"/>
      <c r="AA159" s="233"/>
      <c r="AB159" s="108"/>
      <c r="AC159" s="103"/>
      <c r="AD159" s="87"/>
      <c r="AE159" s="49"/>
      <c r="AF159" s="50"/>
      <c r="AG159" s="51"/>
      <c r="AH159" s="49"/>
      <c r="AI159" s="50"/>
      <c r="AJ159" s="51"/>
      <c r="AK159" s="78"/>
      <c r="AL159" s="53"/>
      <c r="AM159" s="54"/>
      <c r="AN159" s="154"/>
      <c r="AO159" s="56"/>
      <c r="AP159" s="51"/>
      <c r="AQ159" s="108"/>
      <c r="AR159" s="74"/>
      <c r="AS159" s="87"/>
      <c r="AT159" s="49"/>
      <c r="AU159" s="50"/>
      <c r="AV159" s="51"/>
      <c r="AW159" s="108"/>
      <c r="AX159" s="74"/>
      <c r="AY159" s="87"/>
      <c r="AZ159" s="49"/>
      <c r="BA159" s="50"/>
      <c r="BB159" s="51"/>
      <c r="BC159" s="108"/>
      <c r="BD159" s="74"/>
      <c r="BE159" s="87"/>
      <c r="BF159" s="49"/>
      <c r="BG159" s="50"/>
      <c r="BH159" s="51"/>
      <c r="BI159" s="108"/>
      <c r="BJ159" s="74"/>
      <c r="BK159" s="87"/>
      <c r="BL159" s="49"/>
      <c r="BM159" s="50"/>
      <c r="BN159" s="51"/>
    </row>
    <row r="160" customFormat="false" ht="15" hidden="false" customHeight="true" outlineLevel="0" collapsed="false">
      <c r="B160" s="173"/>
      <c r="C160" s="85" t="s">
        <v>349</v>
      </c>
      <c r="D160" s="202"/>
      <c r="E160" s="44" t="s">
        <v>350</v>
      </c>
      <c r="F160" s="235"/>
      <c r="G160" s="78"/>
      <c r="H160" s="74"/>
      <c r="I160" s="153"/>
      <c r="J160" s="49"/>
      <c r="K160" s="50"/>
      <c r="L160" s="51"/>
      <c r="M160" s="52"/>
      <c r="N160" s="53"/>
      <c r="O160" s="54"/>
      <c r="P160" s="52"/>
      <c r="Q160" s="53"/>
      <c r="R160" s="54"/>
      <c r="S160" s="49"/>
      <c r="T160" s="56"/>
      <c r="U160" s="51"/>
      <c r="V160" s="108"/>
      <c r="W160" s="153"/>
      <c r="X160" s="87"/>
      <c r="Y160" s="84"/>
      <c r="Z160" s="50"/>
      <c r="AA160" s="233"/>
      <c r="AB160" s="108"/>
      <c r="AC160" s="103"/>
      <c r="AD160" s="87"/>
      <c r="AE160" s="49"/>
      <c r="AF160" s="50"/>
      <c r="AG160" s="51"/>
      <c r="AH160" s="49"/>
      <c r="AI160" s="50"/>
      <c r="AJ160" s="51"/>
      <c r="AK160" s="78"/>
      <c r="AL160" s="53"/>
      <c r="AM160" s="54"/>
      <c r="AN160" s="154"/>
      <c r="AO160" s="56"/>
      <c r="AP160" s="51"/>
      <c r="AQ160" s="108"/>
      <c r="AR160" s="74"/>
      <c r="AS160" s="87"/>
      <c r="AT160" s="49"/>
      <c r="AU160" s="50"/>
      <c r="AV160" s="51"/>
      <c r="AW160" s="108"/>
      <c r="AX160" s="74"/>
      <c r="AY160" s="87"/>
      <c r="AZ160" s="49"/>
      <c r="BA160" s="50"/>
      <c r="BB160" s="51"/>
      <c r="BC160" s="108"/>
      <c r="BD160" s="74"/>
      <c r="BE160" s="87"/>
      <c r="BF160" s="49"/>
      <c r="BG160" s="50"/>
      <c r="BH160" s="51"/>
      <c r="BI160" s="108"/>
      <c r="BJ160" s="74"/>
      <c r="BK160" s="87"/>
      <c r="BL160" s="49"/>
      <c r="BM160" s="50"/>
      <c r="BN160" s="51"/>
    </row>
    <row r="161" customFormat="false" ht="15" hidden="false" customHeight="true" outlineLevel="0" collapsed="false">
      <c r="A161" s="0" t="n">
        <v>19</v>
      </c>
      <c r="B161" s="173"/>
      <c r="C161" s="236" t="s">
        <v>351</v>
      </c>
      <c r="D161" s="203"/>
      <c r="E161" s="203" t="s">
        <v>129</v>
      </c>
      <c r="F161" s="224"/>
      <c r="G161" s="205"/>
      <c r="H161" s="124"/>
      <c r="I161" s="119"/>
      <c r="J161" s="120"/>
      <c r="K161" s="121"/>
      <c r="L161" s="122"/>
      <c r="M161" s="205"/>
      <c r="N161" s="124"/>
      <c r="O161" s="119"/>
      <c r="P161" s="205"/>
      <c r="Q161" s="124"/>
      <c r="R161" s="119"/>
      <c r="S161" s="120"/>
      <c r="T161" s="121"/>
      <c r="U161" s="122"/>
      <c r="V161" s="129"/>
      <c r="W161" s="119"/>
      <c r="X161" s="131"/>
      <c r="Y161" s="164"/>
      <c r="Z161" s="121"/>
      <c r="AA161" s="228"/>
      <c r="AB161" s="129"/>
      <c r="AC161" s="119"/>
      <c r="AD161" s="131"/>
      <c r="AE161" s="120"/>
      <c r="AF161" s="121"/>
      <c r="AG161" s="122"/>
      <c r="AH161" s="120"/>
      <c r="AI161" s="121"/>
      <c r="AJ161" s="122"/>
      <c r="AK161" s="205"/>
      <c r="AL161" s="124"/>
      <c r="AM161" s="125"/>
      <c r="AN161" s="165"/>
      <c r="AO161" s="121"/>
      <c r="AP161" s="122"/>
      <c r="AQ161" s="129"/>
      <c r="AR161" s="124"/>
      <c r="AS161" s="131"/>
      <c r="AT161" s="120"/>
      <c r="AU161" s="121"/>
      <c r="AV161" s="122"/>
      <c r="AW161" s="129"/>
      <c r="AX161" s="124"/>
      <c r="AY161" s="131"/>
      <c r="AZ161" s="120"/>
      <c r="BA161" s="121"/>
      <c r="BB161" s="122"/>
      <c r="BC161" s="129"/>
      <c r="BD161" s="124"/>
      <c r="BE161" s="131"/>
      <c r="BF161" s="120"/>
      <c r="BG161" s="121"/>
      <c r="BH161" s="122"/>
      <c r="BI161" s="129"/>
      <c r="BJ161" s="124"/>
      <c r="BK161" s="131"/>
      <c r="BL161" s="120"/>
      <c r="BM161" s="121"/>
      <c r="BN161" s="122"/>
    </row>
    <row r="162" customFormat="false" ht="13.8" hidden="false" customHeight="false" outlineLevel="0" collapsed="false">
      <c r="B162" s="251" t="s">
        <v>148</v>
      </c>
      <c r="C162" s="251" t="s">
        <v>149</v>
      </c>
      <c r="D162" s="251"/>
      <c r="E162" s="251"/>
      <c r="F162" s="251"/>
    </row>
    <row r="1048576" customFormat="false" ht="12.8" hidden="false" customHeight="false" outlineLevel="0" collapsed="false"/>
  </sheetData>
  <mergeCells count="92">
    <mergeCell ref="B2:E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BF2:BH2"/>
    <mergeCell ref="BI2:BK2"/>
    <mergeCell ref="BL2:BN2"/>
    <mergeCell ref="B5:B80"/>
    <mergeCell ref="C5:C16"/>
    <mergeCell ref="D5:D8"/>
    <mergeCell ref="D9:D12"/>
    <mergeCell ref="D13:D16"/>
    <mergeCell ref="C17:C28"/>
    <mergeCell ref="D17:D20"/>
    <mergeCell ref="D21:D24"/>
    <mergeCell ref="D25:D28"/>
    <mergeCell ref="C29:C36"/>
    <mergeCell ref="D29:D32"/>
    <mergeCell ref="D33:D36"/>
    <mergeCell ref="C37:C48"/>
    <mergeCell ref="D37:D40"/>
    <mergeCell ref="D41:D44"/>
    <mergeCell ref="D45:D48"/>
    <mergeCell ref="C49:C60"/>
    <mergeCell ref="D49:D52"/>
    <mergeCell ref="D53:D56"/>
    <mergeCell ref="D57:D60"/>
    <mergeCell ref="C61:C68"/>
    <mergeCell ref="D61:D64"/>
    <mergeCell ref="D65:D68"/>
    <mergeCell ref="C69:C72"/>
    <mergeCell ref="D69:D72"/>
    <mergeCell ref="C73:C76"/>
    <mergeCell ref="D73:D76"/>
    <mergeCell ref="C77:C80"/>
    <mergeCell ref="B81:B133"/>
    <mergeCell ref="C81:C84"/>
    <mergeCell ref="D81:D84"/>
    <mergeCell ref="F81:F84"/>
    <mergeCell ref="C85:C100"/>
    <mergeCell ref="D85:D88"/>
    <mergeCell ref="F85:F88"/>
    <mergeCell ref="D89:D92"/>
    <mergeCell ref="F89:F92"/>
    <mergeCell ref="D93:D96"/>
    <mergeCell ref="F93:F96"/>
    <mergeCell ref="D97:D100"/>
    <mergeCell ref="F97:F100"/>
    <mergeCell ref="C101:C104"/>
    <mergeCell ref="D101:D104"/>
    <mergeCell ref="F101:F104"/>
    <mergeCell ref="C105:C120"/>
    <mergeCell ref="D105:D108"/>
    <mergeCell ref="F105:F108"/>
    <mergeCell ref="D109:D112"/>
    <mergeCell ref="F109:F112"/>
    <mergeCell ref="D113:D116"/>
    <mergeCell ref="F113:F116"/>
    <mergeCell ref="D117:D120"/>
    <mergeCell ref="F117:F120"/>
    <mergeCell ref="C121:C124"/>
    <mergeCell ref="D121:D124"/>
    <mergeCell ref="C125:C128"/>
    <mergeCell ref="D125:D128"/>
    <mergeCell ref="B134:B137"/>
    <mergeCell ref="C134:C135"/>
    <mergeCell ref="C136:C137"/>
    <mergeCell ref="B138:B141"/>
    <mergeCell ref="B142:B143"/>
    <mergeCell ref="B144:B157"/>
    <mergeCell ref="C144:C151"/>
    <mergeCell ref="D144:D147"/>
    <mergeCell ref="F144:F147"/>
    <mergeCell ref="D148:D151"/>
    <mergeCell ref="F148:F151"/>
    <mergeCell ref="C152:C155"/>
    <mergeCell ref="D152:D155"/>
    <mergeCell ref="B158:B16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7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2260</TotalTime>
  <Application>LibreOffice/7.3.7.2$Linux_X86_64 LibreOffice_project/30$Build-2</Application>
  <AppVersion>15.0000</AppVersion>
  <Company>MEERI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2016-06-29T10:28:22Z</dcterms:created>
  <dc:creator>PK</dc:creator>
  <dc:description/>
  <dc:language>en-US</dc:language>
  <cp:lastModifiedBy/>
  <dcterms:modified xsi:type="dcterms:W3CDTF">2025-11-29T19:44:09Z</dcterms:modified>
  <cp:revision>95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207707703113555</vt:r8>
  </property>
</Properties>
</file>