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f_power_unit_class" sheetId="1" state="visible" r:id="rId2"/>
    <sheet name="Refere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N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O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P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AN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O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  <comment ref="AP3" authorId="0">
      <text>
        <r>
          <rPr>
            <sz val="11"/>
            <color rgb="FF000000"/>
            <rFont val="Calibri"/>
            <family val="2"/>
            <charset val="1"/>
          </rPr>
          <t xml:space="preserve">
all EUR/kWa;
Nuclear (€/MWh)
</t>
        </r>
      </text>
    </comment>
  </commentList>
</comments>
</file>

<file path=xl/sharedStrings.xml><?xml version="1.0" encoding="utf-8"?>
<sst xmlns="http://schemas.openxmlformats.org/spreadsheetml/2006/main" count="8751" uniqueCount="308">
  <si>
    <t xml:space="preserve">This is the main Look-up table with defined values for plant categories.</t>
  </si>
  <si>
    <t xml:space="preserve">Efficiency of power generation</t>
  </si>
  <si>
    <t xml:space="preserve">CHP thermal efficiency</t>
  </si>
  <si>
    <t xml:space="preserve">CHP electric efficiency</t>
  </si>
  <si>
    <t xml:space="preserve">CHP total efficiency</t>
  </si>
  <si>
    <t xml:space="preserve">Availability factor</t>
  </si>
  <si>
    <t xml:space="preserve">Minimum power for stable generation</t>
  </si>
  <si>
    <t xml:space="preserve">Ramping up rate</t>
  </si>
  <si>
    <t xml:space="preserve">Ramping down rate</t>
  </si>
  <si>
    <t xml:space="preserve">Minimum up time</t>
  </si>
  <si>
    <t xml:space="preserve">Minimum down time</t>
  </si>
  <si>
    <t xml:space="preserve">Capital costs</t>
  </si>
  <si>
    <t xml:space="preserve">Fixed O&amp;M costs</t>
  </si>
  <si>
    <t xml:space="preserve">Variable O&amp;M costs</t>
  </si>
  <si>
    <t xml:space="preserve">Start-up costs for hot start</t>
  </si>
  <si>
    <t xml:space="preserve">Start-up costs for warm start</t>
  </si>
  <si>
    <t xml:space="preserve">Start-up costs for cold start</t>
  </si>
  <si>
    <t xml:space="preserve">Ramping costs</t>
  </si>
  <si>
    <t xml:space="preserve">Start-up times for hot start</t>
  </si>
  <si>
    <t xml:space="preserve">Start-up times for warm start</t>
  </si>
  <si>
    <t xml:space="preserve">Start-up times for cold start</t>
  </si>
  <si>
    <t xml:space="preserve">%</t>
  </si>
  <si>
    <t xml:space="preserve">% in time</t>
  </si>
  <si>
    <t xml:space="preserve">% maximum capacity</t>
  </si>
  <si>
    <t xml:space="preserve">% maximum capacity/ min.</t>
  </si>
  <si>
    <t xml:space="preserve">% maximum capacity/min.</t>
  </si>
  <si>
    <t xml:space="preserve">h</t>
  </si>
  <si>
    <t xml:space="preserve">EUR/kW</t>
  </si>
  <si>
    <t xml:space="preserve">EUR/kW/a</t>
  </si>
  <si>
    <t xml:space="preserve">EUR/MWh</t>
  </si>
  <si>
    <r>
      <rPr>
        <sz val="11"/>
        <color rgb="FF000000"/>
        <rFont val="Calibri"/>
        <family val="2"/>
        <charset val="1"/>
      </rPr>
      <t xml:space="preserve">EUR/</t>
    </r>
    <r>
      <rPr>
        <sz val="11"/>
        <color rgb="FF000000"/>
        <rFont val="Symbol"/>
        <family val="1"/>
        <charset val="2"/>
      </rPr>
      <t xml:space="preserve">D</t>
    </r>
    <r>
      <rPr>
        <sz val="11"/>
        <color rgb="FF000000"/>
        <rFont val="Calibri"/>
        <family val="2"/>
        <charset val="1"/>
      </rPr>
      <t xml:space="preserve">MW</t>
    </r>
  </si>
  <si>
    <t xml:space="preserve">min.</t>
  </si>
  <si>
    <t xml:space="preserve">Energy carrier</t>
  </si>
  <si>
    <t xml:space="preserve">Reference technology</t>
  </si>
  <si>
    <t xml:space="preserve">Age bin</t>
  </si>
  <si>
    <t xml:space="preserve">Size bin</t>
  </si>
  <si>
    <t xml:space="preserve">Turbine type</t>
  </si>
  <si>
    <t xml:space="preserve">Min</t>
  </si>
  <si>
    <t xml:space="preserve">Best</t>
  </si>
  <si>
    <t xml:space="preserve">Max</t>
  </si>
  <si>
    <t xml:space="preserve">Hard coal
/
Lignite</t>
  </si>
  <si>
    <t xml:space="preserve">Steam turbine - sub-critical (hard coal)</t>
  </si>
  <si>
    <t xml:space="preserve">&lt;10</t>
  </si>
  <si>
    <t xml:space="preserve">L (&gt;=400MW)</t>
  </si>
  <si>
    <t xml:space="preserve">-</t>
  </si>
  <si>
    <t xml:space="preserve">M (&gt;=150MW and &lt;400MW)</t>
  </si>
  <si>
    <t xml:space="preserve">S (&gt;=7.5MW and &lt;150MW)</t>
  </si>
  <si>
    <t xml:space="preserve">XS (&lt;7.5MW)</t>
  </si>
  <si>
    <t xml:space="preserve">10 - 30</t>
  </si>
  <si>
    <t xml:space="preserve">&gt;30</t>
  </si>
  <si>
    <t xml:space="preserve">Steam turbine - supercritical (hard coal)</t>
  </si>
  <si>
    <t xml:space="preserve">Steam turbine - ultra-supercritical (hard coal)</t>
  </si>
  <si>
    <t xml:space="preserve">10 - 20</t>
  </si>
  <si>
    <t xml:space="preserve">Steam turbine - sub-critical (lignite)</t>
  </si>
  <si>
    <t xml:space="preserve">Steam turbine - supercritical (lignite)</t>
  </si>
  <si>
    <t xml:space="preserve">Steam turbine - ultra-supercritical (lignite)</t>
  </si>
  <si>
    <t xml:space="preserve">IGCC (Integrateg gasification combined cycle)</t>
  </si>
  <si>
    <t xml:space="preserve">no data</t>
  </si>
  <si>
    <t xml:space="preserve">no data </t>
  </si>
  <si>
    <t xml:space="preserve">Backpressure steam turbine (CHP)</t>
  </si>
  <si>
    <t xml:space="preserve">Extraction steam turbine (CHP)</t>
  </si>
  <si>
    <t xml:space="preserve">Natural gas
/
Oil</t>
  </si>
  <si>
    <t xml:space="preserve">Combined-cycle (aeroderivative)</t>
  </si>
  <si>
    <t xml:space="preserve">L (&gt;=350MW)</t>
  </si>
  <si>
    <t xml:space="preserve">M (&gt;=100MW and &lt;350MW)</t>
  </si>
  <si>
    <t xml:space="preserve">S (&gt;=9MW and &lt;100MW)</t>
  </si>
  <si>
    <t xml:space="preserve">XS (&lt;9MW)</t>
  </si>
  <si>
    <t xml:space="preserve">Combined-cycle (heavy-duty)</t>
  </si>
  <si>
    <t xml:space="preserve">until 2000</t>
  </si>
  <si>
    <t xml:space="preserve">E</t>
  </si>
  <si>
    <t xml:space="preserve">2000-2005</t>
  </si>
  <si>
    <t xml:space="preserve">Fa</t>
  </si>
  <si>
    <t xml:space="preserve">2006-2010</t>
  </si>
  <si>
    <t xml:space="preserve">Fb</t>
  </si>
  <si>
    <t xml:space="preserve">After 2010</t>
  </si>
  <si>
    <t xml:space="preserve">H</t>
  </si>
  <si>
    <t xml:space="preserve">Gas turbine open cycle (aeroderivative)</t>
  </si>
  <si>
    <t xml:space="preserve">4 min.</t>
  </si>
  <si>
    <t xml:space="preserve">6 min.</t>
  </si>
  <si>
    <t xml:space="preserve">8 min.</t>
  </si>
  <si>
    <t xml:space="preserve">Gas turbine open cycle (heavy-duty)</t>
  </si>
  <si>
    <t xml:space="preserve">Steam turbine</t>
  </si>
  <si>
    <t xml:space="preserve">Internal combustion</t>
  </si>
  <si>
    <t xml:space="preserve">L (&gt;=10MW)</t>
  </si>
  <si>
    <t xml:space="preserve">M (&gt;=5MW and &lt;10MW)</t>
  </si>
  <si>
    <t xml:space="preserve">S (&gt;=2MW and &lt;5MW)</t>
  </si>
  <si>
    <t xml:space="preserve">XS (&lt;2MW)</t>
  </si>
  <si>
    <t xml:space="preserve">CCGT (CHP)</t>
  </si>
  <si>
    <t xml:space="preserve">Gas turbine (CHP)</t>
  </si>
  <si>
    <t xml:space="preserve">Internal combustion (CHP)</t>
  </si>
  <si>
    <t xml:space="preserve">10 sec</t>
  </si>
  <si>
    <t xml:space="preserve">Uranium</t>
  </si>
  <si>
    <t xml:space="preserve">PWR (Pressurized water reactor)</t>
  </si>
  <si>
    <t xml:space="preserve">L (&gt;=750MW)</t>
  </si>
  <si>
    <t xml:space="preserve">95.5</t>
  </si>
  <si>
    <t xml:space="preserve">M (&lt;750MW)</t>
  </si>
  <si>
    <t xml:space="preserve">BWR (Boiling water reactor)</t>
  </si>
  <si>
    <t xml:space="preserve">Biomass</t>
  </si>
  <si>
    <t xml:space="preserve">Back-pressure steam turbine (CHP)</t>
  </si>
  <si>
    <t xml:space="preserve">Organic Rankine-cycle (CHP)</t>
  </si>
  <si>
    <t xml:space="preserve">Biogas</t>
  </si>
  <si>
    <t xml:space="preserve">Water</t>
  </si>
  <si>
    <t xml:space="preserve">Conventional hyrdoeletric turbine</t>
  </si>
  <si>
    <t xml:space="preserve">L (&gt;=30MW)</t>
  </si>
  <si>
    <t xml:space="preserve">Run-of-river</t>
  </si>
  <si>
    <t xml:space="preserve">M (&gt;=10MW and &lt;30MW)</t>
  </si>
  <si>
    <t xml:space="preserve">S (&gt;=1MW and &lt;10MW)</t>
  </si>
  <si>
    <t xml:space="preserve">XS (&lt;1MW)</t>
  </si>
  <si>
    <t xml:space="preserve">L (&gt;=75MW)</t>
  </si>
  <si>
    <t xml:space="preserve">Reservoirs</t>
  </si>
  <si>
    <t xml:space="preserve">M (&gt;=10MW and &lt;75MW)</t>
  </si>
  <si>
    <t xml:space="preserve">Pumped-storage</t>
  </si>
  <si>
    <t xml:space="preserve">Tidal</t>
  </si>
  <si>
    <t xml:space="preserve">Wave</t>
  </si>
  <si>
    <t xml:space="preserve">Solar</t>
  </si>
  <si>
    <t xml:space="preserve">Photovoltaic (RESIDENTIAL ROOFTOP)</t>
  </si>
  <si>
    <t xml:space="preserve">XS (&lt;0.01MW)</t>
  </si>
  <si>
    <t xml:space="preserve">Photovoltaic (COMMERCIAL ROOFTOP)</t>
  </si>
  <si>
    <t xml:space="preserve">S (&gt;=0.01MW and &lt;0.5MW)</t>
  </si>
  <si>
    <t xml:space="preserve">Photovoltaic (UTILITY SCALE)</t>
  </si>
  <si>
    <t xml:space="preserve">L (&gt;=1MW and &lt;100MW)</t>
  </si>
  <si>
    <t xml:space="preserve">Photovoltaic (VERY LARGE SCALE)</t>
  </si>
  <si>
    <t xml:space="preserve">L (&gt;=100MW)</t>
  </si>
  <si>
    <t xml:space="preserve">* (CHP)</t>
  </si>
  <si>
    <t xml:space="preserve">cogeneration technologies</t>
  </si>
  <si>
    <t xml:space="preserve">`</t>
  </si>
  <si>
    <t xml:space="preserve">This is the list of references which were used to populate the main Look-up table</t>
  </si>
  <si>
    <t xml:space="preserve">CHP electric efficiency </t>
  </si>
  <si>
    <t xml:space="preserve">CHP total efficiency </t>
  </si>
  <si>
    <t xml:space="preserve">Steam turbine - sub-critical</t>
  </si>
  <si>
    <t xml:space="preserve">own calculations</t>
  </si>
  <si>
    <t xml:space="preserve">Bertsch 2016</t>
  </si>
  <si>
    <t xml:space="preserve">DIW 2014</t>
  </si>
  <si>
    <t xml:space="preserve">DIW 2013</t>
  </si>
  <si>
    <t xml:space="preserve">Hentschel 2016</t>
  </si>
  <si>
    <t xml:space="preserve">DIW 2013 (IEA 2011a)</t>
  </si>
  <si>
    <t xml:space="preserve">DIW 2013 (Klobasa et al.. 2009)</t>
  </si>
  <si>
    <t xml:space="preserve">IEA 2014 (coal fired steam power plant, old)</t>
  </si>
  <si>
    <t xml:space="preserve">DIW 2013 (Ehlers 2011) - coal fired steam power plant, old</t>
  </si>
  <si>
    <t xml:space="preserve">Hentschel 2016, coal fired steam power plant</t>
  </si>
  <si>
    <t xml:space="preserve">IEA 2014 - coal fired steam power plant, new</t>
  </si>
  <si>
    <t xml:space="preserve">DIW 2013 (wagner 2004)</t>
  </si>
  <si>
    <t xml:space="preserve">DIW 2013 (IEA 2011b)</t>
  </si>
  <si>
    <t xml:space="preserve">DIW 2013 (Traber &amp; Kemfert 2011)</t>
  </si>
  <si>
    <t xml:space="preserve">DIW 2013 (IEA et al.. 2010)</t>
  </si>
  <si>
    <t xml:space="preserve">DIW 2013 (Grimm 2007)</t>
  </si>
  <si>
    <t xml:space="preserve">DIW 2013 (Kumar et al. 2012 median)</t>
  </si>
  <si>
    <t xml:space="preserve">DIW 2013 (Kumar et al. 2012 modern)</t>
  </si>
  <si>
    <t xml:space="preserve">Kumar 2012</t>
  </si>
  <si>
    <t xml:space="preserve">Van der Bergh &amp; Delarue 2015</t>
  </si>
  <si>
    <t xml:space="preserve">Parsons Brinckerhoff - DECC 2014</t>
  </si>
  <si>
    <t xml:space="preserve">DIW 2013 (Hundt et al. 2009) - coal fired steam power plant, old</t>
  </si>
  <si>
    <t xml:space="preserve">DIW 2013 (Schuewer et al. 2010) - coal fired steam power plant, old</t>
  </si>
  <si>
    <t xml:space="preserve">Steam turbine - supercritical</t>
  </si>
  <si>
    <t xml:space="preserve">Traber &amp; Kemfert 2011</t>
  </si>
  <si>
    <t xml:space="preserve">dena 2008</t>
  </si>
  <si>
    <t xml:space="preserve">van der Bergh and Delarue 2015</t>
  </si>
  <si>
    <t xml:space="preserve">IEA 2014 (coal fired steam power plant, new)</t>
  </si>
  <si>
    <t xml:space="preserve">van der Bergh and Delarue 2015 (coal fired steam power plant, new)</t>
  </si>
  <si>
    <t xml:space="preserve">DIW 2013 (RWI 1997)</t>
  </si>
  <si>
    <t xml:space="preserve">DIW 2013 (Meibom et al. 2008)</t>
  </si>
  <si>
    <t xml:space="preserve">DIW 2013 (dena 2005)</t>
  </si>
  <si>
    <t xml:space="preserve">diw 2012, Grimm 2007</t>
  </si>
  <si>
    <t xml:space="preserve">DIW 2013, Wacek 2010</t>
  </si>
  <si>
    <t xml:space="preserve">DIW 2013, Hundt el al. 2009</t>
  </si>
  <si>
    <t xml:space="preserve">DIW 2013,Meibom el al. 2000</t>
  </si>
  <si>
    <t xml:space="preserve">Ecofys 2014</t>
  </si>
  <si>
    <t xml:space="preserve">DIW 2013, Meibom et al. 2008</t>
  </si>
  <si>
    <t xml:space="preserve">DIW 2013, Meibom et al. 2009</t>
  </si>
  <si>
    <t xml:space="preserve">DIW 2013, Meibom et al. 2010</t>
  </si>
  <si>
    <t xml:space="preserve">DIW 2013, Meibom et al. 2011</t>
  </si>
  <si>
    <t xml:space="preserve">DIW 2013, Meibom et al. 2012</t>
  </si>
  <si>
    <t xml:space="preserve">DIW 2013, Meibom et al. 2013</t>
  </si>
  <si>
    <t xml:space="preserve">DIW 2013, Meibom et al. 2014</t>
  </si>
  <si>
    <t xml:space="preserve">DIW 2013, Meibom et al. 2015</t>
  </si>
  <si>
    <t xml:space="preserve">DIW 2013, Meibom et al. 2016</t>
  </si>
  <si>
    <t xml:space="preserve">DIW 2013, Meibom et al. 2017</t>
  </si>
  <si>
    <t xml:space="preserve">DIW 2013, Meibom et al. 2018</t>
  </si>
  <si>
    <t xml:space="preserve">DIW 2013, Meibom et al. 2019</t>
  </si>
  <si>
    <t xml:space="preserve">Steam turbine - ultra-supercritical</t>
  </si>
  <si>
    <t xml:space="preserve">IEA 2016</t>
  </si>
  <si>
    <t xml:space="preserve">DIW 2013 (MIT 2007)</t>
  </si>
  <si>
    <t xml:space="preserve">DIW 2013, Meibom et al. 2020</t>
  </si>
  <si>
    <t xml:space="preserve">DIW 2013, Meibom et al. 2021</t>
  </si>
  <si>
    <t xml:space="preserve">DIW 2013, Meibom et al. 2022</t>
  </si>
  <si>
    <t xml:space="preserve">DIW 2013, Meibom et al. 2023</t>
  </si>
  <si>
    <t xml:space="preserve">DIW 2013, Meibom et al. 2024</t>
  </si>
  <si>
    <t xml:space="preserve">DIW 2013, Meibom et al. 2025</t>
  </si>
  <si>
    <t xml:space="preserve">DIW 2013, Meibom et al. 2026</t>
  </si>
  <si>
    <t xml:space="preserve">DIW 2013, Meibom et al. 2027</t>
  </si>
  <si>
    <t xml:space="preserve">DIW 2013 (Klobasa et al. 2009) - lignite fired steam power plant, old</t>
  </si>
  <si>
    <t xml:space="preserve">DIW 2013 (Ehlers 2011) - lignite fired steam power plant, old</t>
  </si>
  <si>
    <t xml:space="preserve">Hentschel 2016, lignite fired steam power plant</t>
  </si>
  <si>
    <t xml:space="preserve">van der Bergh and Delarue 2015 (lignite fired steam power plant)</t>
  </si>
  <si>
    <t xml:space="preserve">DIW 2013 (Wagner 2004, Lignite Old)</t>
  </si>
  <si>
    <t xml:space="preserve">DIW 2013 (EWI et al.. 2010, Lignite Old)</t>
  </si>
  <si>
    <t xml:space="preserve">DIW 2013 (Traber &amp; Kemfert 2010)</t>
  </si>
  <si>
    <t xml:space="preserve">DIW 2013,VDE 2012</t>
  </si>
  <si>
    <t xml:space="preserve">Lund et al. 2015</t>
  </si>
  <si>
    <t xml:space="preserve">DIW 2013, Traber &amp; Kemfert 2011</t>
  </si>
  <si>
    <t xml:space="preserve">DIW 2013 (Hundt et al. 2009) - lignite fired steam power plant, old</t>
  </si>
  <si>
    <t xml:space="preserve">DIW 2013 (VDE 2012)</t>
  </si>
  <si>
    <t xml:space="preserve">IEA 2014 lignite fired steam power plant, new)</t>
  </si>
  <si>
    <t xml:space="preserve">van der Bergh and Delarue 2015 lignite fired steam power plant, new)</t>
  </si>
  <si>
    <t xml:space="preserve">DIW 2013 (IEA 2010)</t>
  </si>
  <si>
    <t xml:space="preserve">DIW 2013 (Wagner 2004, Lignite New (BoA))</t>
  </si>
  <si>
    <t xml:space="preserve">DIW 2013 (EWI et al.. 2010, Lignite New (BoA))</t>
  </si>
  <si>
    <t xml:space="preserve">Siemens AG 2010</t>
  </si>
  <si>
    <t xml:space="preserve">Hundt el al. 2009</t>
  </si>
  <si>
    <t xml:space="preserve">Tidball et al. 2010 Cost and Performance Assumptions for Modeling Electricity Generation Technologies</t>
  </si>
  <si>
    <t xml:space="preserve">Brouwer 2015</t>
  </si>
  <si>
    <t xml:space="preserve">DIW (ECF 2010)</t>
  </si>
  <si>
    <t xml:space="preserve">DIW (IEA 2010)</t>
  </si>
  <si>
    <t xml:space="preserve">Brouwer 2010</t>
  </si>
  <si>
    <t xml:space="preserve">Fraunhofer IFAM 2014</t>
  </si>
  <si>
    <t xml:space="preserve">(coal) Bertsch 2016</t>
  </si>
  <si>
    <t xml:space="preserve">(lignite) Bertsch 2016</t>
  </si>
  <si>
    <t xml:space="preserve">Bertsch 2016 (lignite CHP, hard coal CHP)</t>
  </si>
  <si>
    <t xml:space="preserve">DIW 2013 (ECF 2010); many techologies</t>
  </si>
  <si>
    <t xml:space="preserve">Bertsch 2016 (lignite CHP)</t>
  </si>
  <si>
    <t xml:space="preserve">Bertsch 2016 (hard coal CHP)</t>
  </si>
  <si>
    <t xml:space="preserve">EWI et al. 2010; CCGT </t>
  </si>
  <si>
    <t xml:space="preserve">dena 2008; CCGT</t>
  </si>
  <si>
    <t xml:space="preserve">van der Bergh and Delarue 2015 (CCGT)</t>
  </si>
  <si>
    <t xml:space="preserve">Hentschel 2016 (CCGT)</t>
  </si>
  <si>
    <t xml:space="preserve">DIW 2013 (IEA 2010, CCGT (new))</t>
  </si>
  <si>
    <t xml:space="preserve">DIW 2013 (IEA 2011b, Combined Cycle New)</t>
  </si>
  <si>
    <t xml:space="preserve">DIW 2013 (Capros 2011, Combined Cycle New)</t>
  </si>
  <si>
    <t xml:space="preserve">DIW 2013 (Meibom et al. 2008); like CCGT(heavy - duty)</t>
  </si>
  <si>
    <t xml:space="preserve">DIW 2013 (Kumar et al. 2012 median); like CCGT (heavy duty)</t>
  </si>
  <si>
    <t xml:space="preserve">DIW 2013 (Meibom et al. 2008); like CCGT (heavy - duty)</t>
  </si>
  <si>
    <t xml:space="preserve">DIW 2013 (Traber &amp; Kemfert 2011); like CCGT (heavy - duty)</t>
  </si>
  <si>
    <t xml:space="preserve">EWI et al. 2010; CCGT</t>
  </si>
  <si>
    <t xml:space="preserve">IAE 2014</t>
  </si>
  <si>
    <t xml:space="preserve">ECOFYS 2014 (CCGT old) </t>
  </si>
  <si>
    <t xml:space="preserve">DIW 2013 (Capros 2011, Combined Cycle Old)</t>
  </si>
  <si>
    <t xml:space="preserve">DIW 2013 (Capros 2011)</t>
  </si>
  <si>
    <t xml:space="preserve">DIW 2013, Meibom el al. 2000</t>
  </si>
  <si>
    <t xml:space="preserve">DIW 2013, Meibom el al. 2001</t>
  </si>
  <si>
    <t xml:space="preserve">DIW 2013, Meibom el al. 2002</t>
  </si>
  <si>
    <t xml:space="preserve">DIW 2013, Meibom el al. 2003</t>
  </si>
  <si>
    <t xml:space="preserve">IEA 2014 (CCGT old)</t>
  </si>
  <si>
    <t xml:space="preserve">ECOFYS 2014 (CCGT new) </t>
  </si>
  <si>
    <t xml:space="preserve">IEA 2014 (CCGTnew</t>
  </si>
  <si>
    <t xml:space="preserve">ECF 2010; OCGT</t>
  </si>
  <si>
    <t xml:space="preserve">VGB PowerTech 2011b*; OCGT</t>
  </si>
  <si>
    <t xml:space="preserve">Ecofys 2014, DIW 2013</t>
  </si>
  <si>
    <t xml:space="preserve">ECOFYS 2014 (OCGT)</t>
  </si>
  <si>
    <t xml:space="preserve">van der Bergh and Delarue 2015; DIW 2013 (Hundt et al. 2009) - OCGT</t>
  </si>
  <si>
    <t xml:space="preserve">Hentschel 2016 (OCGT)</t>
  </si>
  <si>
    <t xml:space="preserve">van der Bergh and Delarue 2015 (OCGT)</t>
  </si>
  <si>
    <t xml:space="preserve">Brouwer 2015 (OCGT)</t>
  </si>
  <si>
    <t xml:space="preserve">DIW (VGB Powertech 2011)</t>
  </si>
  <si>
    <t xml:space="preserve">Brouwer 2010 (GT)</t>
  </si>
  <si>
    <t xml:space="preserve">Brouwer 2015 (GT)</t>
  </si>
  <si>
    <t xml:space="preserve">DIW 2013 (Kumar et al. 2012 modern); like CCGT(heavy - duty)</t>
  </si>
  <si>
    <t xml:space="preserve">IEA 2016 (Gas Turbine)</t>
  </si>
  <si>
    <t xml:space="preserve">DIW 2013 (Wagner 2004)</t>
  </si>
  <si>
    <t xml:space="preserve">EURELECTRIC 2003</t>
  </si>
  <si>
    <t xml:space="preserve">Kunz 2012</t>
  </si>
  <si>
    <t xml:space="preserve">van der Bergh &amp; Delarue 2015</t>
  </si>
  <si>
    <t xml:space="preserve">IEA 2011a</t>
  </si>
  <si>
    <t xml:space="preserve">Steck &amp; Mauch 2006</t>
  </si>
  <si>
    <t xml:space="preserve">van der Bergh and Delarue 2015 (gas fired steam plant))</t>
  </si>
  <si>
    <t xml:space="preserve">van der Bergh and Delarue 2015; DIW 2013 (Schuewer et al. 2010) - gas fired steam plant</t>
  </si>
  <si>
    <t xml:space="preserve">Steck &amp; Mauch 2007</t>
  </si>
  <si>
    <t xml:space="preserve">Steck &amp; Mauch 2008</t>
  </si>
  <si>
    <t xml:space="preserve">Steck &amp; Mauch 2009</t>
  </si>
  <si>
    <t xml:space="preserve">VGB PowerTech 2011b*</t>
  </si>
  <si>
    <t xml:space="preserve">Study of Parliament Group 1992-2001</t>
  </si>
  <si>
    <t xml:space="preserve">Industrial Efficiency Technology Database 2010</t>
  </si>
  <si>
    <t xml:space="preserve">ECF 2010</t>
  </si>
  <si>
    <t xml:space="preserve">DIW 2013 (ECF 2010)</t>
  </si>
  <si>
    <t xml:space="preserve">US EPA, 2014/15 Catalog of CHP Technologies</t>
  </si>
  <si>
    <t xml:space="preserve">US EPA 2014/15</t>
  </si>
  <si>
    <t xml:space="preserve">https://powergen.gepower.com/products/reciprocating-engines.html</t>
  </si>
  <si>
    <t xml:space="preserve">US EPA 2015</t>
  </si>
  <si>
    <t xml:space="preserve">Bureau of Energy Efficiency </t>
  </si>
  <si>
    <t xml:space="preserve">Bertsch 2016, Siemens 2010</t>
  </si>
  <si>
    <t xml:space="preserve">Siemens 2010</t>
  </si>
  <si>
    <t xml:space="preserve">ECOFYS 2014</t>
  </si>
  <si>
    <t xml:space="preserve">DIW 2013 (Ehlers 2011)</t>
  </si>
  <si>
    <t xml:space="preserve">DIW 2013 (Schuewer et al. 2010) </t>
  </si>
  <si>
    <t xml:space="preserve">DIW 2013 (Severance 2009)</t>
  </si>
  <si>
    <t xml:space="preserve">DIW 2013 (Risto &amp; Kivisto 2008)</t>
  </si>
  <si>
    <t xml:space="preserve">DIW 2-13 (dena 2005)</t>
  </si>
  <si>
    <t xml:space="preserve">Black &amp; Veatch 2012</t>
  </si>
  <si>
    <t xml:space="preserve">Grimm 2007</t>
  </si>
  <si>
    <t xml:space="preserve">Bertsch , 2016, EURELETRIC 2003</t>
  </si>
  <si>
    <t xml:space="preserve">DIW 2013 (PIK 2011)</t>
  </si>
  <si>
    <t xml:space="preserve">DIW 2013 (Peter &amp; Lehmann 2008)</t>
  </si>
  <si>
    <t xml:space="preserve">DIW 2013 (DLR &amp; SRU 2010)</t>
  </si>
  <si>
    <t xml:space="preserve">DIW 2013 (Nagi 2012)</t>
  </si>
  <si>
    <t xml:space="preserve">Yingjan et al., 2014</t>
  </si>
  <si>
    <t xml:space="preserve">IRENA 2014-15</t>
  </si>
  <si>
    <t xml:space="preserve">DIW 2013 (VGB PowerTech 2011)</t>
  </si>
  <si>
    <t xml:space="preserve">DIW 2013 (Wissel 2008)</t>
  </si>
  <si>
    <t xml:space="preserve">IEA 2016 (Hydro, large)</t>
  </si>
  <si>
    <t xml:space="preserve">IRENA 2015 (Large hydro &gt;10MWe)</t>
  </si>
  <si>
    <t xml:space="preserve">IRENA 2015 (Small hydro 1-10MWe)</t>
  </si>
  <si>
    <t xml:space="preserve">IEA 2016 (Hydro, small)</t>
  </si>
  <si>
    <t xml:space="preserve">IRENA 2015 (Very small hydro, up to 1 MWe)</t>
  </si>
  <si>
    <t xml:space="preserve">DIW 2013 (IEA 2011)</t>
  </si>
  <si>
    <t xml:space="preserve">IEA 2014</t>
  </si>
  <si>
    <t xml:space="preserve">DIW 2013 (EWI 2012)</t>
  </si>
  <si>
    <t xml:space="preserve">EIA  2013</t>
  </si>
  <si>
    <t xml:space="preserve">Pelc, Fujita, 2002, Renewable energy from the ocean</t>
  </si>
  <si>
    <t xml:space="preserve">DIW 2013 (Black &amp; Veatch 2012)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</si>
</sst>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00"/>
    <numFmt numFmtId="167" formatCode="General"/>
    <numFmt numFmtId="168" formatCode="0.00"/>
  </numFmts>
  <fonts count="10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2"/>
      <color rgb="FFFFFF00"/>
      <name val="Calibri"/>
      <family val="2"/>
      <charset val="1"/>
    </font>
    <font>
      <sz val="13"/>
      <color rgb="FF000000"/>
      <name val="Calibri"/>
      <family val="2"/>
      <charset val="1"/>
    </font>
    <font>
      <sz val="11"/>
      <color rgb="FF000000"/>
      <name val="Symbol"/>
      <family val="1"/>
      <charset val="2"/>
    </font>
    <font>
      <b val="true"/>
      <sz val="13"/>
      <color rgb="FF44546A"/>
      <name val="Calibri"/>
      <family val="2"/>
      <charset val="1"/>
    </font>
    <font>
      <sz val="11"/>
      <name val="Calibri"/>
      <family val="2"/>
      <charset val="1"/>
    </font>
    <font>
      <sz val="20"/>
      <color rgb="FF000000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546A"/>
      </patternFill>
    </fill>
    <fill>
      <patternFill patternType="solid">
        <fgColor rgb="FFFBE5D6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E2F0D9"/>
      </patternFill>
    </fill>
    <fill>
      <patternFill patternType="solid">
        <fgColor rgb="FFA9D18E"/>
        <bgColor rgb="FFADCDEA"/>
      </patternFill>
    </fill>
    <fill>
      <patternFill patternType="solid">
        <fgColor rgb="FFFFFFFF"/>
        <bgColor rgb="FFE2F0D9"/>
      </patternFill>
    </fill>
    <fill>
      <patternFill patternType="solid">
        <fgColor rgb="FFFFC000"/>
        <bgColor rgb="FFFF9900"/>
      </patternFill>
    </fill>
  </fills>
  <borders count="57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ADCDEA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 style="medium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thin"/>
      <bottom style="thick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false">
      <alignment horizontal="general" vertical="bottom" textRotation="0" wrapText="false" indent="0" shrinkToFit="false"/>
    </xf>
  </cellStyleXfs>
  <cellXfs count="2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1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1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1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4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7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5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6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9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8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2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0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1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22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2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4" borderId="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3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3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34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2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2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3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2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4" borderId="2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3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2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2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17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26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1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1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1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1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2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2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2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6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2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2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2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4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4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1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4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6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2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2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23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2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4" borderId="2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2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7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7" borderId="2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7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17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3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4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47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1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3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8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4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3" borderId="4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48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5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4" borderId="4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9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23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2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2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3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3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2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6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4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6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5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4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2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3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2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2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3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3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4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4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5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2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23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4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5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9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4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5" borderId="5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2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3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2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5" borderId="3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3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30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5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2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1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4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2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4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2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2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42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ny 3" xfId="20"/>
    <cellStyle name="Excel Built-in Heading 2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BE5D6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ADCDEA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4472C4"/>
    <pageSetUpPr fitToPage="false"/>
  </sheetPr>
  <dimension ref="A2:BN170"/>
  <sheetViews>
    <sheetView showFormulas="false" showGridLines="true" showRowColHeaders="true" showZeros="true" rightToLeft="false" tabSelected="false" showOutlineSymbols="true" defaultGridColor="true" view="normal" topLeftCell="B1" colorId="64" zoomScale="65" zoomScaleNormal="65" zoomScalePageLayoutView="100" workbookViewId="0">
      <pane xSplit="5" ySplit="4" topLeftCell="G133" activePane="bottomRight" state="frozen"/>
      <selection pane="topLeft" activeCell="B1" activeCellId="0" sqref="B1"/>
      <selection pane="topRight" activeCell="G1" activeCellId="0" sqref="G1"/>
      <selection pane="bottomLeft" activeCell="B133" activeCellId="0" sqref="B133"/>
      <selection pane="bottomRight" activeCell="B161" activeCellId="0" sqref="B161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15.71"/>
    <col collapsed="false" customWidth="true" hidden="false" outlineLevel="0" max="3" min="3" style="0" width="44"/>
    <col collapsed="false" customWidth="true" hidden="false" outlineLevel="0" max="4" min="4" style="0" width="10"/>
    <col collapsed="false" customWidth="true" hidden="false" outlineLevel="0" max="5" min="5" style="0" width="24.72"/>
    <col collapsed="false" customWidth="true" hidden="false" outlineLevel="0" max="6" min="6" style="0" width="14.57"/>
    <col collapsed="false" customWidth="true" hidden="false" outlineLevel="0" max="24" min="7" style="0" width="12"/>
    <col collapsed="false" customWidth="true" hidden="false" outlineLevel="0" max="30" min="25" style="0" width="13.71"/>
    <col collapsed="false" customWidth="true" hidden="false" outlineLevel="0" max="66" min="31" style="0" width="12"/>
  </cols>
  <sheetData>
    <row r="2" s="1" customFormat="true" ht="43.5" hidden="false" customHeight="true" outlineLevel="0" collapsed="false">
      <c r="B2" s="2" t="s">
        <v>0</v>
      </c>
      <c r="C2" s="2"/>
      <c r="D2" s="2"/>
      <c r="E2" s="2"/>
      <c r="F2" s="3"/>
      <c r="G2" s="4" t="s">
        <v>1</v>
      </c>
      <c r="H2" s="4"/>
      <c r="I2" s="4"/>
      <c r="J2" s="5" t="s">
        <v>2</v>
      </c>
      <c r="K2" s="5"/>
      <c r="L2" s="5"/>
      <c r="M2" s="6" t="s">
        <v>3</v>
      </c>
      <c r="N2" s="6"/>
      <c r="O2" s="6"/>
      <c r="P2" s="7" t="s">
        <v>4</v>
      </c>
      <c r="Q2" s="7"/>
      <c r="R2" s="7"/>
      <c r="S2" s="5" t="s">
        <v>5</v>
      </c>
      <c r="T2" s="5"/>
      <c r="U2" s="5"/>
      <c r="V2" s="8" t="s">
        <v>6</v>
      </c>
      <c r="W2" s="8"/>
      <c r="X2" s="8"/>
      <c r="Y2" s="5" t="s">
        <v>7</v>
      </c>
      <c r="Z2" s="5"/>
      <c r="AA2" s="5"/>
      <c r="AB2" s="8" t="s">
        <v>8</v>
      </c>
      <c r="AC2" s="8"/>
      <c r="AD2" s="8"/>
      <c r="AE2" s="9" t="s">
        <v>9</v>
      </c>
      <c r="AF2" s="9"/>
      <c r="AG2" s="9"/>
      <c r="AH2" s="9" t="s">
        <v>10</v>
      </c>
      <c r="AI2" s="9"/>
      <c r="AJ2" s="9"/>
      <c r="AK2" s="10" t="s">
        <v>11</v>
      </c>
      <c r="AL2" s="10"/>
      <c r="AM2" s="10"/>
      <c r="AN2" s="11" t="s">
        <v>12</v>
      </c>
      <c r="AO2" s="11"/>
      <c r="AP2" s="11"/>
      <c r="AQ2" s="10" t="s">
        <v>13</v>
      </c>
      <c r="AR2" s="10"/>
      <c r="AS2" s="10"/>
      <c r="AT2" s="11" t="s">
        <v>14</v>
      </c>
      <c r="AU2" s="11"/>
      <c r="AV2" s="11"/>
      <c r="AW2" s="10" t="s">
        <v>15</v>
      </c>
      <c r="AX2" s="10"/>
      <c r="AY2" s="10"/>
      <c r="AZ2" s="11" t="s">
        <v>16</v>
      </c>
      <c r="BA2" s="11"/>
      <c r="BB2" s="11"/>
      <c r="BC2" s="10" t="s">
        <v>17</v>
      </c>
      <c r="BD2" s="10"/>
      <c r="BE2" s="10"/>
      <c r="BF2" s="11" t="s">
        <v>18</v>
      </c>
      <c r="BG2" s="11"/>
      <c r="BH2" s="11"/>
      <c r="BI2" s="10" t="s">
        <v>19</v>
      </c>
      <c r="BJ2" s="10"/>
      <c r="BK2" s="10"/>
      <c r="BL2" s="11" t="s">
        <v>20</v>
      </c>
      <c r="BM2" s="11"/>
      <c r="BN2" s="11"/>
    </row>
    <row r="3" s="1" customFormat="true" ht="28.35" hidden="false" customHeight="false" outlineLevel="0" collapsed="false">
      <c r="F3" s="3"/>
      <c r="G3" s="12" t="s">
        <v>21</v>
      </c>
      <c r="H3" s="13" t="s">
        <v>21</v>
      </c>
      <c r="I3" s="14" t="s">
        <v>21</v>
      </c>
      <c r="J3" s="15" t="s">
        <v>21</v>
      </c>
      <c r="K3" s="16" t="s">
        <v>21</v>
      </c>
      <c r="L3" s="17" t="s">
        <v>21</v>
      </c>
      <c r="M3" s="18" t="s">
        <v>21</v>
      </c>
      <c r="N3" s="13" t="s">
        <v>21</v>
      </c>
      <c r="O3" s="19" t="s">
        <v>21</v>
      </c>
      <c r="P3" s="18" t="s">
        <v>21</v>
      </c>
      <c r="Q3" s="13" t="s">
        <v>21</v>
      </c>
      <c r="R3" s="19" t="s">
        <v>21</v>
      </c>
      <c r="S3" s="15" t="s">
        <v>22</v>
      </c>
      <c r="T3" s="16" t="s">
        <v>22</v>
      </c>
      <c r="U3" s="17" t="s">
        <v>22</v>
      </c>
      <c r="V3" s="12" t="s">
        <v>23</v>
      </c>
      <c r="W3" s="13" t="s">
        <v>23</v>
      </c>
      <c r="X3" s="19" t="s">
        <v>23</v>
      </c>
      <c r="Y3" s="15" t="s">
        <v>24</v>
      </c>
      <c r="Z3" s="16" t="s">
        <v>25</v>
      </c>
      <c r="AA3" s="17" t="s">
        <v>25</v>
      </c>
      <c r="AB3" s="12" t="s">
        <v>25</v>
      </c>
      <c r="AC3" s="13" t="s">
        <v>25</v>
      </c>
      <c r="AD3" s="19" t="s">
        <v>25</v>
      </c>
      <c r="AE3" s="15" t="s">
        <v>26</v>
      </c>
      <c r="AF3" s="16" t="s">
        <v>26</v>
      </c>
      <c r="AG3" s="17" t="s">
        <v>26</v>
      </c>
      <c r="AH3" s="15" t="s">
        <v>26</v>
      </c>
      <c r="AI3" s="16" t="s">
        <v>26</v>
      </c>
      <c r="AJ3" s="17" t="s">
        <v>26</v>
      </c>
      <c r="AK3" s="12" t="s">
        <v>27</v>
      </c>
      <c r="AL3" s="13" t="s">
        <v>27</v>
      </c>
      <c r="AM3" s="19" t="s">
        <v>27</v>
      </c>
      <c r="AN3" s="15" t="s">
        <v>28</v>
      </c>
      <c r="AO3" s="15" t="s">
        <v>28</v>
      </c>
      <c r="AP3" s="15" t="s">
        <v>28</v>
      </c>
      <c r="AQ3" s="12" t="s">
        <v>29</v>
      </c>
      <c r="AR3" s="13" t="s">
        <v>29</v>
      </c>
      <c r="AS3" s="19" t="s">
        <v>29</v>
      </c>
      <c r="AT3" s="15" t="s">
        <v>30</v>
      </c>
      <c r="AU3" s="16" t="s">
        <v>30</v>
      </c>
      <c r="AV3" s="17" t="s">
        <v>30</v>
      </c>
      <c r="AW3" s="12" t="s">
        <v>30</v>
      </c>
      <c r="AX3" s="13" t="s">
        <v>30</v>
      </c>
      <c r="AY3" s="19" t="s">
        <v>30</v>
      </c>
      <c r="AZ3" s="15" t="s">
        <v>30</v>
      </c>
      <c r="BA3" s="16" t="s">
        <v>30</v>
      </c>
      <c r="BB3" s="17" t="s">
        <v>30</v>
      </c>
      <c r="BC3" s="12" t="s">
        <v>30</v>
      </c>
      <c r="BD3" s="13" t="s">
        <v>30</v>
      </c>
      <c r="BE3" s="19" t="s">
        <v>30</v>
      </c>
      <c r="BF3" s="20" t="s">
        <v>31</v>
      </c>
      <c r="BG3" s="21" t="s">
        <v>31</v>
      </c>
      <c r="BH3" s="22" t="s">
        <v>31</v>
      </c>
      <c r="BI3" s="23" t="s">
        <v>26</v>
      </c>
      <c r="BJ3" s="24" t="s">
        <v>26</v>
      </c>
      <c r="BK3" s="25" t="s">
        <v>26</v>
      </c>
      <c r="BL3" s="20" t="s">
        <v>26</v>
      </c>
      <c r="BM3" s="21" t="s">
        <v>26</v>
      </c>
      <c r="BN3" s="22" t="s">
        <v>26</v>
      </c>
    </row>
    <row r="4" customFormat="false" ht="37.5" hidden="false" customHeight="true" outlineLevel="0" collapsed="false">
      <c r="B4" s="26" t="s">
        <v>32</v>
      </c>
      <c r="C4" s="27" t="s">
        <v>33</v>
      </c>
      <c r="D4" s="28" t="s">
        <v>34</v>
      </c>
      <c r="E4" s="28" t="s">
        <v>35</v>
      </c>
      <c r="F4" s="28" t="s">
        <v>36</v>
      </c>
      <c r="G4" s="29" t="s">
        <v>37</v>
      </c>
      <c r="H4" s="30" t="s">
        <v>38</v>
      </c>
      <c r="I4" s="31" t="s">
        <v>39</v>
      </c>
      <c r="J4" s="32" t="s">
        <v>37</v>
      </c>
      <c r="K4" s="33" t="s">
        <v>38</v>
      </c>
      <c r="L4" s="34" t="s">
        <v>39</v>
      </c>
      <c r="M4" s="35" t="s">
        <v>37</v>
      </c>
      <c r="N4" s="30" t="s">
        <v>38</v>
      </c>
      <c r="O4" s="36" t="s">
        <v>39</v>
      </c>
      <c r="P4" s="35" t="s">
        <v>37</v>
      </c>
      <c r="Q4" s="30" t="s">
        <v>38</v>
      </c>
      <c r="R4" s="36" t="s">
        <v>39</v>
      </c>
      <c r="S4" s="37" t="s">
        <v>37</v>
      </c>
      <c r="T4" s="38" t="s">
        <v>38</v>
      </c>
      <c r="U4" s="39" t="s">
        <v>39</v>
      </c>
      <c r="V4" s="29" t="s">
        <v>37</v>
      </c>
      <c r="W4" s="30" t="s">
        <v>38</v>
      </c>
      <c r="X4" s="36" t="s">
        <v>39</v>
      </c>
      <c r="Y4" s="32" t="s">
        <v>37</v>
      </c>
      <c r="Z4" s="33" t="s">
        <v>38</v>
      </c>
      <c r="AA4" s="34" t="s">
        <v>39</v>
      </c>
      <c r="AB4" s="29" t="s">
        <v>37</v>
      </c>
      <c r="AC4" s="30" t="s">
        <v>38</v>
      </c>
      <c r="AD4" s="36" t="s">
        <v>39</v>
      </c>
      <c r="AE4" s="32" t="s">
        <v>37</v>
      </c>
      <c r="AF4" s="33" t="s">
        <v>38</v>
      </c>
      <c r="AG4" s="34" t="s">
        <v>39</v>
      </c>
      <c r="AH4" s="32" t="s">
        <v>37</v>
      </c>
      <c r="AI4" s="33" t="s">
        <v>38</v>
      </c>
      <c r="AJ4" s="34" t="s">
        <v>39</v>
      </c>
      <c r="AK4" s="29" t="s">
        <v>37</v>
      </c>
      <c r="AL4" s="30" t="s">
        <v>38</v>
      </c>
      <c r="AM4" s="36" t="s">
        <v>39</v>
      </c>
      <c r="AN4" s="32" t="s">
        <v>37</v>
      </c>
      <c r="AO4" s="33" t="s">
        <v>38</v>
      </c>
      <c r="AP4" s="34" t="s">
        <v>39</v>
      </c>
      <c r="AQ4" s="40" t="s">
        <v>37</v>
      </c>
      <c r="AR4" s="41" t="s">
        <v>38</v>
      </c>
      <c r="AS4" s="42" t="s">
        <v>39</v>
      </c>
      <c r="AT4" s="32" t="s">
        <v>37</v>
      </c>
      <c r="AU4" s="33" t="s">
        <v>38</v>
      </c>
      <c r="AV4" s="34" t="s">
        <v>39</v>
      </c>
      <c r="AW4" s="29" t="s">
        <v>37</v>
      </c>
      <c r="AX4" s="30" t="s">
        <v>38</v>
      </c>
      <c r="AY4" s="36" t="s">
        <v>39</v>
      </c>
      <c r="AZ4" s="32" t="s">
        <v>37</v>
      </c>
      <c r="BA4" s="33" t="s">
        <v>38</v>
      </c>
      <c r="BB4" s="34" t="s">
        <v>39</v>
      </c>
      <c r="BC4" s="29" t="s">
        <v>37</v>
      </c>
      <c r="BD4" s="30" t="s">
        <v>38</v>
      </c>
      <c r="BE4" s="36" t="s">
        <v>39</v>
      </c>
      <c r="BF4" s="32" t="s">
        <v>37</v>
      </c>
      <c r="BG4" s="33" t="s">
        <v>38</v>
      </c>
      <c r="BH4" s="34" t="s">
        <v>39</v>
      </c>
      <c r="BI4" s="29" t="s">
        <v>37</v>
      </c>
      <c r="BJ4" s="30" t="s">
        <v>38</v>
      </c>
      <c r="BK4" s="36" t="s">
        <v>39</v>
      </c>
      <c r="BL4" s="32" t="s">
        <v>37</v>
      </c>
      <c r="BM4" s="33" t="s">
        <v>38</v>
      </c>
      <c r="BN4" s="34" t="s">
        <v>39</v>
      </c>
    </row>
    <row r="5" customFormat="false" ht="15" hidden="false" customHeight="true" outlineLevel="0" collapsed="false">
      <c r="B5" s="43" t="s">
        <v>40</v>
      </c>
      <c r="C5" s="44" t="s">
        <v>41</v>
      </c>
      <c r="D5" s="45" t="s">
        <v>42</v>
      </c>
      <c r="E5" s="46" t="s">
        <v>43</v>
      </c>
      <c r="F5" s="47"/>
      <c r="G5" s="48" t="n">
        <v>38.569821615199</v>
      </c>
      <c r="H5" s="49" t="n">
        <f aca="false">AVERAGE(G5,I5)</f>
        <v>39.7206846203141</v>
      </c>
      <c r="I5" s="50" t="n">
        <v>40.8715476254292</v>
      </c>
      <c r="J5" s="51" t="s">
        <v>44</v>
      </c>
      <c r="K5" s="52"/>
      <c r="L5" s="53" t="s">
        <v>44</v>
      </c>
      <c r="M5" s="54" t="s">
        <v>44</v>
      </c>
      <c r="N5" s="55"/>
      <c r="O5" s="56" t="s">
        <v>44</v>
      </c>
      <c r="P5" s="54" t="s">
        <v>44</v>
      </c>
      <c r="Q5" s="55"/>
      <c r="R5" s="55" t="s">
        <v>44</v>
      </c>
      <c r="S5" s="57" t="n">
        <v>83.8</v>
      </c>
      <c r="T5" s="58" t="n">
        <f aca="false">AVERAGEA(U5, S5)</f>
        <v>84.4</v>
      </c>
      <c r="U5" s="59" t="n">
        <v>85</v>
      </c>
      <c r="V5" s="60" t="n">
        <v>50</v>
      </c>
      <c r="W5" s="61" t="n">
        <f aca="false">AVERAGEA(X5, V5)</f>
        <v>35</v>
      </c>
      <c r="X5" s="62" t="n">
        <v>20</v>
      </c>
      <c r="Y5" s="63" t="n">
        <v>0.58</v>
      </c>
      <c r="Z5" s="64" t="n">
        <f aca="false">AVERAGEA(AA5, Y5)</f>
        <v>4.29</v>
      </c>
      <c r="AA5" s="65" t="n">
        <v>8</v>
      </c>
      <c r="AB5" s="66" t="n">
        <v>0.58</v>
      </c>
      <c r="AC5" s="61" t="n">
        <f aca="false">AVERAGEA(AD5, AB5)</f>
        <v>4.29</v>
      </c>
      <c r="AD5" s="62" t="n">
        <v>8</v>
      </c>
      <c r="AE5" s="63" t="n">
        <v>3</v>
      </c>
      <c r="AF5" s="64" t="n">
        <f aca="false">AVERAGEA(AG5, AE5)</f>
        <v>9.5</v>
      </c>
      <c r="AG5" s="65" t="n">
        <v>16</v>
      </c>
      <c r="AH5" s="67" t="n">
        <v>1.5</v>
      </c>
      <c r="AI5" s="68" t="n">
        <f aca="false">AVERAGEA(AJ5, AH5)</f>
        <v>2.25</v>
      </c>
      <c r="AJ5" s="65" t="n">
        <v>3</v>
      </c>
      <c r="AK5" s="60" t="n">
        <v>715</v>
      </c>
      <c r="AL5" s="61" t="n">
        <f aca="false">AVERAGEA(AM5, AK5)</f>
        <v>1107.5</v>
      </c>
      <c r="AM5" s="62" t="n">
        <v>1500</v>
      </c>
      <c r="AN5" s="63" t="n">
        <v>19.9</v>
      </c>
      <c r="AO5" s="64" t="n">
        <f aca="false">AVERAGEA(AP5, AN5)</f>
        <v>24.95</v>
      </c>
      <c r="AP5" s="65" t="n">
        <v>30</v>
      </c>
      <c r="AQ5" s="60" t="n">
        <v>2</v>
      </c>
      <c r="AR5" s="61" t="n">
        <f aca="false">AVERAGEA(AS5, AQ5)</f>
        <v>5.75</v>
      </c>
      <c r="AS5" s="62" t="n">
        <v>9.5</v>
      </c>
      <c r="AT5" s="63" t="n">
        <v>8.4</v>
      </c>
      <c r="AU5" s="69" t="n">
        <f aca="false">AVERAGE(AT5,AV5)</f>
        <v>39.45</v>
      </c>
      <c r="AV5" s="65" t="n">
        <v>70.5</v>
      </c>
      <c r="AW5" s="66" t="n">
        <v>46</v>
      </c>
      <c r="AX5" s="61" t="n">
        <f aca="false">AVERAGE(AW5,AY5)</f>
        <v>81.5</v>
      </c>
      <c r="AY5" s="62" t="n">
        <v>117</v>
      </c>
      <c r="AZ5" s="63" t="n">
        <v>67</v>
      </c>
      <c r="BA5" s="64" t="n">
        <f aca="false">AVERAGE(AZ5,BB5)</f>
        <v>88.5</v>
      </c>
      <c r="BB5" s="65" t="n">
        <v>110</v>
      </c>
      <c r="BC5" s="60" t="n">
        <v>1.5</v>
      </c>
      <c r="BD5" s="61" t="n">
        <f aca="false">AVERAGEA(BE5, BC5)</f>
        <v>1.65</v>
      </c>
      <c r="BE5" s="62" t="n">
        <v>1.8</v>
      </c>
      <c r="BF5" s="63" t="n">
        <v>60</v>
      </c>
      <c r="BG5" s="64" t="n">
        <f aca="false">AVERAGEA(BF5,BH5)</f>
        <v>120</v>
      </c>
      <c r="BH5" s="65" t="n">
        <v>180</v>
      </c>
      <c r="BI5" s="66" t="n">
        <v>1.4</v>
      </c>
      <c r="BJ5" s="70" t="n">
        <f aca="false">AVERAGEA(BI5,BK5)</f>
        <v>3.7</v>
      </c>
      <c r="BK5" s="62" t="n">
        <v>6</v>
      </c>
      <c r="BL5" s="63" t="n">
        <v>1.3</v>
      </c>
      <c r="BM5" s="69" t="n">
        <f aca="false">AVERAGEA(BL5,BN5)</f>
        <v>5.65</v>
      </c>
      <c r="BN5" s="65" t="n">
        <v>10</v>
      </c>
    </row>
    <row r="6" customFormat="false" ht="15" hidden="false" customHeight="true" outlineLevel="0" collapsed="false">
      <c r="B6" s="43"/>
      <c r="C6" s="44"/>
      <c r="D6" s="45"/>
      <c r="E6" s="46" t="s">
        <v>45</v>
      </c>
      <c r="F6" s="71"/>
      <c r="G6" s="72" t="n">
        <v>35.7858580162282</v>
      </c>
      <c r="H6" s="73" t="n">
        <f aca="false">AVERAGE(G6,I6)</f>
        <v>37.1742874015756</v>
      </c>
      <c r="I6" s="74" t="n">
        <v>38.562716786923</v>
      </c>
      <c r="J6" s="51" t="s">
        <v>44</v>
      </c>
      <c r="K6" s="52"/>
      <c r="L6" s="53" t="s">
        <v>44</v>
      </c>
      <c r="M6" s="54" t="s">
        <v>44</v>
      </c>
      <c r="N6" s="55"/>
      <c r="O6" s="56" t="s">
        <v>44</v>
      </c>
      <c r="P6" s="54" t="s">
        <v>44</v>
      </c>
      <c r="Q6" s="55"/>
      <c r="R6" s="55" t="s">
        <v>44</v>
      </c>
      <c r="S6" s="51" t="n">
        <v>83.8</v>
      </c>
      <c r="T6" s="52" t="n">
        <f aca="false">AVERAGEA(U6, S6)</f>
        <v>84.4</v>
      </c>
      <c r="U6" s="53" t="n">
        <v>85</v>
      </c>
      <c r="V6" s="75" t="n">
        <v>50</v>
      </c>
      <c r="W6" s="76" t="n">
        <f aca="false">AVERAGEA(X6, V6)</f>
        <v>35</v>
      </c>
      <c r="X6" s="77" t="n">
        <v>20</v>
      </c>
      <c r="Y6" s="57" t="n">
        <v>0.58</v>
      </c>
      <c r="Z6" s="58" t="n">
        <f aca="false">AVERAGEA(AA6, Y6)</f>
        <v>4.29</v>
      </c>
      <c r="AA6" s="59" t="n">
        <v>8</v>
      </c>
      <c r="AB6" s="75" t="n">
        <v>0.58</v>
      </c>
      <c r="AC6" s="76" t="n">
        <f aca="false">AVERAGEA(AD6, AB6)</f>
        <v>4.29</v>
      </c>
      <c r="AD6" s="77" t="n">
        <v>8</v>
      </c>
      <c r="AE6" s="57" t="n">
        <v>3</v>
      </c>
      <c r="AF6" s="52" t="n">
        <f aca="false">AVERAGEA(AG6, AE6)</f>
        <v>9.5</v>
      </c>
      <c r="AG6" s="59" t="n">
        <v>16</v>
      </c>
      <c r="AH6" s="78" t="n">
        <v>1.5</v>
      </c>
      <c r="AI6" s="79" t="n">
        <f aca="false">AVERAGEA(AJ6, AH6)</f>
        <v>2.25</v>
      </c>
      <c r="AJ6" s="59" t="n">
        <v>3</v>
      </c>
      <c r="AK6" s="75" t="n">
        <v>715</v>
      </c>
      <c r="AL6" s="76" t="n">
        <f aca="false">AVERAGEA(AM6, AK6)</f>
        <v>1107.5</v>
      </c>
      <c r="AM6" s="77" t="n">
        <v>1500</v>
      </c>
      <c r="AN6" s="57" t="n">
        <v>19.9</v>
      </c>
      <c r="AO6" s="58" t="n">
        <f aca="false">AVERAGEA(AP6, AN6)</f>
        <v>24.95</v>
      </c>
      <c r="AP6" s="59" t="n">
        <v>30</v>
      </c>
      <c r="AQ6" s="80" t="n">
        <v>2</v>
      </c>
      <c r="AR6" s="55" t="n">
        <f aca="false">AVERAGEA(AS6, AQ6)</f>
        <v>5.75</v>
      </c>
      <c r="AS6" s="56" t="n">
        <v>9.5</v>
      </c>
      <c r="AT6" s="51" t="n">
        <v>8.4</v>
      </c>
      <c r="AU6" s="52" t="n">
        <f aca="false">AVERAGE(AT6,AV6)</f>
        <v>39.45</v>
      </c>
      <c r="AV6" s="53" t="n">
        <v>70.5</v>
      </c>
      <c r="AW6" s="81" t="n">
        <v>46</v>
      </c>
      <c r="AX6" s="55" t="n">
        <f aca="false">AVERAGE(AW6,AY6)</f>
        <v>81.5</v>
      </c>
      <c r="AY6" s="56" t="n">
        <v>117</v>
      </c>
      <c r="AZ6" s="51" t="n">
        <v>67</v>
      </c>
      <c r="BA6" s="52" t="n">
        <f aca="false">AVERAGE(AZ6,BB6)</f>
        <v>88.5</v>
      </c>
      <c r="BB6" s="53" t="n">
        <v>110</v>
      </c>
      <c r="BC6" s="80" t="n">
        <v>1.5</v>
      </c>
      <c r="BD6" s="55" t="n">
        <f aca="false">AVERAGEA(BE6, BC6)</f>
        <v>1.65</v>
      </c>
      <c r="BE6" s="56" t="n">
        <v>1.8</v>
      </c>
      <c r="BF6" s="51" t="n">
        <v>60</v>
      </c>
      <c r="BG6" s="52" t="n">
        <f aca="false">AVERAGEA(BF6,BH6)</f>
        <v>120</v>
      </c>
      <c r="BH6" s="53" t="n">
        <v>180</v>
      </c>
      <c r="BI6" s="81" t="n">
        <v>1.4</v>
      </c>
      <c r="BJ6" s="55" t="n">
        <f aca="false">AVERAGEA(BI6,BK6)</f>
        <v>3.7</v>
      </c>
      <c r="BK6" s="56" t="n">
        <v>6</v>
      </c>
      <c r="BL6" s="51" t="n">
        <v>1.3</v>
      </c>
      <c r="BM6" s="52" t="n">
        <f aca="false">AVERAGEA(BL6,BN6)</f>
        <v>5.65</v>
      </c>
      <c r="BN6" s="53" t="n">
        <v>10</v>
      </c>
    </row>
    <row r="7" customFormat="false" ht="15" hidden="false" customHeight="true" outlineLevel="0" collapsed="false">
      <c r="B7" s="43"/>
      <c r="C7" s="44"/>
      <c r="D7" s="45"/>
      <c r="E7" s="46" t="s">
        <v>46</v>
      </c>
      <c r="F7" s="71"/>
      <c r="G7" s="72" t="n">
        <v>27.2828391918737</v>
      </c>
      <c r="H7" s="73" t="n">
        <f aca="false">AVERAGE(G7,I7)</f>
        <v>31.5248556676053</v>
      </c>
      <c r="I7" s="74" t="n">
        <v>35.7668721433369</v>
      </c>
      <c r="J7" s="51" t="s">
        <v>44</v>
      </c>
      <c r="K7" s="52"/>
      <c r="L7" s="53" t="s">
        <v>44</v>
      </c>
      <c r="M7" s="54" t="s">
        <v>44</v>
      </c>
      <c r="N7" s="55"/>
      <c r="O7" s="56" t="s">
        <v>44</v>
      </c>
      <c r="P7" s="54" t="s">
        <v>44</v>
      </c>
      <c r="Q7" s="55"/>
      <c r="R7" s="55" t="s">
        <v>44</v>
      </c>
      <c r="S7" s="51" t="n">
        <v>83.8</v>
      </c>
      <c r="T7" s="52" t="n">
        <f aca="false">AVERAGEA(U7, S7)</f>
        <v>84.4</v>
      </c>
      <c r="U7" s="53" t="n">
        <v>85</v>
      </c>
      <c r="V7" s="75" t="n">
        <v>50</v>
      </c>
      <c r="W7" s="76" t="n">
        <f aca="false">AVERAGEA(X7, V7)</f>
        <v>35</v>
      </c>
      <c r="X7" s="77" t="n">
        <v>20</v>
      </c>
      <c r="Y7" s="57" t="n">
        <v>0.58</v>
      </c>
      <c r="Z7" s="58" t="n">
        <f aca="false">AVERAGEA(AA7, Y7)</f>
        <v>4.29</v>
      </c>
      <c r="AA7" s="59" t="n">
        <v>8</v>
      </c>
      <c r="AB7" s="75" t="n">
        <v>0.58</v>
      </c>
      <c r="AC7" s="76" t="n">
        <f aca="false">AVERAGEA(AD7, AB7)</f>
        <v>4.29</v>
      </c>
      <c r="AD7" s="77" t="n">
        <v>8</v>
      </c>
      <c r="AE7" s="57" t="n">
        <v>3</v>
      </c>
      <c r="AF7" s="52" t="n">
        <f aca="false">AVERAGEA(AG7, AE7)</f>
        <v>9.5</v>
      </c>
      <c r="AG7" s="59" t="n">
        <v>16</v>
      </c>
      <c r="AH7" s="78" t="n">
        <v>1.5</v>
      </c>
      <c r="AI7" s="79" t="n">
        <f aca="false">AVERAGEA(AJ7, AH7)</f>
        <v>2.25</v>
      </c>
      <c r="AJ7" s="59" t="n">
        <v>3</v>
      </c>
      <c r="AK7" s="75" t="n">
        <v>715</v>
      </c>
      <c r="AL7" s="76" t="n">
        <f aca="false">AVERAGEA(AM7, AK7)</f>
        <v>1107.5</v>
      </c>
      <c r="AM7" s="77" t="n">
        <v>1500</v>
      </c>
      <c r="AN7" s="57" t="n">
        <v>19.9</v>
      </c>
      <c r="AO7" s="58" t="n">
        <f aca="false">AVERAGEA(AP7, AN7)</f>
        <v>24.95</v>
      </c>
      <c r="AP7" s="59" t="n">
        <v>30</v>
      </c>
      <c r="AQ7" s="80" t="n">
        <v>2</v>
      </c>
      <c r="AR7" s="55" t="n">
        <f aca="false">AVERAGEA(AS7, AQ7)</f>
        <v>5.75</v>
      </c>
      <c r="AS7" s="56" t="n">
        <v>9.5</v>
      </c>
      <c r="AT7" s="51" t="n">
        <v>8.4</v>
      </c>
      <c r="AU7" s="52" t="n">
        <f aca="false">AVERAGE(AT7,AV7)</f>
        <v>39.45</v>
      </c>
      <c r="AV7" s="53" t="n">
        <v>70.5</v>
      </c>
      <c r="AW7" s="81" t="n">
        <v>46</v>
      </c>
      <c r="AX7" s="55" t="n">
        <f aca="false">AVERAGE(AW7,AY7)</f>
        <v>81.5</v>
      </c>
      <c r="AY7" s="56" t="n">
        <v>117</v>
      </c>
      <c r="AZ7" s="51" t="n">
        <v>67</v>
      </c>
      <c r="BA7" s="52" t="n">
        <f aca="false">AVERAGE(AZ7,BB7)</f>
        <v>88.5</v>
      </c>
      <c r="BB7" s="53" t="n">
        <v>110</v>
      </c>
      <c r="BC7" s="80" t="n">
        <v>1.5</v>
      </c>
      <c r="BD7" s="55" t="n">
        <f aca="false">AVERAGEA(BE7, BC7)</f>
        <v>1.65</v>
      </c>
      <c r="BE7" s="56" t="n">
        <v>1.8</v>
      </c>
      <c r="BF7" s="51" t="n">
        <v>60</v>
      </c>
      <c r="BG7" s="52" t="n">
        <f aca="false">AVERAGEA(BF7,BH7)</f>
        <v>120</v>
      </c>
      <c r="BH7" s="53" t="n">
        <v>180</v>
      </c>
      <c r="BI7" s="81" t="n">
        <v>1.4</v>
      </c>
      <c r="BJ7" s="55" t="n">
        <f aca="false">AVERAGEA(BI7,BK7)</f>
        <v>3.7</v>
      </c>
      <c r="BK7" s="56" t="n">
        <v>6</v>
      </c>
      <c r="BL7" s="51" t="n">
        <v>1.3</v>
      </c>
      <c r="BM7" s="52" t="n">
        <f aca="false">AVERAGEA(BL7,BN7)</f>
        <v>5.65</v>
      </c>
      <c r="BN7" s="53" t="n">
        <v>10</v>
      </c>
    </row>
    <row r="8" customFormat="false" ht="15" hidden="false" customHeight="true" outlineLevel="0" collapsed="false">
      <c r="B8" s="43"/>
      <c r="C8" s="44"/>
      <c r="D8" s="45"/>
      <c r="E8" s="46" t="s">
        <v>47</v>
      </c>
      <c r="F8" s="71"/>
      <c r="G8" s="72" t="n">
        <v>21.5637839664899</v>
      </c>
      <c r="H8" s="73" t="n">
        <f aca="false">AVERAGE(G8,I8)</f>
        <v>24.404261780311</v>
      </c>
      <c r="I8" s="74" t="n">
        <v>27.2447395941321</v>
      </c>
      <c r="J8" s="51" t="s">
        <v>44</v>
      </c>
      <c r="K8" s="52"/>
      <c r="L8" s="53" t="s">
        <v>44</v>
      </c>
      <c r="M8" s="54" t="s">
        <v>44</v>
      </c>
      <c r="N8" s="55"/>
      <c r="O8" s="56" t="s">
        <v>44</v>
      </c>
      <c r="P8" s="54" t="s">
        <v>44</v>
      </c>
      <c r="Q8" s="55"/>
      <c r="R8" s="55" t="s">
        <v>44</v>
      </c>
      <c r="S8" s="51" t="n">
        <v>83.8</v>
      </c>
      <c r="T8" s="52" t="n">
        <f aca="false">AVERAGEA(U8, S8)</f>
        <v>84.4</v>
      </c>
      <c r="U8" s="53" t="n">
        <v>85</v>
      </c>
      <c r="V8" s="75" t="n">
        <v>50</v>
      </c>
      <c r="W8" s="76" t="n">
        <f aca="false">AVERAGEA(X8, V8)</f>
        <v>35</v>
      </c>
      <c r="X8" s="77" t="n">
        <v>20</v>
      </c>
      <c r="Y8" s="57" t="n">
        <v>0.58</v>
      </c>
      <c r="Z8" s="58" t="n">
        <f aca="false">AVERAGEA(AA8, Y8)</f>
        <v>4.29</v>
      </c>
      <c r="AA8" s="59" t="n">
        <v>8</v>
      </c>
      <c r="AB8" s="75" t="n">
        <v>0.58</v>
      </c>
      <c r="AC8" s="76" t="n">
        <f aca="false">AVERAGEA(AD8, AB8)</f>
        <v>4.29</v>
      </c>
      <c r="AD8" s="77" t="n">
        <v>8</v>
      </c>
      <c r="AE8" s="57" t="n">
        <v>3</v>
      </c>
      <c r="AF8" s="52" t="n">
        <f aca="false">AVERAGEA(AG8, AE8)</f>
        <v>9.5</v>
      </c>
      <c r="AG8" s="59" t="n">
        <v>16</v>
      </c>
      <c r="AH8" s="78" t="n">
        <v>1.5</v>
      </c>
      <c r="AI8" s="79" t="n">
        <f aca="false">AVERAGEA(AJ8, AH8)</f>
        <v>2.25</v>
      </c>
      <c r="AJ8" s="59" t="n">
        <v>3</v>
      </c>
      <c r="AK8" s="75" t="n">
        <v>715</v>
      </c>
      <c r="AL8" s="76" t="n">
        <f aca="false">AVERAGEA(AM8, AK8)</f>
        <v>1107.5</v>
      </c>
      <c r="AM8" s="77" t="n">
        <v>1500</v>
      </c>
      <c r="AN8" s="57" t="n">
        <v>19.9</v>
      </c>
      <c r="AO8" s="58" t="n">
        <f aca="false">AVERAGEA(AP8, AN8)</f>
        <v>24.95</v>
      </c>
      <c r="AP8" s="59" t="n">
        <v>30</v>
      </c>
      <c r="AQ8" s="80" t="n">
        <v>2</v>
      </c>
      <c r="AR8" s="55" t="n">
        <f aca="false">AVERAGEA(AS8, AQ8)</f>
        <v>5.75</v>
      </c>
      <c r="AS8" s="56" t="n">
        <v>9.5</v>
      </c>
      <c r="AT8" s="51" t="n">
        <v>8.4</v>
      </c>
      <c r="AU8" s="52" t="n">
        <f aca="false">AVERAGE(AT8,AV8)</f>
        <v>39.45</v>
      </c>
      <c r="AV8" s="53" t="n">
        <v>70.5</v>
      </c>
      <c r="AW8" s="81" t="n">
        <v>46</v>
      </c>
      <c r="AX8" s="55" t="n">
        <f aca="false">AVERAGE(AW8,AY8)</f>
        <v>81.5</v>
      </c>
      <c r="AY8" s="56" t="n">
        <v>117</v>
      </c>
      <c r="AZ8" s="51" t="n">
        <v>67</v>
      </c>
      <c r="BA8" s="52" t="n">
        <f aca="false">AVERAGE(AZ8,BB8)</f>
        <v>88.5</v>
      </c>
      <c r="BB8" s="53" t="n">
        <v>110</v>
      </c>
      <c r="BC8" s="80" t="n">
        <v>1.5</v>
      </c>
      <c r="BD8" s="55" t="n">
        <f aca="false">AVERAGEA(BE8, BC8)</f>
        <v>1.65</v>
      </c>
      <c r="BE8" s="56" t="n">
        <v>1.8</v>
      </c>
      <c r="BF8" s="51" t="n">
        <v>60</v>
      </c>
      <c r="BG8" s="52" t="n">
        <f aca="false">AVERAGEA(BF8,BH8)</f>
        <v>120</v>
      </c>
      <c r="BH8" s="53" t="n">
        <v>180</v>
      </c>
      <c r="BI8" s="81" t="n">
        <v>1.4</v>
      </c>
      <c r="BJ8" s="55" t="n">
        <f aca="false">AVERAGEA(BI8,BK8)</f>
        <v>3.7</v>
      </c>
      <c r="BK8" s="56" t="n">
        <v>6</v>
      </c>
      <c r="BL8" s="51" t="n">
        <v>1.3</v>
      </c>
      <c r="BM8" s="52" t="n">
        <f aca="false">AVERAGEA(BL8,BN8)</f>
        <v>5.65</v>
      </c>
      <c r="BN8" s="53" t="n">
        <v>10</v>
      </c>
    </row>
    <row r="9" customFormat="false" ht="15" hidden="false" customHeight="true" outlineLevel="0" collapsed="false">
      <c r="B9" s="43"/>
      <c r="C9" s="44"/>
      <c r="D9" s="82" t="s">
        <v>48</v>
      </c>
      <c r="E9" s="46" t="s">
        <v>43</v>
      </c>
      <c r="F9" s="83"/>
      <c r="G9" s="84" t="n">
        <v>37.8243623384122</v>
      </c>
      <c r="H9" s="73" t="n">
        <f aca="false">AVERAGE(G9,I9)</f>
        <v>38.95298200748</v>
      </c>
      <c r="I9" s="85" t="n">
        <v>40.0816016765477</v>
      </c>
      <c r="J9" s="51" t="s">
        <v>44</v>
      </c>
      <c r="K9" s="52"/>
      <c r="L9" s="53" t="s">
        <v>44</v>
      </c>
      <c r="M9" s="54" t="s">
        <v>44</v>
      </c>
      <c r="N9" s="55"/>
      <c r="O9" s="56" t="s">
        <v>44</v>
      </c>
      <c r="P9" s="54" t="s">
        <v>44</v>
      </c>
      <c r="Q9" s="55"/>
      <c r="R9" s="55" t="s">
        <v>44</v>
      </c>
      <c r="S9" s="51" t="n">
        <v>83.8</v>
      </c>
      <c r="T9" s="52" t="n">
        <f aca="false">AVERAGEA(U9, S9)</f>
        <v>84.4</v>
      </c>
      <c r="U9" s="53" t="n">
        <v>85</v>
      </c>
      <c r="V9" s="80" t="n">
        <v>50</v>
      </c>
      <c r="W9" s="55" t="n">
        <f aca="false">AVERAGEA(X9, V9)</f>
        <v>35</v>
      </c>
      <c r="X9" s="77" t="n">
        <v>20</v>
      </c>
      <c r="Y9" s="57" t="n">
        <v>0.58</v>
      </c>
      <c r="Z9" s="52" t="n">
        <f aca="false">AVERAGEA(AA9, Y9)</f>
        <v>4.29</v>
      </c>
      <c r="AA9" s="59" t="n">
        <v>8</v>
      </c>
      <c r="AB9" s="80" t="n">
        <v>0.58</v>
      </c>
      <c r="AC9" s="55" t="n">
        <f aca="false">AVERAGEA(AD9, AB9)</f>
        <v>4.29</v>
      </c>
      <c r="AD9" s="56" t="n">
        <v>8</v>
      </c>
      <c r="AE9" s="51" t="n">
        <v>3</v>
      </c>
      <c r="AF9" s="52" t="n">
        <f aca="false">AVERAGEA(AG9, AE9)</f>
        <v>9.5</v>
      </c>
      <c r="AG9" s="53" t="n">
        <v>16</v>
      </c>
      <c r="AH9" s="86" t="n">
        <v>2</v>
      </c>
      <c r="AI9" s="79" t="n">
        <f aca="false">AVERAGEA(AJ9, AH9)</f>
        <v>8.5</v>
      </c>
      <c r="AJ9" s="53" t="n">
        <v>15</v>
      </c>
      <c r="AK9" s="75" t="n">
        <v>715</v>
      </c>
      <c r="AL9" s="55" t="n">
        <f aca="false">AVERAGEA(AM9, AK9)</f>
        <v>1107.5</v>
      </c>
      <c r="AM9" s="77" t="n">
        <v>1500</v>
      </c>
      <c r="AN9" s="57" t="n">
        <v>19.9</v>
      </c>
      <c r="AO9" s="52" t="n">
        <f aca="false">AVERAGEA(AP9, AN9)</f>
        <v>24.95</v>
      </c>
      <c r="AP9" s="59" t="n">
        <v>30</v>
      </c>
      <c r="AQ9" s="80" t="n">
        <v>2</v>
      </c>
      <c r="AR9" s="55" t="n">
        <f aca="false">AVERAGEA(AS9, AQ9)</f>
        <v>5.75</v>
      </c>
      <c r="AS9" s="56" t="n">
        <v>9.5</v>
      </c>
      <c r="AT9" s="51" t="n">
        <v>8.4</v>
      </c>
      <c r="AU9" s="52" t="n">
        <f aca="false">AVERAGE(AT9,AV9)</f>
        <v>39.45</v>
      </c>
      <c r="AV9" s="53" t="n">
        <v>70.5</v>
      </c>
      <c r="AW9" s="81" t="n">
        <v>46</v>
      </c>
      <c r="AX9" s="55" t="n">
        <f aca="false">AVERAGE(AW9,AY9)</f>
        <v>81.5</v>
      </c>
      <c r="AY9" s="56" t="n">
        <v>117</v>
      </c>
      <c r="AZ9" s="51" t="n">
        <v>67</v>
      </c>
      <c r="BA9" s="52" t="n">
        <f aca="false">AVERAGE(AZ9,BB9)</f>
        <v>88.5</v>
      </c>
      <c r="BB9" s="53" t="n">
        <v>110</v>
      </c>
      <c r="BC9" s="80" t="n">
        <v>1.5</v>
      </c>
      <c r="BD9" s="55" t="n">
        <f aca="false">AVERAGEA(BE9, BC9)</f>
        <v>1.65</v>
      </c>
      <c r="BE9" s="56" t="n">
        <v>1.8</v>
      </c>
      <c r="BF9" s="51" t="n">
        <v>60</v>
      </c>
      <c r="BG9" s="52" t="n">
        <f aca="false">AVERAGEA(BF9,BH9)</f>
        <v>120</v>
      </c>
      <c r="BH9" s="53" t="n">
        <v>180</v>
      </c>
      <c r="BI9" s="81" t="n">
        <v>1.4</v>
      </c>
      <c r="BJ9" s="55" t="n">
        <f aca="false">AVERAGEA(BI9,BK9)</f>
        <v>3.7</v>
      </c>
      <c r="BK9" s="56" t="n">
        <v>6</v>
      </c>
      <c r="BL9" s="51" t="n">
        <v>1.3</v>
      </c>
      <c r="BM9" s="52" t="n">
        <f aca="false">AVERAGEA(BL9,BN9)</f>
        <v>5.65</v>
      </c>
      <c r="BN9" s="53" t="n">
        <v>10</v>
      </c>
    </row>
    <row r="10" customFormat="false" ht="15" hidden="false" customHeight="true" outlineLevel="0" collapsed="false">
      <c r="B10" s="43"/>
      <c r="C10" s="44"/>
      <c r="D10" s="82"/>
      <c r="E10" s="46" t="s">
        <v>45</v>
      </c>
      <c r="F10" s="83"/>
      <c r="G10" s="84" t="n">
        <v>35.0942058716547</v>
      </c>
      <c r="H10" s="73" t="n">
        <f aca="false">AVERAGE(G10,I10)</f>
        <v>36.4558003502764</v>
      </c>
      <c r="I10" s="85" t="n">
        <v>37.8173948288981</v>
      </c>
      <c r="J10" s="51" t="s">
        <v>44</v>
      </c>
      <c r="K10" s="52"/>
      <c r="L10" s="53" t="s">
        <v>44</v>
      </c>
      <c r="M10" s="54" t="s">
        <v>44</v>
      </c>
      <c r="N10" s="55"/>
      <c r="O10" s="56" t="s">
        <v>44</v>
      </c>
      <c r="P10" s="54" t="s">
        <v>44</v>
      </c>
      <c r="Q10" s="55"/>
      <c r="R10" s="55" t="s">
        <v>44</v>
      </c>
      <c r="S10" s="51" t="n">
        <v>83.8</v>
      </c>
      <c r="T10" s="52" t="n">
        <f aca="false">AVERAGEA(U10, S10)</f>
        <v>84.4</v>
      </c>
      <c r="U10" s="53" t="n">
        <v>85</v>
      </c>
      <c r="V10" s="80" t="n">
        <v>50</v>
      </c>
      <c r="W10" s="55" t="n">
        <f aca="false">AVERAGEA(X10, V10)</f>
        <v>35</v>
      </c>
      <c r="X10" s="77" t="n">
        <v>20</v>
      </c>
      <c r="Y10" s="57" t="n">
        <v>0.58</v>
      </c>
      <c r="Z10" s="52" t="n">
        <f aca="false">AVERAGEA(AA10, Y10)</f>
        <v>4.29</v>
      </c>
      <c r="AA10" s="59" t="n">
        <v>8</v>
      </c>
      <c r="AB10" s="80" t="n">
        <v>0.58</v>
      </c>
      <c r="AC10" s="55" t="n">
        <f aca="false">AVERAGEA(AD10, AB10)</f>
        <v>4.29</v>
      </c>
      <c r="AD10" s="56" t="n">
        <v>8</v>
      </c>
      <c r="AE10" s="51" t="n">
        <v>3</v>
      </c>
      <c r="AF10" s="52" t="n">
        <f aca="false">AVERAGEA(AG10, AE10)</f>
        <v>9.5</v>
      </c>
      <c r="AG10" s="53" t="n">
        <v>16</v>
      </c>
      <c r="AH10" s="86" t="n">
        <v>2</v>
      </c>
      <c r="AI10" s="79" t="n">
        <f aca="false">AVERAGEA(AJ10, AH10)</f>
        <v>8.5</v>
      </c>
      <c r="AJ10" s="53" t="n">
        <v>15</v>
      </c>
      <c r="AK10" s="75" t="n">
        <v>715</v>
      </c>
      <c r="AL10" s="55" t="n">
        <f aca="false">AVERAGEA(AM10, AK10)</f>
        <v>1107.5</v>
      </c>
      <c r="AM10" s="77" t="n">
        <v>1500</v>
      </c>
      <c r="AN10" s="57" t="n">
        <v>19.9</v>
      </c>
      <c r="AO10" s="52" t="n">
        <f aca="false">AVERAGEA(AP10, AN10)</f>
        <v>24.95</v>
      </c>
      <c r="AP10" s="59" t="n">
        <v>30</v>
      </c>
      <c r="AQ10" s="80" t="n">
        <v>2</v>
      </c>
      <c r="AR10" s="55" t="n">
        <f aca="false">AVERAGEA(AS10, AQ10)</f>
        <v>5.75</v>
      </c>
      <c r="AS10" s="56" t="n">
        <v>9.5</v>
      </c>
      <c r="AT10" s="51" t="n">
        <v>8.4</v>
      </c>
      <c r="AU10" s="52" t="n">
        <f aca="false">AVERAGE(AT10,AV10)</f>
        <v>39.45</v>
      </c>
      <c r="AV10" s="53" t="n">
        <v>70.5</v>
      </c>
      <c r="AW10" s="81" t="n">
        <v>46</v>
      </c>
      <c r="AX10" s="55" t="n">
        <f aca="false">AVERAGE(AW10,AY10)</f>
        <v>81.5</v>
      </c>
      <c r="AY10" s="56" t="n">
        <v>117</v>
      </c>
      <c r="AZ10" s="51" t="n">
        <v>67</v>
      </c>
      <c r="BA10" s="52" t="n">
        <f aca="false">AVERAGE(AZ10,BB10)</f>
        <v>88.5</v>
      </c>
      <c r="BB10" s="53" t="n">
        <v>110</v>
      </c>
      <c r="BC10" s="80" t="n">
        <v>1.5</v>
      </c>
      <c r="BD10" s="55" t="n">
        <f aca="false">AVERAGEA(BE10, BC10)</f>
        <v>1.65</v>
      </c>
      <c r="BE10" s="56" t="n">
        <v>1.8</v>
      </c>
      <c r="BF10" s="51" t="n">
        <v>60</v>
      </c>
      <c r="BG10" s="52" t="n">
        <f aca="false">AVERAGEA(BF10,BH10)</f>
        <v>120</v>
      </c>
      <c r="BH10" s="53" t="n">
        <v>180</v>
      </c>
      <c r="BI10" s="81" t="n">
        <v>1.4</v>
      </c>
      <c r="BJ10" s="55" t="n">
        <f aca="false">AVERAGEA(BI10,BK10)</f>
        <v>3.7</v>
      </c>
      <c r="BK10" s="56" t="n">
        <v>6</v>
      </c>
      <c r="BL10" s="51" t="n">
        <v>1.3</v>
      </c>
      <c r="BM10" s="52" t="n">
        <f aca="false">AVERAGEA(BL10,BN10)</f>
        <v>5.65</v>
      </c>
      <c r="BN10" s="53" t="n">
        <v>10</v>
      </c>
    </row>
    <row r="11" customFormat="false" ht="15" hidden="false" customHeight="true" outlineLevel="0" collapsed="false">
      <c r="B11" s="43"/>
      <c r="C11" s="44"/>
      <c r="D11" s="82"/>
      <c r="E11" s="46" t="s">
        <v>46</v>
      </c>
      <c r="F11" s="83"/>
      <c r="G11" s="84" t="n">
        <v>26.7555293750025</v>
      </c>
      <c r="H11" s="73" t="n">
        <f aca="false">AVERAGE(G11,I11)</f>
        <v>30.9155581618704</v>
      </c>
      <c r="I11" s="85" t="n">
        <v>35.0755869487383</v>
      </c>
      <c r="J11" s="51" t="s">
        <v>44</v>
      </c>
      <c r="K11" s="52"/>
      <c r="L11" s="53" t="s">
        <v>44</v>
      </c>
      <c r="M11" s="54" t="s">
        <v>44</v>
      </c>
      <c r="N11" s="55"/>
      <c r="O11" s="56" t="s">
        <v>44</v>
      </c>
      <c r="P11" s="54" t="s">
        <v>44</v>
      </c>
      <c r="Q11" s="55"/>
      <c r="R11" s="55" t="s">
        <v>44</v>
      </c>
      <c r="S11" s="51" t="n">
        <v>83.8</v>
      </c>
      <c r="T11" s="52" t="n">
        <f aca="false">AVERAGEA(U11, S11)</f>
        <v>84.4</v>
      </c>
      <c r="U11" s="53" t="n">
        <v>85</v>
      </c>
      <c r="V11" s="80" t="n">
        <v>50</v>
      </c>
      <c r="W11" s="55" t="n">
        <f aca="false">AVERAGEA(X11, V11)</f>
        <v>35</v>
      </c>
      <c r="X11" s="77" t="n">
        <v>20</v>
      </c>
      <c r="Y11" s="57" t="n">
        <v>0.58</v>
      </c>
      <c r="Z11" s="52" t="n">
        <f aca="false">AVERAGEA(AA11, Y11)</f>
        <v>4.29</v>
      </c>
      <c r="AA11" s="59" t="n">
        <v>8</v>
      </c>
      <c r="AB11" s="80" t="n">
        <v>0.58</v>
      </c>
      <c r="AC11" s="55" t="n">
        <f aca="false">AVERAGEA(AD11, AB11)</f>
        <v>4.29</v>
      </c>
      <c r="AD11" s="56" t="n">
        <v>8</v>
      </c>
      <c r="AE11" s="51" t="n">
        <v>3</v>
      </c>
      <c r="AF11" s="52" t="n">
        <f aca="false">AVERAGEA(AG11, AE11)</f>
        <v>9.5</v>
      </c>
      <c r="AG11" s="53" t="n">
        <v>16</v>
      </c>
      <c r="AH11" s="86" t="n">
        <v>2</v>
      </c>
      <c r="AI11" s="79" t="n">
        <f aca="false">AVERAGEA(AJ11, AH11)</f>
        <v>8.5</v>
      </c>
      <c r="AJ11" s="53" t="n">
        <v>15</v>
      </c>
      <c r="AK11" s="75" t="n">
        <v>715</v>
      </c>
      <c r="AL11" s="55" t="n">
        <f aca="false">AVERAGEA(AM11, AK11)</f>
        <v>1107.5</v>
      </c>
      <c r="AM11" s="77" t="n">
        <v>1500</v>
      </c>
      <c r="AN11" s="57" t="n">
        <v>19.9</v>
      </c>
      <c r="AO11" s="52" t="n">
        <f aca="false">AVERAGEA(AP11, AN11)</f>
        <v>24.95</v>
      </c>
      <c r="AP11" s="59" t="n">
        <v>30</v>
      </c>
      <c r="AQ11" s="80" t="n">
        <v>2</v>
      </c>
      <c r="AR11" s="55" t="n">
        <f aca="false">AVERAGEA(AS11, AQ11)</f>
        <v>5.75</v>
      </c>
      <c r="AS11" s="56" t="n">
        <v>9.5</v>
      </c>
      <c r="AT11" s="51" t="n">
        <v>8.4</v>
      </c>
      <c r="AU11" s="52" t="n">
        <f aca="false">AVERAGE(AT11,AV11)</f>
        <v>39.45</v>
      </c>
      <c r="AV11" s="53" t="n">
        <v>70.5</v>
      </c>
      <c r="AW11" s="81" t="n">
        <v>46</v>
      </c>
      <c r="AX11" s="55" t="n">
        <f aca="false">AVERAGE(AW11,AY11)</f>
        <v>81.5</v>
      </c>
      <c r="AY11" s="56" t="n">
        <v>117</v>
      </c>
      <c r="AZ11" s="51" t="n">
        <v>67</v>
      </c>
      <c r="BA11" s="52" t="n">
        <f aca="false">AVERAGE(AZ11,BB11)</f>
        <v>88.5</v>
      </c>
      <c r="BB11" s="53" t="n">
        <v>110</v>
      </c>
      <c r="BC11" s="80" t="n">
        <v>1.5</v>
      </c>
      <c r="BD11" s="55" t="n">
        <f aca="false">AVERAGEA(BE11, BC11)</f>
        <v>1.65</v>
      </c>
      <c r="BE11" s="56" t="n">
        <v>1.8</v>
      </c>
      <c r="BF11" s="51" t="n">
        <v>60</v>
      </c>
      <c r="BG11" s="52" t="n">
        <f aca="false">AVERAGEA(BF11,BH11)</f>
        <v>120</v>
      </c>
      <c r="BH11" s="53" t="n">
        <v>180</v>
      </c>
      <c r="BI11" s="81" t="n">
        <v>1.4</v>
      </c>
      <c r="BJ11" s="55" t="n">
        <f aca="false">AVERAGEA(BI11,BK11)</f>
        <v>3.7</v>
      </c>
      <c r="BK11" s="56" t="n">
        <v>6</v>
      </c>
      <c r="BL11" s="51" t="n">
        <v>1.3</v>
      </c>
      <c r="BM11" s="52" t="n">
        <f aca="false">AVERAGEA(BL11,BN11)</f>
        <v>5.65</v>
      </c>
      <c r="BN11" s="53" t="n">
        <v>10</v>
      </c>
    </row>
    <row r="12" customFormat="false" ht="15" hidden="false" customHeight="true" outlineLevel="0" collapsed="false">
      <c r="B12" s="43"/>
      <c r="C12" s="44"/>
      <c r="D12" s="82"/>
      <c r="E12" s="46" t="s">
        <v>47</v>
      </c>
      <c r="F12" s="83"/>
      <c r="G12" s="84" t="n">
        <v>21.147009345108</v>
      </c>
      <c r="H12" s="73" t="n">
        <f aca="false">AVERAGE(G12,I12)</f>
        <v>23.9325877466905</v>
      </c>
      <c r="I12" s="85" t="n">
        <v>26.718166148273</v>
      </c>
      <c r="J12" s="51" t="s">
        <v>44</v>
      </c>
      <c r="K12" s="52"/>
      <c r="L12" s="53" t="s">
        <v>44</v>
      </c>
      <c r="M12" s="54" t="s">
        <v>44</v>
      </c>
      <c r="N12" s="55"/>
      <c r="O12" s="56" t="s">
        <v>44</v>
      </c>
      <c r="P12" s="54" t="s">
        <v>44</v>
      </c>
      <c r="Q12" s="55"/>
      <c r="R12" s="55" t="s">
        <v>44</v>
      </c>
      <c r="S12" s="51" t="n">
        <v>83.8</v>
      </c>
      <c r="T12" s="52" t="n">
        <f aca="false">AVERAGEA(U12, S12)</f>
        <v>84.4</v>
      </c>
      <c r="U12" s="53" t="n">
        <v>85</v>
      </c>
      <c r="V12" s="80" t="n">
        <v>50</v>
      </c>
      <c r="W12" s="55" t="n">
        <f aca="false">AVERAGEA(X12, V12)</f>
        <v>35</v>
      </c>
      <c r="X12" s="77" t="n">
        <v>20</v>
      </c>
      <c r="Y12" s="57" t="n">
        <v>0.58</v>
      </c>
      <c r="Z12" s="52" t="n">
        <f aca="false">AVERAGEA(AA12, Y12)</f>
        <v>4.29</v>
      </c>
      <c r="AA12" s="59" t="n">
        <v>8</v>
      </c>
      <c r="AB12" s="80" t="n">
        <v>0.58</v>
      </c>
      <c r="AC12" s="55" t="n">
        <f aca="false">AVERAGEA(AD12, AB12)</f>
        <v>4.29</v>
      </c>
      <c r="AD12" s="56" t="n">
        <v>8</v>
      </c>
      <c r="AE12" s="51" t="n">
        <v>3</v>
      </c>
      <c r="AF12" s="52" t="n">
        <f aca="false">AVERAGEA(AG12, AE12)</f>
        <v>9.5</v>
      </c>
      <c r="AG12" s="53" t="n">
        <v>16</v>
      </c>
      <c r="AH12" s="86" t="n">
        <v>2</v>
      </c>
      <c r="AI12" s="79" t="n">
        <f aca="false">AVERAGEA(AJ12, AH12)</f>
        <v>8.5</v>
      </c>
      <c r="AJ12" s="53" t="n">
        <v>15</v>
      </c>
      <c r="AK12" s="75" t="n">
        <v>715</v>
      </c>
      <c r="AL12" s="55" t="n">
        <f aca="false">AVERAGEA(AM12, AK12)</f>
        <v>1107.5</v>
      </c>
      <c r="AM12" s="77" t="n">
        <v>1500</v>
      </c>
      <c r="AN12" s="57" t="n">
        <v>19.9</v>
      </c>
      <c r="AO12" s="52" t="n">
        <f aca="false">AVERAGEA(AP12, AN12)</f>
        <v>24.95</v>
      </c>
      <c r="AP12" s="59" t="n">
        <v>30</v>
      </c>
      <c r="AQ12" s="80" t="n">
        <v>2</v>
      </c>
      <c r="AR12" s="55" t="n">
        <f aca="false">AVERAGEA(AS12, AQ12)</f>
        <v>5.75</v>
      </c>
      <c r="AS12" s="56" t="n">
        <v>9.5</v>
      </c>
      <c r="AT12" s="51" t="n">
        <v>8.4</v>
      </c>
      <c r="AU12" s="52" t="n">
        <f aca="false">AVERAGE(AT12,AV12)</f>
        <v>39.45</v>
      </c>
      <c r="AV12" s="53" t="n">
        <v>70.5</v>
      </c>
      <c r="AW12" s="81" t="n">
        <v>46</v>
      </c>
      <c r="AX12" s="55" t="n">
        <f aca="false">AVERAGE(AW12,AY12)</f>
        <v>81.5</v>
      </c>
      <c r="AY12" s="56" t="n">
        <v>117</v>
      </c>
      <c r="AZ12" s="51" t="n">
        <v>67</v>
      </c>
      <c r="BA12" s="52" t="n">
        <f aca="false">AVERAGE(AZ12,BB12)</f>
        <v>88.5</v>
      </c>
      <c r="BB12" s="53" t="n">
        <v>110</v>
      </c>
      <c r="BC12" s="80" t="n">
        <v>1.5</v>
      </c>
      <c r="BD12" s="55" t="n">
        <f aca="false">AVERAGEA(BE12, BC12)</f>
        <v>1.65</v>
      </c>
      <c r="BE12" s="56" t="n">
        <v>1.8</v>
      </c>
      <c r="BF12" s="51" t="n">
        <v>60</v>
      </c>
      <c r="BG12" s="52" t="n">
        <f aca="false">AVERAGEA(BF12,BH12)</f>
        <v>120</v>
      </c>
      <c r="BH12" s="53" t="n">
        <v>180</v>
      </c>
      <c r="BI12" s="81" t="n">
        <v>1.4</v>
      </c>
      <c r="BJ12" s="55" t="n">
        <f aca="false">AVERAGEA(BI12,BK12)</f>
        <v>3.7</v>
      </c>
      <c r="BK12" s="56" t="n">
        <v>6</v>
      </c>
      <c r="BL12" s="51" t="n">
        <v>1.3</v>
      </c>
      <c r="BM12" s="52" t="n">
        <f aca="false">AVERAGEA(BL12,BN12)</f>
        <v>5.65</v>
      </c>
      <c r="BN12" s="53" t="n">
        <v>10</v>
      </c>
    </row>
    <row r="13" customFormat="false" ht="15" hidden="false" customHeight="true" outlineLevel="0" collapsed="false">
      <c r="B13" s="43"/>
      <c r="C13" s="44"/>
      <c r="D13" s="82" t="s">
        <v>49</v>
      </c>
      <c r="E13" s="46" t="s">
        <v>43</v>
      </c>
      <c r="F13" s="83"/>
      <c r="G13" s="84" t="n">
        <v>36.6053488967538</v>
      </c>
      <c r="H13" s="73" t="n">
        <f aca="false">AVERAGE(G13,I13)</f>
        <v>37.6975951159586</v>
      </c>
      <c r="I13" s="85" t="n">
        <v>38.7898413351634</v>
      </c>
      <c r="J13" s="51" t="s">
        <v>44</v>
      </c>
      <c r="K13" s="52"/>
      <c r="L13" s="53" t="s">
        <v>44</v>
      </c>
      <c r="M13" s="54" t="s">
        <v>44</v>
      </c>
      <c r="N13" s="55"/>
      <c r="O13" s="56" t="s">
        <v>44</v>
      </c>
      <c r="P13" s="54" t="s">
        <v>44</v>
      </c>
      <c r="Q13" s="55"/>
      <c r="R13" s="55" t="s">
        <v>44</v>
      </c>
      <c r="S13" s="51" t="n">
        <v>83.8</v>
      </c>
      <c r="T13" s="52" t="n">
        <f aca="false">AVERAGEA(U13, S13)</f>
        <v>84.4</v>
      </c>
      <c r="U13" s="53" t="n">
        <v>85</v>
      </c>
      <c r="V13" s="80" t="n">
        <v>50</v>
      </c>
      <c r="W13" s="55" t="n">
        <f aca="false">AVERAGEA(X13, V13)</f>
        <v>35</v>
      </c>
      <c r="X13" s="77" t="n">
        <v>20</v>
      </c>
      <c r="Y13" s="57" t="n">
        <v>0.58</v>
      </c>
      <c r="Z13" s="52" t="n">
        <f aca="false">AVERAGEA(AA13, Y13)</f>
        <v>4.29</v>
      </c>
      <c r="AA13" s="59" t="n">
        <v>8</v>
      </c>
      <c r="AB13" s="80" t="n">
        <v>0.58</v>
      </c>
      <c r="AC13" s="55" t="n">
        <f aca="false">AVERAGEA(AD13, AB13)</f>
        <v>4.29</v>
      </c>
      <c r="AD13" s="56" t="n">
        <v>8</v>
      </c>
      <c r="AE13" s="51" t="n">
        <v>3</v>
      </c>
      <c r="AF13" s="52" t="n">
        <f aca="false">AVERAGEA(AG13, AE13)</f>
        <v>9.5</v>
      </c>
      <c r="AG13" s="53" t="n">
        <v>16</v>
      </c>
      <c r="AH13" s="86" t="n">
        <v>2</v>
      </c>
      <c r="AI13" s="79" t="n">
        <f aca="false">AVERAGEA(AJ13, AH13)</f>
        <v>8.5</v>
      </c>
      <c r="AJ13" s="53" t="n">
        <v>15</v>
      </c>
      <c r="AK13" s="75" t="n">
        <v>715</v>
      </c>
      <c r="AL13" s="55" t="n">
        <f aca="false">AVERAGEA(AM13, AK13)</f>
        <v>1107.5</v>
      </c>
      <c r="AM13" s="77" t="n">
        <v>1500</v>
      </c>
      <c r="AN13" s="57" t="n">
        <v>19.9</v>
      </c>
      <c r="AO13" s="52" t="n">
        <f aca="false">AVERAGEA(AP13, AN13)</f>
        <v>24.95</v>
      </c>
      <c r="AP13" s="59" t="n">
        <v>30</v>
      </c>
      <c r="AQ13" s="80" t="n">
        <v>2</v>
      </c>
      <c r="AR13" s="55" t="n">
        <f aca="false">AVERAGEA(AS13, AQ13)</f>
        <v>5.75</v>
      </c>
      <c r="AS13" s="56" t="n">
        <v>9.5</v>
      </c>
      <c r="AT13" s="51" t="n">
        <v>8.4</v>
      </c>
      <c r="AU13" s="52" t="n">
        <f aca="false">AVERAGE(AT13,AV13)</f>
        <v>39.45</v>
      </c>
      <c r="AV13" s="53" t="n">
        <v>70.5</v>
      </c>
      <c r="AW13" s="81" t="n">
        <v>46</v>
      </c>
      <c r="AX13" s="55" t="n">
        <f aca="false">AVERAGE(AW13,AY13)</f>
        <v>81.5</v>
      </c>
      <c r="AY13" s="56" t="n">
        <v>117</v>
      </c>
      <c r="AZ13" s="51" t="n">
        <v>67</v>
      </c>
      <c r="BA13" s="52" t="n">
        <f aca="false">AVERAGE(AZ13,BB13)</f>
        <v>88.5</v>
      </c>
      <c r="BB13" s="53" t="n">
        <v>110</v>
      </c>
      <c r="BC13" s="80" t="n">
        <v>1.5</v>
      </c>
      <c r="BD13" s="55" t="n">
        <f aca="false">AVERAGEA(BE13, BC13)</f>
        <v>1.65</v>
      </c>
      <c r="BE13" s="56" t="n">
        <v>1.8</v>
      </c>
      <c r="BF13" s="51" t="n">
        <v>60</v>
      </c>
      <c r="BG13" s="52" t="n">
        <f aca="false">AVERAGEA(BF13,BH13)</f>
        <v>120</v>
      </c>
      <c r="BH13" s="53" t="n">
        <v>180</v>
      </c>
      <c r="BI13" s="81" t="n">
        <v>1.4</v>
      </c>
      <c r="BJ13" s="55" t="n">
        <f aca="false">AVERAGEA(BI13,BK13)</f>
        <v>3.7</v>
      </c>
      <c r="BK13" s="56" t="n">
        <v>6</v>
      </c>
      <c r="BL13" s="51" t="n">
        <v>1.3</v>
      </c>
      <c r="BM13" s="52" t="n">
        <f aca="false">AVERAGEA(BL13,BN13)</f>
        <v>5.65</v>
      </c>
      <c r="BN13" s="53" t="n">
        <v>10</v>
      </c>
    </row>
    <row r="14" customFormat="false" ht="15" hidden="false" customHeight="true" outlineLevel="0" collapsed="false">
      <c r="B14" s="43"/>
      <c r="C14" s="44"/>
      <c r="D14" s="82"/>
      <c r="E14" s="46" t="s">
        <v>45</v>
      </c>
      <c r="F14" s="83"/>
      <c r="G14" s="84" t="n">
        <v>33.9631806266255</v>
      </c>
      <c r="H14" s="73" t="n">
        <f aca="false">AVERAGE(G14,I14)</f>
        <v>35.280893282292</v>
      </c>
      <c r="I14" s="85" t="n">
        <v>36.5986059379585</v>
      </c>
      <c r="J14" s="51" t="s">
        <v>44</v>
      </c>
      <c r="K14" s="52"/>
      <c r="L14" s="53" t="s">
        <v>44</v>
      </c>
      <c r="M14" s="54" t="s">
        <v>44</v>
      </c>
      <c r="N14" s="55"/>
      <c r="O14" s="56" t="s">
        <v>44</v>
      </c>
      <c r="P14" s="54" t="s">
        <v>44</v>
      </c>
      <c r="Q14" s="55"/>
      <c r="R14" s="55" t="s">
        <v>44</v>
      </c>
      <c r="S14" s="51" t="n">
        <v>83.8</v>
      </c>
      <c r="T14" s="52" t="n">
        <f aca="false">AVERAGEA(U14, S14)</f>
        <v>84.4</v>
      </c>
      <c r="U14" s="53" t="n">
        <v>85</v>
      </c>
      <c r="V14" s="80" t="n">
        <v>50</v>
      </c>
      <c r="W14" s="55" t="n">
        <f aca="false">AVERAGEA(X14, V14)</f>
        <v>35</v>
      </c>
      <c r="X14" s="77" t="n">
        <v>20</v>
      </c>
      <c r="Y14" s="57" t="n">
        <v>0.58</v>
      </c>
      <c r="Z14" s="52" t="n">
        <f aca="false">AVERAGEA(AA14, Y14)</f>
        <v>4.29</v>
      </c>
      <c r="AA14" s="59" t="n">
        <v>8</v>
      </c>
      <c r="AB14" s="80" t="n">
        <v>0.58</v>
      </c>
      <c r="AC14" s="55" t="n">
        <f aca="false">AVERAGEA(AD14, AB14)</f>
        <v>4.29</v>
      </c>
      <c r="AD14" s="56" t="n">
        <v>8</v>
      </c>
      <c r="AE14" s="51" t="n">
        <v>3</v>
      </c>
      <c r="AF14" s="52" t="n">
        <f aca="false">AVERAGEA(AG14, AE14)</f>
        <v>9.5</v>
      </c>
      <c r="AG14" s="53" t="n">
        <v>16</v>
      </c>
      <c r="AH14" s="86" t="n">
        <v>2</v>
      </c>
      <c r="AI14" s="79" t="n">
        <f aca="false">AVERAGEA(AJ14, AH14)</f>
        <v>8.5</v>
      </c>
      <c r="AJ14" s="53" t="n">
        <v>15</v>
      </c>
      <c r="AK14" s="75" t="n">
        <v>715</v>
      </c>
      <c r="AL14" s="55" t="n">
        <f aca="false">AVERAGEA(AM14, AK14)</f>
        <v>1107.5</v>
      </c>
      <c r="AM14" s="77" t="n">
        <v>1500</v>
      </c>
      <c r="AN14" s="57" t="n">
        <v>19.9</v>
      </c>
      <c r="AO14" s="52" t="n">
        <f aca="false">AVERAGEA(AP14, AN14)</f>
        <v>24.95</v>
      </c>
      <c r="AP14" s="59" t="n">
        <v>30</v>
      </c>
      <c r="AQ14" s="80" t="n">
        <v>2</v>
      </c>
      <c r="AR14" s="55" t="n">
        <f aca="false">AVERAGEA(AS14, AQ14)</f>
        <v>5.75</v>
      </c>
      <c r="AS14" s="56" t="n">
        <v>9.5</v>
      </c>
      <c r="AT14" s="51" t="n">
        <v>8.4</v>
      </c>
      <c r="AU14" s="52" t="n">
        <f aca="false">AVERAGE(AT14,AV14)</f>
        <v>39.45</v>
      </c>
      <c r="AV14" s="53" t="n">
        <v>70.5</v>
      </c>
      <c r="AW14" s="81" t="n">
        <v>46</v>
      </c>
      <c r="AX14" s="55" t="n">
        <f aca="false">AVERAGE(AW14,AY14)</f>
        <v>81.5</v>
      </c>
      <c r="AY14" s="56" t="n">
        <v>117</v>
      </c>
      <c r="AZ14" s="51" t="n">
        <v>67</v>
      </c>
      <c r="BA14" s="52" t="n">
        <f aca="false">AVERAGE(AZ14,BB14)</f>
        <v>88.5</v>
      </c>
      <c r="BB14" s="53" t="n">
        <v>110</v>
      </c>
      <c r="BC14" s="80" t="n">
        <v>1.5</v>
      </c>
      <c r="BD14" s="55" t="n">
        <f aca="false">AVERAGEA(BE14, BC14)</f>
        <v>1.65</v>
      </c>
      <c r="BE14" s="56" t="n">
        <v>1.8</v>
      </c>
      <c r="BF14" s="51" t="n">
        <v>60</v>
      </c>
      <c r="BG14" s="52" t="n">
        <f aca="false">AVERAGEA(BF14,BH14)</f>
        <v>120</v>
      </c>
      <c r="BH14" s="53" t="n">
        <v>180</v>
      </c>
      <c r="BI14" s="81" t="n">
        <v>1.4</v>
      </c>
      <c r="BJ14" s="55" t="n">
        <f aca="false">AVERAGEA(BI14,BK14)</f>
        <v>3.7</v>
      </c>
      <c r="BK14" s="56" t="n">
        <v>6</v>
      </c>
      <c r="BL14" s="51" t="n">
        <v>1.3</v>
      </c>
      <c r="BM14" s="52" t="n">
        <f aca="false">AVERAGEA(BL14,BN14)</f>
        <v>5.65</v>
      </c>
      <c r="BN14" s="53" t="n">
        <v>10</v>
      </c>
    </row>
    <row r="15" customFormat="false" ht="15" hidden="false" customHeight="true" outlineLevel="0" collapsed="false">
      <c r="B15" s="43"/>
      <c r="C15" s="44"/>
      <c r="D15" s="82"/>
      <c r="E15" s="46" t="s">
        <v>46</v>
      </c>
      <c r="F15" s="83"/>
      <c r="G15" s="84" t="n">
        <v>25.8932451769239</v>
      </c>
      <c r="H15" s="73" t="n">
        <f aca="false">AVERAGE(G15,I15)</f>
        <v>29.9192034680751</v>
      </c>
      <c r="I15" s="85" t="n">
        <v>33.9451617592263</v>
      </c>
      <c r="J15" s="51" t="s">
        <v>44</v>
      </c>
      <c r="K15" s="52"/>
      <c r="L15" s="53" t="s">
        <v>44</v>
      </c>
      <c r="M15" s="54" t="s">
        <v>44</v>
      </c>
      <c r="N15" s="55"/>
      <c r="O15" s="56" t="s">
        <v>44</v>
      </c>
      <c r="P15" s="54" t="s">
        <v>44</v>
      </c>
      <c r="Q15" s="55"/>
      <c r="R15" s="55" t="s">
        <v>44</v>
      </c>
      <c r="S15" s="51" t="n">
        <v>83.8</v>
      </c>
      <c r="T15" s="52" t="n">
        <f aca="false">AVERAGEA(U15, S15)</f>
        <v>84.4</v>
      </c>
      <c r="U15" s="53" t="n">
        <v>85</v>
      </c>
      <c r="V15" s="80" t="n">
        <v>50</v>
      </c>
      <c r="W15" s="55" t="n">
        <f aca="false">AVERAGEA(X15, V15)</f>
        <v>35</v>
      </c>
      <c r="X15" s="77" t="n">
        <v>20</v>
      </c>
      <c r="Y15" s="57" t="n">
        <v>0.58</v>
      </c>
      <c r="Z15" s="52" t="n">
        <f aca="false">AVERAGEA(AA15, Y15)</f>
        <v>4.29</v>
      </c>
      <c r="AA15" s="59" t="n">
        <v>8</v>
      </c>
      <c r="AB15" s="80" t="n">
        <v>0.58</v>
      </c>
      <c r="AC15" s="55" t="n">
        <f aca="false">AVERAGEA(AD15, AB15)</f>
        <v>4.29</v>
      </c>
      <c r="AD15" s="56" t="n">
        <v>8</v>
      </c>
      <c r="AE15" s="51" t="n">
        <v>3</v>
      </c>
      <c r="AF15" s="52" t="n">
        <f aca="false">AVERAGEA(AG15, AE15)</f>
        <v>9.5</v>
      </c>
      <c r="AG15" s="53" t="n">
        <v>16</v>
      </c>
      <c r="AH15" s="86" t="n">
        <v>2</v>
      </c>
      <c r="AI15" s="79" t="n">
        <f aca="false">AVERAGEA(AJ15, AH15)</f>
        <v>8.5</v>
      </c>
      <c r="AJ15" s="53" t="n">
        <v>15</v>
      </c>
      <c r="AK15" s="75" t="n">
        <v>715</v>
      </c>
      <c r="AL15" s="55" t="n">
        <f aca="false">AVERAGEA(AM15, AK15)</f>
        <v>1107.5</v>
      </c>
      <c r="AM15" s="77" t="n">
        <v>1500</v>
      </c>
      <c r="AN15" s="57" t="n">
        <v>19.9</v>
      </c>
      <c r="AO15" s="52" t="n">
        <f aca="false">AVERAGEA(AP15, AN15)</f>
        <v>24.95</v>
      </c>
      <c r="AP15" s="59" t="n">
        <v>30</v>
      </c>
      <c r="AQ15" s="80" t="n">
        <v>2</v>
      </c>
      <c r="AR15" s="55" t="n">
        <f aca="false">AVERAGEA(AS15, AQ15)</f>
        <v>5.75</v>
      </c>
      <c r="AS15" s="56" t="n">
        <v>9.5</v>
      </c>
      <c r="AT15" s="51" t="n">
        <v>8.4</v>
      </c>
      <c r="AU15" s="52" t="n">
        <f aca="false">AVERAGE(AT15,AV15)</f>
        <v>39.45</v>
      </c>
      <c r="AV15" s="53" t="n">
        <v>70.5</v>
      </c>
      <c r="AW15" s="81" t="n">
        <v>46</v>
      </c>
      <c r="AX15" s="55" t="n">
        <f aca="false">AVERAGE(AW15,AY15)</f>
        <v>81.5</v>
      </c>
      <c r="AY15" s="56" t="n">
        <v>117</v>
      </c>
      <c r="AZ15" s="51" t="n">
        <v>67</v>
      </c>
      <c r="BA15" s="52" t="n">
        <f aca="false">AVERAGE(AZ15,BB15)</f>
        <v>88.5</v>
      </c>
      <c r="BB15" s="53" t="n">
        <v>110</v>
      </c>
      <c r="BC15" s="80" t="n">
        <v>1.5</v>
      </c>
      <c r="BD15" s="55" t="n">
        <f aca="false">AVERAGEA(BE15, BC15)</f>
        <v>1.65</v>
      </c>
      <c r="BE15" s="56" t="n">
        <v>1.8</v>
      </c>
      <c r="BF15" s="51" t="n">
        <v>60</v>
      </c>
      <c r="BG15" s="52" t="n">
        <f aca="false">AVERAGEA(BF15,BH15)</f>
        <v>120</v>
      </c>
      <c r="BH15" s="53" t="n">
        <v>180</v>
      </c>
      <c r="BI15" s="81" t="n">
        <v>1.4</v>
      </c>
      <c r="BJ15" s="55" t="n">
        <f aca="false">AVERAGEA(BI15,BK15)</f>
        <v>3.7</v>
      </c>
      <c r="BK15" s="56" t="n">
        <v>6</v>
      </c>
      <c r="BL15" s="51" t="n">
        <v>1.3</v>
      </c>
      <c r="BM15" s="52" t="n">
        <f aca="false">AVERAGEA(BL15,BN15)</f>
        <v>5.65</v>
      </c>
      <c r="BN15" s="53" t="n">
        <v>10</v>
      </c>
    </row>
    <row r="16" customFormat="false" ht="15" hidden="false" customHeight="true" outlineLevel="0" collapsed="false">
      <c r="B16" s="43"/>
      <c r="C16" s="44"/>
      <c r="D16" s="82"/>
      <c r="E16" s="46" t="s">
        <v>47</v>
      </c>
      <c r="F16" s="83"/>
      <c r="G16" s="84" t="n">
        <v>20.4654779973505</v>
      </c>
      <c r="H16" s="73" t="n">
        <f aca="false">AVERAGE(G16,I16)</f>
        <v>23.1612820496938</v>
      </c>
      <c r="I16" s="85" t="n">
        <v>25.857086102037</v>
      </c>
      <c r="J16" s="51" t="s">
        <v>44</v>
      </c>
      <c r="K16" s="52"/>
      <c r="L16" s="53" t="s">
        <v>44</v>
      </c>
      <c r="M16" s="54" t="s">
        <v>44</v>
      </c>
      <c r="N16" s="55"/>
      <c r="O16" s="56" t="s">
        <v>44</v>
      </c>
      <c r="P16" s="54" t="s">
        <v>44</v>
      </c>
      <c r="Q16" s="55"/>
      <c r="R16" s="55" t="s">
        <v>44</v>
      </c>
      <c r="S16" s="51" t="n">
        <v>83.8</v>
      </c>
      <c r="T16" s="52" t="n">
        <f aca="false">AVERAGEA(U16, S16)</f>
        <v>84.4</v>
      </c>
      <c r="U16" s="53" t="n">
        <v>85</v>
      </c>
      <c r="V16" s="80" t="n">
        <v>50</v>
      </c>
      <c r="W16" s="55" t="n">
        <f aca="false">AVERAGEA(X16, V16)</f>
        <v>35</v>
      </c>
      <c r="X16" s="77" t="n">
        <v>20</v>
      </c>
      <c r="Y16" s="57" t="n">
        <v>0.58</v>
      </c>
      <c r="Z16" s="52" t="n">
        <f aca="false">AVERAGEA(AA16, Y16)</f>
        <v>4.29</v>
      </c>
      <c r="AA16" s="59" t="n">
        <v>8</v>
      </c>
      <c r="AB16" s="80" t="n">
        <v>0.58</v>
      </c>
      <c r="AC16" s="55" t="n">
        <f aca="false">AVERAGEA(AD16, AB16)</f>
        <v>4.29</v>
      </c>
      <c r="AD16" s="56" t="n">
        <v>8</v>
      </c>
      <c r="AE16" s="51" t="n">
        <v>3</v>
      </c>
      <c r="AF16" s="52" t="n">
        <f aca="false">AVERAGEA(AG16, AE16)</f>
        <v>9.5</v>
      </c>
      <c r="AG16" s="53" t="n">
        <v>16</v>
      </c>
      <c r="AH16" s="86" t="n">
        <v>2</v>
      </c>
      <c r="AI16" s="79" t="n">
        <f aca="false">AVERAGEA(AJ16, AH16)</f>
        <v>8.5</v>
      </c>
      <c r="AJ16" s="53" t="n">
        <v>15</v>
      </c>
      <c r="AK16" s="75" t="n">
        <v>715</v>
      </c>
      <c r="AL16" s="55" t="n">
        <f aca="false">AVERAGEA(AM16, AK16)</f>
        <v>1107.5</v>
      </c>
      <c r="AM16" s="77" t="n">
        <v>1500</v>
      </c>
      <c r="AN16" s="57" t="n">
        <v>19.9</v>
      </c>
      <c r="AO16" s="52" t="n">
        <f aca="false">AVERAGEA(AP16, AN16)</f>
        <v>24.95</v>
      </c>
      <c r="AP16" s="59" t="n">
        <v>30</v>
      </c>
      <c r="AQ16" s="80" t="n">
        <v>2</v>
      </c>
      <c r="AR16" s="55" t="n">
        <f aca="false">AVERAGEA(AS16, AQ16)</f>
        <v>5.75</v>
      </c>
      <c r="AS16" s="56" t="n">
        <v>9.5</v>
      </c>
      <c r="AT16" s="51" t="n">
        <v>8.4</v>
      </c>
      <c r="AU16" s="52" t="n">
        <f aca="false">AVERAGE(AT16,AV16)</f>
        <v>39.45</v>
      </c>
      <c r="AV16" s="53" t="n">
        <v>70.5</v>
      </c>
      <c r="AW16" s="81" t="n">
        <v>46</v>
      </c>
      <c r="AX16" s="55" t="n">
        <f aca="false">AVERAGE(AW16,AY16)</f>
        <v>81.5</v>
      </c>
      <c r="AY16" s="56" t="n">
        <v>117</v>
      </c>
      <c r="AZ16" s="51" t="n">
        <v>67</v>
      </c>
      <c r="BA16" s="52" t="n">
        <f aca="false">AVERAGE(AZ16,BB16)</f>
        <v>88.5</v>
      </c>
      <c r="BB16" s="53" t="n">
        <v>110</v>
      </c>
      <c r="BC16" s="80" t="n">
        <v>1.5</v>
      </c>
      <c r="BD16" s="55" t="n">
        <f aca="false">AVERAGEA(BE16, BC16)</f>
        <v>1.65</v>
      </c>
      <c r="BE16" s="56" t="n">
        <v>1.8</v>
      </c>
      <c r="BF16" s="51" t="n">
        <v>60</v>
      </c>
      <c r="BG16" s="52" t="n">
        <f aca="false">AVERAGEA(BF16,BH16)</f>
        <v>120</v>
      </c>
      <c r="BH16" s="53" t="n">
        <v>180</v>
      </c>
      <c r="BI16" s="81" t="n">
        <v>1.4</v>
      </c>
      <c r="BJ16" s="55" t="n">
        <f aca="false">AVERAGEA(BI16,BK16)</f>
        <v>3.7</v>
      </c>
      <c r="BK16" s="56" t="n">
        <v>6</v>
      </c>
      <c r="BL16" s="51" t="n">
        <v>1.3</v>
      </c>
      <c r="BM16" s="52" t="n">
        <f aca="false">AVERAGEA(BL16,BN16)</f>
        <v>5.65</v>
      </c>
      <c r="BN16" s="53" t="n">
        <v>10</v>
      </c>
    </row>
    <row r="17" customFormat="false" ht="15" hidden="false" customHeight="true" outlineLevel="0" collapsed="false">
      <c r="B17" s="43"/>
      <c r="C17" s="87" t="s">
        <v>50</v>
      </c>
      <c r="D17" s="82" t="s">
        <v>42</v>
      </c>
      <c r="E17" s="46" t="s">
        <v>43</v>
      </c>
      <c r="F17" s="83"/>
      <c r="G17" s="84" t="n">
        <v>41.7382594495549</v>
      </c>
      <c r="H17" s="73" t="n">
        <f aca="false">AVERAGE(G17,I17)</f>
        <v>42.9836636719965</v>
      </c>
      <c r="I17" s="85" t="n">
        <v>44.2290678944381</v>
      </c>
      <c r="J17" s="51" t="s">
        <v>44</v>
      </c>
      <c r="K17" s="52"/>
      <c r="L17" s="53" t="s">
        <v>44</v>
      </c>
      <c r="M17" s="54" t="s">
        <v>44</v>
      </c>
      <c r="N17" s="55"/>
      <c r="O17" s="56" t="s">
        <v>44</v>
      </c>
      <c r="P17" s="54" t="s">
        <v>44</v>
      </c>
      <c r="Q17" s="55"/>
      <c r="R17" s="55" t="s">
        <v>44</v>
      </c>
      <c r="S17" s="51" t="n">
        <v>82</v>
      </c>
      <c r="T17" s="52" t="n">
        <f aca="false">AVERAGEA(U17, S17)</f>
        <v>86.6</v>
      </c>
      <c r="U17" s="53" t="n">
        <v>91.2</v>
      </c>
      <c r="V17" s="80" t="n">
        <v>50</v>
      </c>
      <c r="W17" s="55" t="n">
        <f aca="false">AVERAGEA(X17, V17)</f>
        <v>35</v>
      </c>
      <c r="X17" s="56" t="n">
        <v>20</v>
      </c>
      <c r="Y17" s="51" t="n">
        <v>0.66</v>
      </c>
      <c r="Z17" s="52" t="n">
        <f aca="false">AVERAGEA(AA17, Y17)</f>
        <v>4.33</v>
      </c>
      <c r="AA17" s="59" t="n">
        <v>8</v>
      </c>
      <c r="AB17" s="80" t="n">
        <v>0.66</v>
      </c>
      <c r="AC17" s="55" t="n">
        <f aca="false">AVERAGEA(AD17, AB17)</f>
        <v>3.33</v>
      </c>
      <c r="AD17" s="56" t="n">
        <v>6</v>
      </c>
      <c r="AE17" s="51" t="n">
        <v>3</v>
      </c>
      <c r="AF17" s="52" t="n">
        <f aca="false">AVERAGEA(AG17, AE17)</f>
        <v>6.5</v>
      </c>
      <c r="AG17" s="53" t="n">
        <v>10</v>
      </c>
      <c r="AH17" s="86" t="n">
        <v>1.5</v>
      </c>
      <c r="AI17" s="79" t="n">
        <f aca="false">AVERAGEA(AJ17, AH17)</f>
        <v>2.25</v>
      </c>
      <c r="AJ17" s="53" t="n">
        <v>3</v>
      </c>
      <c r="AK17" s="75" t="n">
        <v>715</v>
      </c>
      <c r="AL17" s="55" t="n">
        <f aca="false">AVERAGEA(AM17, AK17)</f>
        <v>1530.5</v>
      </c>
      <c r="AM17" s="56" t="n">
        <v>2346</v>
      </c>
      <c r="AN17" s="51" t="n">
        <v>14.7</v>
      </c>
      <c r="AO17" s="52" t="n">
        <f aca="false">AVERAGEA(AP17, AN17)</f>
        <v>28.85</v>
      </c>
      <c r="AP17" s="53" t="n">
        <v>43</v>
      </c>
      <c r="AQ17" s="80" t="n">
        <v>2</v>
      </c>
      <c r="AR17" s="55" t="n">
        <f aca="false">AVERAGEA(AS17, AQ17)</f>
        <v>4</v>
      </c>
      <c r="AS17" s="56" t="n">
        <v>6</v>
      </c>
      <c r="AT17" s="51" t="n">
        <v>3.56</v>
      </c>
      <c r="AU17" s="52" t="n">
        <f aca="false">AVERAGE(AT17,AV17)</f>
        <v>22.03</v>
      </c>
      <c r="AV17" s="53" t="n">
        <v>40.5</v>
      </c>
      <c r="AW17" s="81" t="n">
        <v>5.7</v>
      </c>
      <c r="AX17" s="55" t="n">
        <f aca="false">AVERAGE(AW17,AY17)</f>
        <v>26.85</v>
      </c>
      <c r="AY17" s="56" t="n">
        <v>48</v>
      </c>
      <c r="AZ17" s="51" t="n">
        <v>6.2</v>
      </c>
      <c r="BA17" s="52" t="n">
        <f aca="false">AVERAGE(AZ17,BB17)</f>
        <v>42.1</v>
      </c>
      <c r="BB17" s="53" t="n">
        <v>78</v>
      </c>
      <c r="BC17" s="80" t="n">
        <v>1.3</v>
      </c>
      <c r="BD17" s="55" t="n">
        <f aca="false">AVERAGEA(BE17, BC17)</f>
        <v>1.55</v>
      </c>
      <c r="BE17" s="56" t="n">
        <v>1.8</v>
      </c>
      <c r="BF17" s="51" t="n">
        <v>60</v>
      </c>
      <c r="BG17" s="52" t="n">
        <f aca="false">AVERAGEA(BF17,BH17)</f>
        <v>180</v>
      </c>
      <c r="BH17" s="53" t="n">
        <v>300</v>
      </c>
      <c r="BI17" s="81" t="n">
        <v>2</v>
      </c>
      <c r="BJ17" s="55" t="n">
        <f aca="false">AVERAGEA(BI17,BK17)</f>
        <v>5</v>
      </c>
      <c r="BK17" s="56" t="n">
        <v>8</v>
      </c>
      <c r="BL17" s="51" t="n">
        <v>4</v>
      </c>
      <c r="BM17" s="52" t="n">
        <f aca="false">AVERAGEA(BL17,BN17)</f>
        <v>8</v>
      </c>
      <c r="BN17" s="53" t="n">
        <v>12</v>
      </c>
    </row>
    <row r="18" customFormat="false" ht="15" hidden="false" customHeight="true" outlineLevel="0" collapsed="false">
      <c r="B18" s="43"/>
      <c r="C18" s="87"/>
      <c r="D18" s="82"/>
      <c r="E18" s="46" t="s">
        <v>45</v>
      </c>
      <c r="F18" s="83"/>
      <c r="G18" s="84" t="n">
        <v>38.725598510875</v>
      </c>
      <c r="H18" s="73" t="n">
        <f aca="false">AVERAGE(G18,I18)</f>
        <v>40.2280847419801</v>
      </c>
      <c r="I18" s="85" t="n">
        <v>41.7305709730852</v>
      </c>
      <c r="J18" s="51" t="s">
        <v>44</v>
      </c>
      <c r="K18" s="52"/>
      <c r="L18" s="53" t="s">
        <v>44</v>
      </c>
      <c r="M18" s="54" t="s">
        <v>44</v>
      </c>
      <c r="N18" s="55"/>
      <c r="O18" s="56" t="s">
        <v>44</v>
      </c>
      <c r="P18" s="54" t="s">
        <v>44</v>
      </c>
      <c r="Q18" s="55"/>
      <c r="R18" s="55" t="s">
        <v>44</v>
      </c>
      <c r="S18" s="51" t="n">
        <v>82</v>
      </c>
      <c r="T18" s="52" t="n">
        <f aca="false">AVERAGEA(U18, S18)</f>
        <v>86.6</v>
      </c>
      <c r="U18" s="53" t="n">
        <v>91.2</v>
      </c>
      <c r="V18" s="80" t="n">
        <v>50</v>
      </c>
      <c r="W18" s="55" t="n">
        <f aca="false">AVERAGEA(X18, V18)</f>
        <v>35</v>
      </c>
      <c r="X18" s="56" t="n">
        <v>20</v>
      </c>
      <c r="Y18" s="51" t="n">
        <v>0.66</v>
      </c>
      <c r="Z18" s="52" t="n">
        <f aca="false">AVERAGEA(AA18, Y18)</f>
        <v>4.33</v>
      </c>
      <c r="AA18" s="59" t="n">
        <v>8</v>
      </c>
      <c r="AB18" s="80" t="n">
        <v>0.66</v>
      </c>
      <c r="AC18" s="55" t="n">
        <f aca="false">AVERAGEA(AD18, AB18)</f>
        <v>3.33</v>
      </c>
      <c r="AD18" s="56" t="n">
        <v>6</v>
      </c>
      <c r="AE18" s="51" t="n">
        <v>3</v>
      </c>
      <c r="AF18" s="52" t="n">
        <f aca="false">AVERAGEA(AG18, AE18)</f>
        <v>6.5</v>
      </c>
      <c r="AG18" s="53" t="n">
        <v>10</v>
      </c>
      <c r="AH18" s="86" t="n">
        <v>1.5</v>
      </c>
      <c r="AI18" s="79" t="n">
        <f aca="false">AVERAGEA(AJ18, AH18)</f>
        <v>2.25</v>
      </c>
      <c r="AJ18" s="53" t="n">
        <v>3</v>
      </c>
      <c r="AK18" s="75" t="n">
        <v>715</v>
      </c>
      <c r="AL18" s="55" t="n">
        <f aca="false">AVERAGEA(AM18, AK18)</f>
        <v>1530.5</v>
      </c>
      <c r="AM18" s="56" t="n">
        <v>2346</v>
      </c>
      <c r="AN18" s="51" t="n">
        <v>14.7</v>
      </c>
      <c r="AO18" s="52" t="n">
        <f aca="false">AVERAGEA(AP18, AN18)</f>
        <v>28.85</v>
      </c>
      <c r="AP18" s="53" t="n">
        <v>43</v>
      </c>
      <c r="AQ18" s="80" t="n">
        <v>2</v>
      </c>
      <c r="AR18" s="55" t="n">
        <f aca="false">AVERAGEA(AS18, AQ18)</f>
        <v>4</v>
      </c>
      <c r="AS18" s="56" t="n">
        <v>6</v>
      </c>
      <c r="AT18" s="51" t="n">
        <v>3.56</v>
      </c>
      <c r="AU18" s="52" t="n">
        <f aca="false">AVERAGE(AT18,AV18)</f>
        <v>22.03</v>
      </c>
      <c r="AV18" s="53" t="n">
        <v>40.5</v>
      </c>
      <c r="AW18" s="81" t="n">
        <v>5.7</v>
      </c>
      <c r="AX18" s="55" t="n">
        <f aca="false">AVERAGE(AW18,AY18)</f>
        <v>26.85</v>
      </c>
      <c r="AY18" s="56" t="n">
        <v>48</v>
      </c>
      <c r="AZ18" s="51" t="n">
        <v>6.2</v>
      </c>
      <c r="BA18" s="52" t="n">
        <f aca="false">AVERAGE(AZ18,BB18)</f>
        <v>42.1</v>
      </c>
      <c r="BB18" s="53" t="n">
        <v>78</v>
      </c>
      <c r="BC18" s="80" t="n">
        <v>1.3</v>
      </c>
      <c r="BD18" s="55" t="n">
        <f aca="false">AVERAGEA(BE18, BC18)</f>
        <v>1.55</v>
      </c>
      <c r="BE18" s="56" t="n">
        <v>1.8</v>
      </c>
      <c r="BF18" s="51" t="n">
        <v>60</v>
      </c>
      <c r="BG18" s="52" t="n">
        <f aca="false">AVERAGEA(BF18,BH18)</f>
        <v>180</v>
      </c>
      <c r="BH18" s="53" t="n">
        <v>300</v>
      </c>
      <c r="BI18" s="81" t="n">
        <v>2</v>
      </c>
      <c r="BJ18" s="55" t="n">
        <f aca="false">AVERAGEA(BI18,BK18)</f>
        <v>5</v>
      </c>
      <c r="BK18" s="56" t="n">
        <v>8</v>
      </c>
      <c r="BL18" s="51" t="n">
        <v>4</v>
      </c>
      <c r="BM18" s="52" t="n">
        <f aca="false">AVERAGEA(BL18,BN18)</f>
        <v>8</v>
      </c>
      <c r="BN18" s="53" t="n">
        <v>12</v>
      </c>
    </row>
    <row r="19" customFormat="false" ht="15" hidden="false" customHeight="true" outlineLevel="0" collapsed="false">
      <c r="B19" s="43"/>
      <c r="C19" s="87"/>
      <c r="D19" s="82"/>
      <c r="E19" s="46" t="s">
        <v>46</v>
      </c>
      <c r="F19" s="83"/>
      <c r="G19" s="84" t="n">
        <v>29.5240727860191</v>
      </c>
      <c r="H19" s="73" t="n">
        <f aca="false">AVERAGE(G19,I19)</f>
        <v>34.1145628852422</v>
      </c>
      <c r="I19" s="85" t="n">
        <v>38.7050529844653</v>
      </c>
      <c r="J19" s="51" t="s">
        <v>44</v>
      </c>
      <c r="K19" s="52"/>
      <c r="L19" s="53" t="s">
        <v>44</v>
      </c>
      <c r="M19" s="54" t="s">
        <v>44</v>
      </c>
      <c r="N19" s="55"/>
      <c r="O19" s="56" t="s">
        <v>44</v>
      </c>
      <c r="P19" s="54" t="s">
        <v>44</v>
      </c>
      <c r="Q19" s="55"/>
      <c r="R19" s="55" t="s">
        <v>44</v>
      </c>
      <c r="S19" s="51" t="n">
        <v>82</v>
      </c>
      <c r="T19" s="52" t="n">
        <f aca="false">AVERAGEA(U19, S19)</f>
        <v>86.6</v>
      </c>
      <c r="U19" s="53" t="n">
        <v>91.2</v>
      </c>
      <c r="V19" s="80" t="n">
        <v>50</v>
      </c>
      <c r="W19" s="55" t="n">
        <f aca="false">AVERAGEA(X19, V19)</f>
        <v>35</v>
      </c>
      <c r="X19" s="56" t="n">
        <v>20</v>
      </c>
      <c r="Y19" s="51" t="n">
        <v>0.66</v>
      </c>
      <c r="Z19" s="52" t="n">
        <f aca="false">AVERAGEA(AA19, Y19)</f>
        <v>4.33</v>
      </c>
      <c r="AA19" s="59" t="n">
        <v>8</v>
      </c>
      <c r="AB19" s="80" t="n">
        <v>0.66</v>
      </c>
      <c r="AC19" s="55" t="n">
        <f aca="false">AVERAGEA(AD19, AB19)</f>
        <v>3.33</v>
      </c>
      <c r="AD19" s="56" t="n">
        <v>6</v>
      </c>
      <c r="AE19" s="51" t="n">
        <v>3</v>
      </c>
      <c r="AF19" s="52" t="n">
        <f aca="false">AVERAGEA(AG19, AE19)</f>
        <v>6.5</v>
      </c>
      <c r="AG19" s="53" t="n">
        <v>10</v>
      </c>
      <c r="AH19" s="86" t="n">
        <v>1.5</v>
      </c>
      <c r="AI19" s="79" t="n">
        <f aca="false">AVERAGEA(AJ19, AH19)</f>
        <v>2.25</v>
      </c>
      <c r="AJ19" s="53" t="n">
        <v>3</v>
      </c>
      <c r="AK19" s="75" t="n">
        <v>715</v>
      </c>
      <c r="AL19" s="55" t="n">
        <f aca="false">AVERAGEA(AM19, AK19)</f>
        <v>1530.5</v>
      </c>
      <c r="AM19" s="56" t="n">
        <v>2346</v>
      </c>
      <c r="AN19" s="51" t="n">
        <v>14.7</v>
      </c>
      <c r="AO19" s="52" t="n">
        <f aca="false">AVERAGEA(AP19, AN19)</f>
        <v>28.85</v>
      </c>
      <c r="AP19" s="53" t="n">
        <v>43</v>
      </c>
      <c r="AQ19" s="80" t="n">
        <v>2</v>
      </c>
      <c r="AR19" s="55" t="n">
        <f aca="false">AVERAGEA(AS19, AQ19)</f>
        <v>4</v>
      </c>
      <c r="AS19" s="56" t="n">
        <v>6</v>
      </c>
      <c r="AT19" s="51" t="n">
        <v>3.56</v>
      </c>
      <c r="AU19" s="52" t="n">
        <f aca="false">AVERAGE(AT19,AV19)</f>
        <v>22.03</v>
      </c>
      <c r="AV19" s="53" t="n">
        <v>40.5</v>
      </c>
      <c r="AW19" s="81" t="n">
        <v>5.7</v>
      </c>
      <c r="AX19" s="55" t="n">
        <f aca="false">AVERAGE(AW19,AY19)</f>
        <v>26.85</v>
      </c>
      <c r="AY19" s="56" t="n">
        <v>48</v>
      </c>
      <c r="AZ19" s="51" t="n">
        <v>6.2</v>
      </c>
      <c r="BA19" s="52" t="n">
        <f aca="false">AVERAGE(AZ19,BB19)</f>
        <v>42.1</v>
      </c>
      <c r="BB19" s="53" t="n">
        <v>78</v>
      </c>
      <c r="BC19" s="80" t="n">
        <v>1.3</v>
      </c>
      <c r="BD19" s="55" t="n">
        <f aca="false">AVERAGEA(BE19, BC19)</f>
        <v>1.55</v>
      </c>
      <c r="BE19" s="56" t="n">
        <v>1.8</v>
      </c>
      <c r="BF19" s="51" t="n">
        <v>60</v>
      </c>
      <c r="BG19" s="52" t="n">
        <f aca="false">AVERAGEA(BF19,BH19)</f>
        <v>180</v>
      </c>
      <c r="BH19" s="53" t="n">
        <v>300</v>
      </c>
      <c r="BI19" s="81" t="n">
        <v>2</v>
      </c>
      <c r="BJ19" s="55" t="n">
        <f aca="false">AVERAGEA(BI19,BK19)</f>
        <v>5</v>
      </c>
      <c r="BK19" s="56" t="n">
        <v>8</v>
      </c>
      <c r="BL19" s="51" t="n">
        <v>4</v>
      </c>
      <c r="BM19" s="52" t="n">
        <f aca="false">AVERAGEA(BL19,BN19)</f>
        <v>8</v>
      </c>
      <c r="BN19" s="53" t="n">
        <v>12</v>
      </c>
    </row>
    <row r="20" customFormat="false" ht="15" hidden="false" customHeight="true" outlineLevel="0" collapsed="false">
      <c r="B20" s="43"/>
      <c r="C20" s="87"/>
      <c r="D20" s="82"/>
      <c r="E20" s="46" t="s">
        <v>47</v>
      </c>
      <c r="F20" s="83"/>
      <c r="G20" s="84" t="n">
        <v>23.335207999843</v>
      </c>
      <c r="H20" s="73" t="n">
        <f aca="false">AVERAGE(G20,I20)</f>
        <v>26.4090256891436</v>
      </c>
      <c r="I20" s="85" t="n">
        <v>29.4828433784443</v>
      </c>
      <c r="J20" s="51" t="s">
        <v>44</v>
      </c>
      <c r="K20" s="52"/>
      <c r="L20" s="53" t="s">
        <v>44</v>
      </c>
      <c r="M20" s="54" t="s">
        <v>44</v>
      </c>
      <c r="N20" s="55"/>
      <c r="O20" s="56" t="s">
        <v>44</v>
      </c>
      <c r="P20" s="54" t="s">
        <v>44</v>
      </c>
      <c r="Q20" s="55"/>
      <c r="R20" s="55" t="s">
        <v>44</v>
      </c>
      <c r="S20" s="51" t="n">
        <v>82</v>
      </c>
      <c r="T20" s="52" t="n">
        <f aca="false">AVERAGEA(U20, S20)</f>
        <v>86.6</v>
      </c>
      <c r="U20" s="53" t="n">
        <v>91.2</v>
      </c>
      <c r="V20" s="80" t="n">
        <v>50</v>
      </c>
      <c r="W20" s="55" t="n">
        <f aca="false">AVERAGEA(X20, V20)</f>
        <v>35</v>
      </c>
      <c r="X20" s="56" t="n">
        <v>20</v>
      </c>
      <c r="Y20" s="51" t="n">
        <v>0.66</v>
      </c>
      <c r="Z20" s="52" t="n">
        <f aca="false">AVERAGEA(AA20, Y20)</f>
        <v>4.33</v>
      </c>
      <c r="AA20" s="59" t="n">
        <v>8</v>
      </c>
      <c r="AB20" s="80" t="n">
        <v>0.66</v>
      </c>
      <c r="AC20" s="55" t="n">
        <f aca="false">AVERAGEA(AD20, AB20)</f>
        <v>3.33</v>
      </c>
      <c r="AD20" s="56" t="n">
        <v>6</v>
      </c>
      <c r="AE20" s="51" t="n">
        <v>3</v>
      </c>
      <c r="AF20" s="52" t="n">
        <f aca="false">AVERAGEA(AG20, AE20)</f>
        <v>6.5</v>
      </c>
      <c r="AG20" s="53" t="n">
        <v>10</v>
      </c>
      <c r="AH20" s="86" t="n">
        <v>1.5</v>
      </c>
      <c r="AI20" s="79" t="n">
        <f aca="false">AVERAGEA(AJ20, AH20)</f>
        <v>2.25</v>
      </c>
      <c r="AJ20" s="53" t="n">
        <v>3</v>
      </c>
      <c r="AK20" s="75" t="n">
        <v>715</v>
      </c>
      <c r="AL20" s="55" t="n">
        <f aca="false">AVERAGEA(AM20, AK20)</f>
        <v>1530.5</v>
      </c>
      <c r="AM20" s="56" t="n">
        <v>2346</v>
      </c>
      <c r="AN20" s="51" t="n">
        <v>14.7</v>
      </c>
      <c r="AO20" s="52" t="n">
        <f aca="false">AVERAGEA(AP20, AN20)</f>
        <v>28.85</v>
      </c>
      <c r="AP20" s="53" t="n">
        <v>43</v>
      </c>
      <c r="AQ20" s="80" t="n">
        <v>2</v>
      </c>
      <c r="AR20" s="55" t="n">
        <f aca="false">AVERAGEA(AS20, AQ20)</f>
        <v>4</v>
      </c>
      <c r="AS20" s="56" t="n">
        <v>6</v>
      </c>
      <c r="AT20" s="51" t="n">
        <v>3.56</v>
      </c>
      <c r="AU20" s="52" t="n">
        <f aca="false">AVERAGE(AT20,AV20)</f>
        <v>22.03</v>
      </c>
      <c r="AV20" s="53" t="n">
        <v>40.5</v>
      </c>
      <c r="AW20" s="81" t="n">
        <v>5.7</v>
      </c>
      <c r="AX20" s="55" t="n">
        <f aca="false">AVERAGE(AW20,AY20)</f>
        <v>26.85</v>
      </c>
      <c r="AY20" s="56" t="n">
        <v>48</v>
      </c>
      <c r="AZ20" s="51" t="n">
        <v>6.2</v>
      </c>
      <c r="BA20" s="52" t="n">
        <f aca="false">AVERAGE(AZ20,BB20)</f>
        <v>42.1</v>
      </c>
      <c r="BB20" s="53" t="n">
        <v>78</v>
      </c>
      <c r="BC20" s="80" t="n">
        <v>1.3</v>
      </c>
      <c r="BD20" s="55" t="n">
        <f aca="false">AVERAGEA(BE20, BC20)</f>
        <v>1.55</v>
      </c>
      <c r="BE20" s="56" t="n">
        <v>1.8</v>
      </c>
      <c r="BF20" s="51" t="n">
        <v>60</v>
      </c>
      <c r="BG20" s="52" t="n">
        <f aca="false">AVERAGEA(BF20,BH20)</f>
        <v>180</v>
      </c>
      <c r="BH20" s="53" t="n">
        <v>300</v>
      </c>
      <c r="BI20" s="81" t="n">
        <v>2</v>
      </c>
      <c r="BJ20" s="55" t="n">
        <f aca="false">AVERAGEA(BI20,BK20)</f>
        <v>5</v>
      </c>
      <c r="BK20" s="56" t="n">
        <v>8</v>
      </c>
      <c r="BL20" s="51" t="n">
        <v>4</v>
      </c>
      <c r="BM20" s="52" t="n">
        <f aca="false">AVERAGEA(BL20,BN20)</f>
        <v>8</v>
      </c>
      <c r="BN20" s="53" t="n">
        <v>12</v>
      </c>
    </row>
    <row r="21" customFormat="false" ht="15" hidden="false" customHeight="true" outlineLevel="0" collapsed="false">
      <c r="B21" s="43"/>
      <c r="C21" s="87"/>
      <c r="D21" s="82" t="s">
        <v>48</v>
      </c>
      <c r="E21" s="46" t="s">
        <v>43</v>
      </c>
      <c r="F21" s="83"/>
      <c r="G21" s="84" t="n">
        <v>38.4335162183416</v>
      </c>
      <c r="H21" s="73" t="n">
        <f aca="false">AVERAGE(G21,I21)</f>
        <v>39.5803120841215</v>
      </c>
      <c r="I21" s="85" t="n">
        <v>40.7271079499015</v>
      </c>
      <c r="J21" s="51" t="s">
        <v>44</v>
      </c>
      <c r="K21" s="52"/>
      <c r="L21" s="53" t="s">
        <v>44</v>
      </c>
      <c r="M21" s="54" t="s">
        <v>44</v>
      </c>
      <c r="N21" s="55"/>
      <c r="O21" s="56" t="s">
        <v>44</v>
      </c>
      <c r="P21" s="54" t="s">
        <v>44</v>
      </c>
      <c r="Q21" s="55"/>
      <c r="R21" s="55" t="s">
        <v>44</v>
      </c>
      <c r="S21" s="51" t="n">
        <v>82</v>
      </c>
      <c r="T21" s="52" t="n">
        <f aca="false">AVERAGEA(U21, S21)</f>
        <v>86.6</v>
      </c>
      <c r="U21" s="53" t="n">
        <v>91.2</v>
      </c>
      <c r="V21" s="80" t="n">
        <v>50</v>
      </c>
      <c r="W21" s="55" t="n">
        <f aca="false">AVERAGEA(X21, V21)</f>
        <v>35</v>
      </c>
      <c r="X21" s="56" t="n">
        <v>20</v>
      </c>
      <c r="Y21" s="51" t="n">
        <v>0.66</v>
      </c>
      <c r="Z21" s="52" t="n">
        <f aca="false">AVERAGEA(AA21, Y21)</f>
        <v>4.33</v>
      </c>
      <c r="AA21" s="59" t="n">
        <v>8</v>
      </c>
      <c r="AB21" s="80" t="n">
        <v>0.66</v>
      </c>
      <c r="AC21" s="55" t="n">
        <f aca="false">AVERAGEA(AD21, AB21)</f>
        <v>3.33</v>
      </c>
      <c r="AD21" s="56" t="n">
        <v>6</v>
      </c>
      <c r="AE21" s="51" t="n">
        <v>3</v>
      </c>
      <c r="AF21" s="52" t="n">
        <f aca="false">AVERAGEA(AG21, AE21)</f>
        <v>6.5</v>
      </c>
      <c r="AG21" s="53" t="n">
        <v>10</v>
      </c>
      <c r="AH21" s="86" t="n">
        <v>1.5</v>
      </c>
      <c r="AI21" s="79" t="n">
        <f aca="false">AVERAGEA(AJ21, AH21)</f>
        <v>2.25</v>
      </c>
      <c r="AJ21" s="53" t="n">
        <v>3</v>
      </c>
      <c r="AK21" s="75" t="n">
        <v>715</v>
      </c>
      <c r="AL21" s="55" t="n">
        <f aca="false">AVERAGEA(AM21, AK21)</f>
        <v>1530.5</v>
      </c>
      <c r="AM21" s="56" t="n">
        <v>2346</v>
      </c>
      <c r="AN21" s="51" t="n">
        <v>14.7</v>
      </c>
      <c r="AO21" s="52" t="n">
        <f aca="false">AVERAGEA(AP21, AN21)</f>
        <v>28.85</v>
      </c>
      <c r="AP21" s="53" t="n">
        <v>43</v>
      </c>
      <c r="AQ21" s="80" t="n">
        <v>2</v>
      </c>
      <c r="AR21" s="55" t="n">
        <f aca="false">AVERAGEA(AS21, AQ21)</f>
        <v>4</v>
      </c>
      <c r="AS21" s="56" t="n">
        <v>6</v>
      </c>
      <c r="AT21" s="51" t="n">
        <v>3.56</v>
      </c>
      <c r="AU21" s="52" t="n">
        <f aca="false">AVERAGE(AT21,AV21)</f>
        <v>22.03</v>
      </c>
      <c r="AV21" s="53" t="n">
        <v>40.5</v>
      </c>
      <c r="AW21" s="81" t="n">
        <v>5.7</v>
      </c>
      <c r="AX21" s="55" t="n">
        <f aca="false">AVERAGE(AW21,AY21)</f>
        <v>26.85</v>
      </c>
      <c r="AY21" s="56" t="n">
        <v>48</v>
      </c>
      <c r="AZ21" s="51" t="n">
        <v>6.2</v>
      </c>
      <c r="BA21" s="52" t="n">
        <f aca="false">AVERAGE(AZ21,BB21)</f>
        <v>42.1</v>
      </c>
      <c r="BB21" s="53" t="n">
        <v>78</v>
      </c>
      <c r="BC21" s="80" t="n">
        <v>1.3</v>
      </c>
      <c r="BD21" s="55" t="n">
        <f aca="false">AVERAGEA(BE21, BC21)</f>
        <v>1.55</v>
      </c>
      <c r="BE21" s="56" t="n">
        <v>1.8</v>
      </c>
      <c r="BF21" s="51" t="n">
        <v>60</v>
      </c>
      <c r="BG21" s="52" t="n">
        <f aca="false">AVERAGEA(BF21,BH21)</f>
        <v>180</v>
      </c>
      <c r="BH21" s="53" t="n">
        <v>300</v>
      </c>
      <c r="BI21" s="81" t="n">
        <v>2</v>
      </c>
      <c r="BJ21" s="55" t="n">
        <f aca="false">AVERAGEA(BI21,BK21)</f>
        <v>5</v>
      </c>
      <c r="BK21" s="56" t="n">
        <v>8</v>
      </c>
      <c r="BL21" s="51" t="n">
        <v>4</v>
      </c>
      <c r="BM21" s="52" t="n">
        <f aca="false">AVERAGEA(BL21,BN21)</f>
        <v>8</v>
      </c>
      <c r="BN21" s="53" t="n">
        <v>12</v>
      </c>
    </row>
    <row r="22" customFormat="false" ht="15" hidden="false" customHeight="true" outlineLevel="0" collapsed="false">
      <c r="B22" s="43"/>
      <c r="C22" s="87"/>
      <c r="D22" s="82"/>
      <c r="E22" s="46" t="s">
        <v>45</v>
      </c>
      <c r="F22" s="83"/>
      <c r="G22" s="84" t="n">
        <v>35.6593911212695</v>
      </c>
      <c r="H22" s="73" t="n">
        <f aca="false">AVERAGE(G22,I22)</f>
        <v>37.0429138098666</v>
      </c>
      <c r="I22" s="85" t="n">
        <v>38.4264364984637</v>
      </c>
      <c r="J22" s="51" t="s">
        <v>44</v>
      </c>
      <c r="K22" s="52"/>
      <c r="L22" s="53" t="s">
        <v>44</v>
      </c>
      <c r="M22" s="54" t="s">
        <v>44</v>
      </c>
      <c r="N22" s="55"/>
      <c r="O22" s="56" t="s">
        <v>44</v>
      </c>
      <c r="P22" s="54" t="s">
        <v>44</v>
      </c>
      <c r="Q22" s="55"/>
      <c r="R22" s="55" t="s">
        <v>44</v>
      </c>
      <c r="S22" s="51" t="n">
        <v>82</v>
      </c>
      <c r="T22" s="52" t="n">
        <f aca="false">AVERAGEA(U22, S22)</f>
        <v>86.6</v>
      </c>
      <c r="U22" s="53" t="n">
        <v>91.2</v>
      </c>
      <c r="V22" s="80" t="n">
        <v>50</v>
      </c>
      <c r="W22" s="55" t="n">
        <f aca="false">AVERAGEA(X22, V22)</f>
        <v>35</v>
      </c>
      <c r="X22" s="56" t="n">
        <v>20</v>
      </c>
      <c r="Y22" s="51" t="n">
        <v>0.66</v>
      </c>
      <c r="Z22" s="52" t="n">
        <f aca="false">AVERAGEA(AA22, Y22)</f>
        <v>4.33</v>
      </c>
      <c r="AA22" s="59" t="n">
        <v>8</v>
      </c>
      <c r="AB22" s="80" t="n">
        <v>0.66</v>
      </c>
      <c r="AC22" s="55" t="n">
        <f aca="false">AVERAGEA(AD22, AB22)</f>
        <v>3.33</v>
      </c>
      <c r="AD22" s="56" t="n">
        <v>6</v>
      </c>
      <c r="AE22" s="51" t="n">
        <v>3</v>
      </c>
      <c r="AF22" s="52" t="n">
        <f aca="false">AVERAGEA(AG22, AE22)</f>
        <v>6.5</v>
      </c>
      <c r="AG22" s="53" t="n">
        <v>10</v>
      </c>
      <c r="AH22" s="86" t="n">
        <v>1.5</v>
      </c>
      <c r="AI22" s="79" t="n">
        <f aca="false">AVERAGEA(AJ22, AH22)</f>
        <v>2.25</v>
      </c>
      <c r="AJ22" s="53" t="n">
        <v>3</v>
      </c>
      <c r="AK22" s="75" t="n">
        <v>715</v>
      </c>
      <c r="AL22" s="55" t="n">
        <f aca="false">AVERAGEA(AM22, AK22)</f>
        <v>1530.5</v>
      </c>
      <c r="AM22" s="56" t="n">
        <v>2346</v>
      </c>
      <c r="AN22" s="51" t="n">
        <v>14.7</v>
      </c>
      <c r="AO22" s="52" t="n">
        <f aca="false">AVERAGEA(AP22, AN22)</f>
        <v>28.85</v>
      </c>
      <c r="AP22" s="53" t="n">
        <v>43</v>
      </c>
      <c r="AQ22" s="80" t="n">
        <v>2</v>
      </c>
      <c r="AR22" s="55" t="n">
        <f aca="false">AVERAGEA(AS22, AQ22)</f>
        <v>4</v>
      </c>
      <c r="AS22" s="56" t="n">
        <v>6</v>
      </c>
      <c r="AT22" s="51" t="n">
        <v>3.56</v>
      </c>
      <c r="AU22" s="52" t="n">
        <f aca="false">AVERAGE(AT22,AV22)</f>
        <v>22.03</v>
      </c>
      <c r="AV22" s="53" t="n">
        <v>40.5</v>
      </c>
      <c r="AW22" s="81" t="n">
        <v>5.7</v>
      </c>
      <c r="AX22" s="55" t="n">
        <f aca="false">AVERAGE(AW22,AY22)</f>
        <v>26.85</v>
      </c>
      <c r="AY22" s="56" t="n">
        <v>48</v>
      </c>
      <c r="AZ22" s="51" t="n">
        <v>6.2</v>
      </c>
      <c r="BA22" s="52" t="n">
        <f aca="false">AVERAGE(AZ22,BB22)</f>
        <v>42.1</v>
      </c>
      <c r="BB22" s="53" t="n">
        <v>78</v>
      </c>
      <c r="BC22" s="80" t="n">
        <v>1.3</v>
      </c>
      <c r="BD22" s="55" t="n">
        <f aca="false">AVERAGEA(BE22, BC22)</f>
        <v>1.55</v>
      </c>
      <c r="BE22" s="56" t="n">
        <v>1.8</v>
      </c>
      <c r="BF22" s="51" t="n">
        <v>60</v>
      </c>
      <c r="BG22" s="52" t="n">
        <f aca="false">AVERAGEA(BF22,BH22)</f>
        <v>180</v>
      </c>
      <c r="BH22" s="53" t="n">
        <v>300</v>
      </c>
      <c r="BI22" s="81" t="n">
        <v>2</v>
      </c>
      <c r="BJ22" s="55" t="n">
        <f aca="false">AVERAGEA(BI22,BK22)</f>
        <v>5</v>
      </c>
      <c r="BK22" s="56" t="n">
        <v>8</v>
      </c>
      <c r="BL22" s="51" t="n">
        <v>4</v>
      </c>
      <c r="BM22" s="52" t="n">
        <f aca="false">AVERAGEA(BL22,BN22)</f>
        <v>8</v>
      </c>
      <c r="BN22" s="53" t="n">
        <v>12</v>
      </c>
    </row>
    <row r="23" customFormat="false" ht="15" hidden="false" customHeight="true" outlineLevel="0" collapsed="false">
      <c r="B23" s="43"/>
      <c r="C23" s="87"/>
      <c r="D23" s="82"/>
      <c r="E23" s="46" t="s">
        <v>46</v>
      </c>
      <c r="F23" s="83"/>
      <c r="G23" s="84" t="n">
        <v>27.186421887678</v>
      </c>
      <c r="H23" s="73" t="n">
        <f aca="false">AVERAGE(G23,I23)</f>
        <v>31.4134471159787</v>
      </c>
      <c r="I23" s="85" t="n">
        <v>35.6404723442794</v>
      </c>
      <c r="J23" s="51" t="s">
        <v>44</v>
      </c>
      <c r="K23" s="52"/>
      <c r="L23" s="53" t="s">
        <v>44</v>
      </c>
      <c r="M23" s="54" t="s">
        <v>44</v>
      </c>
      <c r="N23" s="55"/>
      <c r="O23" s="56" t="s">
        <v>44</v>
      </c>
      <c r="P23" s="54" t="s">
        <v>44</v>
      </c>
      <c r="Q23" s="55"/>
      <c r="R23" s="55" t="s">
        <v>44</v>
      </c>
      <c r="S23" s="51" t="n">
        <v>82</v>
      </c>
      <c r="T23" s="52" t="n">
        <f aca="false">AVERAGEA(U23, S23)</f>
        <v>86.6</v>
      </c>
      <c r="U23" s="53" t="n">
        <v>91.2</v>
      </c>
      <c r="V23" s="80" t="n">
        <v>50</v>
      </c>
      <c r="W23" s="55" t="n">
        <f aca="false">AVERAGEA(X23, V23)</f>
        <v>35</v>
      </c>
      <c r="X23" s="56" t="n">
        <v>20</v>
      </c>
      <c r="Y23" s="51" t="n">
        <v>0.66</v>
      </c>
      <c r="Z23" s="52" t="n">
        <f aca="false">AVERAGEA(AA23, Y23)</f>
        <v>4.33</v>
      </c>
      <c r="AA23" s="59" t="n">
        <v>8</v>
      </c>
      <c r="AB23" s="80" t="n">
        <v>0.66</v>
      </c>
      <c r="AC23" s="55" t="n">
        <f aca="false">AVERAGEA(AD23, AB23)</f>
        <v>3.33</v>
      </c>
      <c r="AD23" s="56" t="n">
        <v>6</v>
      </c>
      <c r="AE23" s="51" t="n">
        <v>3</v>
      </c>
      <c r="AF23" s="52" t="n">
        <f aca="false">AVERAGEA(AG23, AE23)</f>
        <v>6.5</v>
      </c>
      <c r="AG23" s="53" t="n">
        <v>10</v>
      </c>
      <c r="AH23" s="86" t="n">
        <v>1.5</v>
      </c>
      <c r="AI23" s="79" t="n">
        <f aca="false">AVERAGEA(AJ23, AH23)</f>
        <v>2.25</v>
      </c>
      <c r="AJ23" s="53" t="n">
        <v>3</v>
      </c>
      <c r="AK23" s="75" t="n">
        <v>715</v>
      </c>
      <c r="AL23" s="55" t="n">
        <f aca="false">AVERAGEA(AM23, AK23)</f>
        <v>1530.5</v>
      </c>
      <c r="AM23" s="56" t="n">
        <v>2346</v>
      </c>
      <c r="AN23" s="51" t="n">
        <v>14.7</v>
      </c>
      <c r="AO23" s="52" t="n">
        <f aca="false">AVERAGEA(AP23, AN23)</f>
        <v>28.85</v>
      </c>
      <c r="AP23" s="53" t="n">
        <v>43</v>
      </c>
      <c r="AQ23" s="80" t="n">
        <v>2</v>
      </c>
      <c r="AR23" s="55" t="n">
        <f aca="false">AVERAGEA(AS23, AQ23)</f>
        <v>4</v>
      </c>
      <c r="AS23" s="56" t="n">
        <v>6</v>
      </c>
      <c r="AT23" s="51" t="n">
        <v>3.56</v>
      </c>
      <c r="AU23" s="52" t="n">
        <f aca="false">AVERAGE(AT23,AV23)</f>
        <v>22.03</v>
      </c>
      <c r="AV23" s="53" t="n">
        <v>40.5</v>
      </c>
      <c r="AW23" s="81" t="n">
        <v>5.7</v>
      </c>
      <c r="AX23" s="55" t="n">
        <f aca="false">AVERAGE(AW23,AY23)</f>
        <v>26.85</v>
      </c>
      <c r="AY23" s="56" t="n">
        <v>48</v>
      </c>
      <c r="AZ23" s="51" t="n">
        <v>6.2</v>
      </c>
      <c r="BA23" s="52" t="n">
        <f aca="false">AVERAGE(AZ23,BB23)</f>
        <v>42.1</v>
      </c>
      <c r="BB23" s="53" t="n">
        <v>78</v>
      </c>
      <c r="BC23" s="80" t="n">
        <v>1.3</v>
      </c>
      <c r="BD23" s="55" t="n">
        <f aca="false">AVERAGEA(BE23, BC23)</f>
        <v>1.55</v>
      </c>
      <c r="BE23" s="56" t="n">
        <v>1.8</v>
      </c>
      <c r="BF23" s="51" t="n">
        <v>60</v>
      </c>
      <c r="BG23" s="52" t="n">
        <f aca="false">AVERAGEA(BF23,BH23)</f>
        <v>180</v>
      </c>
      <c r="BH23" s="53" t="n">
        <v>300</v>
      </c>
      <c r="BI23" s="81" t="n">
        <v>2</v>
      </c>
      <c r="BJ23" s="55" t="n">
        <f aca="false">AVERAGEA(BI23,BK23)</f>
        <v>5</v>
      </c>
      <c r="BK23" s="56" t="n">
        <v>8</v>
      </c>
      <c r="BL23" s="51" t="n">
        <v>4</v>
      </c>
      <c r="BM23" s="52" t="n">
        <f aca="false">AVERAGEA(BL23,BN23)</f>
        <v>8</v>
      </c>
      <c r="BN23" s="53" t="n">
        <v>12</v>
      </c>
    </row>
    <row r="24" customFormat="false" ht="15" hidden="false" customHeight="true" outlineLevel="0" collapsed="false">
      <c r="B24" s="43"/>
      <c r="C24" s="87"/>
      <c r="D24" s="82"/>
      <c r="E24" s="46" t="s">
        <v>47</v>
      </c>
      <c r="F24" s="83"/>
      <c r="G24" s="84" t="n">
        <v>21.4875777511586</v>
      </c>
      <c r="H24" s="73" t="n">
        <f aca="false">AVERAGE(G24,I24)</f>
        <v>24.3180173423625</v>
      </c>
      <c r="I24" s="85" t="n">
        <v>27.1484569335664</v>
      </c>
      <c r="J24" s="51" t="s">
        <v>44</v>
      </c>
      <c r="K24" s="52"/>
      <c r="L24" s="53" t="s">
        <v>44</v>
      </c>
      <c r="M24" s="54" t="s">
        <v>44</v>
      </c>
      <c r="N24" s="55"/>
      <c r="O24" s="56" t="s">
        <v>44</v>
      </c>
      <c r="P24" s="54" t="s">
        <v>44</v>
      </c>
      <c r="Q24" s="55"/>
      <c r="R24" s="55" t="s">
        <v>44</v>
      </c>
      <c r="S24" s="51" t="n">
        <v>82</v>
      </c>
      <c r="T24" s="52" t="n">
        <f aca="false">AVERAGEA(U24, S24)</f>
        <v>86.6</v>
      </c>
      <c r="U24" s="53" t="n">
        <v>91.2</v>
      </c>
      <c r="V24" s="80" t="n">
        <v>50</v>
      </c>
      <c r="W24" s="55" t="n">
        <f aca="false">AVERAGEA(X24, V24)</f>
        <v>35</v>
      </c>
      <c r="X24" s="56" t="n">
        <v>20</v>
      </c>
      <c r="Y24" s="51" t="n">
        <v>0.66</v>
      </c>
      <c r="Z24" s="52" t="n">
        <f aca="false">AVERAGEA(AA24, Y24)</f>
        <v>4.33</v>
      </c>
      <c r="AA24" s="59" t="n">
        <v>8</v>
      </c>
      <c r="AB24" s="80" t="n">
        <v>0.66</v>
      </c>
      <c r="AC24" s="55" t="n">
        <f aca="false">AVERAGEA(AD24, AB24)</f>
        <v>3.33</v>
      </c>
      <c r="AD24" s="56" t="n">
        <v>6</v>
      </c>
      <c r="AE24" s="51" t="n">
        <v>3</v>
      </c>
      <c r="AF24" s="52" t="n">
        <f aca="false">AVERAGEA(AG24, AE24)</f>
        <v>6.5</v>
      </c>
      <c r="AG24" s="53" t="n">
        <v>10</v>
      </c>
      <c r="AH24" s="86" t="n">
        <v>1.5</v>
      </c>
      <c r="AI24" s="79" t="n">
        <f aca="false">AVERAGEA(AJ24, AH24)</f>
        <v>2.25</v>
      </c>
      <c r="AJ24" s="53" t="n">
        <v>3</v>
      </c>
      <c r="AK24" s="75" t="n">
        <v>715</v>
      </c>
      <c r="AL24" s="55" t="n">
        <f aca="false">AVERAGEA(AM24, AK24)</f>
        <v>1530.5</v>
      </c>
      <c r="AM24" s="56" t="n">
        <v>2346</v>
      </c>
      <c r="AN24" s="51" t="n">
        <v>14.7</v>
      </c>
      <c r="AO24" s="52" t="n">
        <f aca="false">AVERAGEA(AP24, AN24)</f>
        <v>28.85</v>
      </c>
      <c r="AP24" s="53" t="n">
        <v>43</v>
      </c>
      <c r="AQ24" s="80" t="n">
        <v>2</v>
      </c>
      <c r="AR24" s="55" t="n">
        <f aca="false">AVERAGEA(AS24, AQ24)</f>
        <v>4</v>
      </c>
      <c r="AS24" s="56" t="n">
        <v>6</v>
      </c>
      <c r="AT24" s="51" t="n">
        <v>3.56</v>
      </c>
      <c r="AU24" s="52" t="n">
        <f aca="false">AVERAGE(AT24,AV24)</f>
        <v>22.03</v>
      </c>
      <c r="AV24" s="53" t="n">
        <v>40.5</v>
      </c>
      <c r="AW24" s="81" t="n">
        <v>5.7</v>
      </c>
      <c r="AX24" s="55" t="n">
        <f aca="false">AVERAGE(AW24,AY24)</f>
        <v>26.85</v>
      </c>
      <c r="AY24" s="56" t="n">
        <v>48</v>
      </c>
      <c r="AZ24" s="51" t="n">
        <v>6.2</v>
      </c>
      <c r="BA24" s="52" t="n">
        <f aca="false">AVERAGE(AZ24,BB24)</f>
        <v>42.1</v>
      </c>
      <c r="BB24" s="53" t="n">
        <v>78</v>
      </c>
      <c r="BC24" s="80" t="n">
        <v>1.3</v>
      </c>
      <c r="BD24" s="55" t="n">
        <f aca="false">AVERAGEA(BE24, BC24)</f>
        <v>1.55</v>
      </c>
      <c r="BE24" s="56" t="n">
        <v>1.8</v>
      </c>
      <c r="BF24" s="51" t="n">
        <v>60</v>
      </c>
      <c r="BG24" s="52" t="n">
        <f aca="false">AVERAGEA(BF24,BH24)</f>
        <v>180</v>
      </c>
      <c r="BH24" s="53" t="n">
        <v>300</v>
      </c>
      <c r="BI24" s="81" t="n">
        <v>2</v>
      </c>
      <c r="BJ24" s="55" t="n">
        <f aca="false">AVERAGEA(BI24,BK24)</f>
        <v>5</v>
      </c>
      <c r="BK24" s="56" t="n">
        <v>8</v>
      </c>
      <c r="BL24" s="51" t="n">
        <v>4</v>
      </c>
      <c r="BM24" s="52" t="n">
        <f aca="false">AVERAGEA(BL24,BN24)</f>
        <v>8</v>
      </c>
      <c r="BN24" s="53" t="n">
        <v>12</v>
      </c>
    </row>
    <row r="25" customFormat="false" ht="15" hidden="false" customHeight="true" outlineLevel="0" collapsed="false">
      <c r="B25" s="43"/>
      <c r="C25" s="87"/>
      <c r="D25" s="82" t="s">
        <v>49</v>
      </c>
      <c r="E25" s="46" t="s">
        <v>43</v>
      </c>
      <c r="F25" s="83"/>
      <c r="G25" s="84" t="n">
        <v>36.6053488967538</v>
      </c>
      <c r="H25" s="73" t="n">
        <f aca="false">AVERAGE(G25,I25)</f>
        <v>37.6975951159586</v>
      </c>
      <c r="I25" s="85" t="n">
        <v>38.7898413351634</v>
      </c>
      <c r="J25" s="51" t="s">
        <v>44</v>
      </c>
      <c r="K25" s="52"/>
      <c r="L25" s="53" t="s">
        <v>44</v>
      </c>
      <c r="M25" s="54" t="s">
        <v>44</v>
      </c>
      <c r="N25" s="55"/>
      <c r="O25" s="56" t="s">
        <v>44</v>
      </c>
      <c r="P25" s="54" t="s">
        <v>44</v>
      </c>
      <c r="Q25" s="55"/>
      <c r="R25" s="55" t="s">
        <v>44</v>
      </c>
      <c r="S25" s="51" t="n">
        <v>82</v>
      </c>
      <c r="T25" s="52" t="n">
        <f aca="false">AVERAGEA(U25, S25)</f>
        <v>86.6</v>
      </c>
      <c r="U25" s="53" t="n">
        <v>91.2</v>
      </c>
      <c r="V25" s="80" t="n">
        <v>50</v>
      </c>
      <c r="W25" s="55" t="n">
        <f aca="false">AVERAGEA(X25, V25)</f>
        <v>35</v>
      </c>
      <c r="X25" s="56" t="n">
        <v>20</v>
      </c>
      <c r="Y25" s="51" t="n">
        <v>0.66</v>
      </c>
      <c r="Z25" s="52" t="n">
        <f aca="false">AVERAGEA(AA25, Y25)</f>
        <v>4.33</v>
      </c>
      <c r="AA25" s="59" t="n">
        <v>8</v>
      </c>
      <c r="AB25" s="80" t="n">
        <v>0.66</v>
      </c>
      <c r="AC25" s="55" t="n">
        <f aca="false">AVERAGEA(AD25, AB25)</f>
        <v>3.33</v>
      </c>
      <c r="AD25" s="56" t="n">
        <v>6</v>
      </c>
      <c r="AE25" s="51" t="n">
        <v>3</v>
      </c>
      <c r="AF25" s="52" t="n">
        <f aca="false">AVERAGEA(AG25, AE25)</f>
        <v>6.5</v>
      </c>
      <c r="AG25" s="53" t="n">
        <v>10</v>
      </c>
      <c r="AH25" s="86" t="n">
        <v>2</v>
      </c>
      <c r="AI25" s="79" t="n">
        <f aca="false">AVERAGEA(AJ25, AH25)</f>
        <v>8.5</v>
      </c>
      <c r="AJ25" s="53" t="n">
        <v>15</v>
      </c>
      <c r="AK25" s="75" t="n">
        <v>715</v>
      </c>
      <c r="AL25" s="55" t="n">
        <f aca="false">AVERAGEA(AM25, AK25)</f>
        <v>1530.5</v>
      </c>
      <c r="AM25" s="56" t="n">
        <v>2346</v>
      </c>
      <c r="AN25" s="51" t="n">
        <v>14.7</v>
      </c>
      <c r="AO25" s="52" t="n">
        <f aca="false">AVERAGEA(AP25, AN25)</f>
        <v>28.85</v>
      </c>
      <c r="AP25" s="53" t="n">
        <v>43</v>
      </c>
      <c r="AQ25" s="80" t="n">
        <v>2</v>
      </c>
      <c r="AR25" s="55" t="n">
        <f aca="false">AVERAGEA(AS25, AQ25)</f>
        <v>4</v>
      </c>
      <c r="AS25" s="56" t="n">
        <v>6</v>
      </c>
      <c r="AT25" s="51" t="n">
        <v>3.56</v>
      </c>
      <c r="AU25" s="52" t="n">
        <f aca="false">AVERAGE(AT25,AV25)</f>
        <v>22.03</v>
      </c>
      <c r="AV25" s="53" t="n">
        <v>40.5</v>
      </c>
      <c r="AW25" s="81" t="n">
        <v>5.7</v>
      </c>
      <c r="AX25" s="55" t="n">
        <f aca="false">AVERAGE(AW25,AY25)</f>
        <v>26.85</v>
      </c>
      <c r="AY25" s="56" t="n">
        <v>48</v>
      </c>
      <c r="AZ25" s="51" t="n">
        <v>6.2</v>
      </c>
      <c r="BA25" s="52" t="n">
        <f aca="false">AVERAGE(AZ25,BB25)</f>
        <v>42.1</v>
      </c>
      <c r="BB25" s="53" t="n">
        <v>78</v>
      </c>
      <c r="BC25" s="80" t="n">
        <v>1.3</v>
      </c>
      <c r="BD25" s="55" t="n">
        <f aca="false">AVERAGEA(BE25, BC25)</f>
        <v>1.55</v>
      </c>
      <c r="BE25" s="56" t="n">
        <v>1.8</v>
      </c>
      <c r="BF25" s="51" t="n">
        <v>60</v>
      </c>
      <c r="BG25" s="52" t="n">
        <f aca="false">AVERAGEA(BF25,BH25)</f>
        <v>180</v>
      </c>
      <c r="BH25" s="53" t="n">
        <v>300</v>
      </c>
      <c r="BI25" s="81" t="n">
        <v>2</v>
      </c>
      <c r="BJ25" s="55" t="n">
        <f aca="false">AVERAGEA(BI25,BK25)</f>
        <v>5</v>
      </c>
      <c r="BK25" s="56" t="n">
        <v>8</v>
      </c>
      <c r="BL25" s="51" t="n">
        <v>4</v>
      </c>
      <c r="BM25" s="52" t="n">
        <f aca="false">AVERAGEA(BL25,BN25)</f>
        <v>8</v>
      </c>
      <c r="BN25" s="53" t="n">
        <v>12</v>
      </c>
    </row>
    <row r="26" customFormat="false" ht="15" hidden="false" customHeight="true" outlineLevel="0" collapsed="false">
      <c r="B26" s="43"/>
      <c r="C26" s="87"/>
      <c r="D26" s="82"/>
      <c r="E26" s="46" t="s">
        <v>45</v>
      </c>
      <c r="F26" s="83"/>
      <c r="G26" s="84" t="n">
        <v>33.9631806266255</v>
      </c>
      <c r="H26" s="73" t="n">
        <f aca="false">AVERAGE(G26,I26)</f>
        <v>35.280893282292</v>
      </c>
      <c r="I26" s="85" t="n">
        <v>36.5986059379585</v>
      </c>
      <c r="J26" s="51" t="s">
        <v>44</v>
      </c>
      <c r="K26" s="52"/>
      <c r="L26" s="53" t="s">
        <v>44</v>
      </c>
      <c r="M26" s="54" t="s">
        <v>44</v>
      </c>
      <c r="N26" s="55"/>
      <c r="O26" s="56" t="s">
        <v>44</v>
      </c>
      <c r="P26" s="54" t="s">
        <v>44</v>
      </c>
      <c r="Q26" s="55"/>
      <c r="R26" s="55" t="s">
        <v>44</v>
      </c>
      <c r="S26" s="51" t="n">
        <v>82</v>
      </c>
      <c r="T26" s="52" t="n">
        <f aca="false">AVERAGEA(U26, S26)</f>
        <v>86.6</v>
      </c>
      <c r="U26" s="53" t="n">
        <v>91.2</v>
      </c>
      <c r="V26" s="80" t="n">
        <v>50</v>
      </c>
      <c r="W26" s="55" t="n">
        <f aca="false">AVERAGEA(X26, V26)</f>
        <v>35</v>
      </c>
      <c r="X26" s="56" t="n">
        <v>20</v>
      </c>
      <c r="Y26" s="51" t="n">
        <v>0.66</v>
      </c>
      <c r="Z26" s="52" t="n">
        <f aca="false">AVERAGEA(AA26, Y26)</f>
        <v>4.33</v>
      </c>
      <c r="AA26" s="59" t="n">
        <v>8</v>
      </c>
      <c r="AB26" s="80" t="n">
        <v>0.66</v>
      </c>
      <c r="AC26" s="55" t="n">
        <f aca="false">AVERAGEA(AD26, AB26)</f>
        <v>3.33</v>
      </c>
      <c r="AD26" s="56" t="n">
        <v>6</v>
      </c>
      <c r="AE26" s="51" t="n">
        <v>3</v>
      </c>
      <c r="AF26" s="52" t="n">
        <f aca="false">AVERAGEA(AG26, AE26)</f>
        <v>6.5</v>
      </c>
      <c r="AG26" s="53" t="n">
        <v>10</v>
      </c>
      <c r="AH26" s="86" t="n">
        <v>2</v>
      </c>
      <c r="AI26" s="79" t="n">
        <f aca="false">AVERAGEA(AJ26, AH26)</f>
        <v>8.5</v>
      </c>
      <c r="AJ26" s="53" t="n">
        <v>15</v>
      </c>
      <c r="AK26" s="75" t="n">
        <v>715</v>
      </c>
      <c r="AL26" s="55" t="n">
        <f aca="false">AVERAGEA(AM26, AK26)</f>
        <v>1530.5</v>
      </c>
      <c r="AM26" s="56" t="n">
        <v>2346</v>
      </c>
      <c r="AN26" s="51" t="n">
        <v>14.7</v>
      </c>
      <c r="AO26" s="52" t="n">
        <f aca="false">AVERAGEA(AP26, AN26)</f>
        <v>28.85</v>
      </c>
      <c r="AP26" s="53" t="n">
        <v>43</v>
      </c>
      <c r="AQ26" s="80" t="n">
        <v>2</v>
      </c>
      <c r="AR26" s="55" t="n">
        <f aca="false">AVERAGEA(AS26, AQ26)</f>
        <v>4</v>
      </c>
      <c r="AS26" s="56" t="n">
        <v>6</v>
      </c>
      <c r="AT26" s="51" t="n">
        <v>3.56</v>
      </c>
      <c r="AU26" s="52" t="n">
        <f aca="false">AVERAGE(AT26,AV26)</f>
        <v>22.03</v>
      </c>
      <c r="AV26" s="53" t="n">
        <v>40.5</v>
      </c>
      <c r="AW26" s="81" t="n">
        <v>5.7</v>
      </c>
      <c r="AX26" s="55" t="n">
        <f aca="false">AVERAGE(AW26,AY26)</f>
        <v>26.85</v>
      </c>
      <c r="AY26" s="56" t="n">
        <v>48</v>
      </c>
      <c r="AZ26" s="51" t="n">
        <v>6.2</v>
      </c>
      <c r="BA26" s="52" t="n">
        <f aca="false">AVERAGE(AZ26,BB26)</f>
        <v>42.1</v>
      </c>
      <c r="BB26" s="53" t="n">
        <v>78</v>
      </c>
      <c r="BC26" s="80" t="n">
        <v>1.3</v>
      </c>
      <c r="BD26" s="55" t="n">
        <f aca="false">AVERAGEA(BE26, BC26)</f>
        <v>1.55</v>
      </c>
      <c r="BE26" s="56" t="n">
        <v>1.8</v>
      </c>
      <c r="BF26" s="51" t="n">
        <v>60</v>
      </c>
      <c r="BG26" s="52" t="n">
        <f aca="false">AVERAGEA(BF26,BH26)</f>
        <v>180</v>
      </c>
      <c r="BH26" s="53" t="n">
        <v>300</v>
      </c>
      <c r="BI26" s="81" t="n">
        <v>2</v>
      </c>
      <c r="BJ26" s="55" t="n">
        <f aca="false">AVERAGEA(BI26,BK26)</f>
        <v>5</v>
      </c>
      <c r="BK26" s="56" t="n">
        <v>8</v>
      </c>
      <c r="BL26" s="51" t="n">
        <v>4</v>
      </c>
      <c r="BM26" s="52" t="n">
        <f aca="false">AVERAGEA(BL26,BN26)</f>
        <v>8</v>
      </c>
      <c r="BN26" s="53" t="n">
        <v>12</v>
      </c>
    </row>
    <row r="27" customFormat="false" ht="15" hidden="false" customHeight="true" outlineLevel="0" collapsed="false">
      <c r="B27" s="43"/>
      <c r="C27" s="87"/>
      <c r="D27" s="82"/>
      <c r="E27" s="46" t="s">
        <v>46</v>
      </c>
      <c r="F27" s="83"/>
      <c r="G27" s="84" t="n">
        <v>25.8932451769239</v>
      </c>
      <c r="H27" s="73" t="n">
        <f aca="false">AVERAGE(G27,I27)</f>
        <v>29.9192034680751</v>
      </c>
      <c r="I27" s="85" t="n">
        <v>33.9451617592263</v>
      </c>
      <c r="J27" s="51" t="s">
        <v>44</v>
      </c>
      <c r="K27" s="52"/>
      <c r="L27" s="53" t="s">
        <v>44</v>
      </c>
      <c r="M27" s="54" t="s">
        <v>44</v>
      </c>
      <c r="N27" s="55"/>
      <c r="O27" s="56" t="s">
        <v>44</v>
      </c>
      <c r="P27" s="54" t="s">
        <v>44</v>
      </c>
      <c r="Q27" s="55"/>
      <c r="R27" s="55" t="s">
        <v>44</v>
      </c>
      <c r="S27" s="51" t="n">
        <v>82</v>
      </c>
      <c r="T27" s="52" t="n">
        <f aca="false">AVERAGEA(U27, S27)</f>
        <v>86.6</v>
      </c>
      <c r="U27" s="53" t="n">
        <v>91.2</v>
      </c>
      <c r="V27" s="80" t="n">
        <v>50</v>
      </c>
      <c r="W27" s="55" t="n">
        <f aca="false">AVERAGEA(X27, V27)</f>
        <v>35</v>
      </c>
      <c r="X27" s="56" t="n">
        <v>20</v>
      </c>
      <c r="Y27" s="51" t="n">
        <v>0.66</v>
      </c>
      <c r="Z27" s="52" t="n">
        <f aca="false">AVERAGEA(AA27, Y27)</f>
        <v>4.33</v>
      </c>
      <c r="AA27" s="59" t="n">
        <v>8</v>
      </c>
      <c r="AB27" s="80" t="n">
        <v>0.66</v>
      </c>
      <c r="AC27" s="55" t="n">
        <f aca="false">AVERAGEA(AD27, AB27)</f>
        <v>3.33</v>
      </c>
      <c r="AD27" s="56" t="n">
        <v>6</v>
      </c>
      <c r="AE27" s="51" t="n">
        <v>3</v>
      </c>
      <c r="AF27" s="52" t="n">
        <f aca="false">AVERAGEA(AG27, AE27)</f>
        <v>6.5</v>
      </c>
      <c r="AG27" s="53" t="n">
        <v>10</v>
      </c>
      <c r="AH27" s="86" t="n">
        <v>2</v>
      </c>
      <c r="AI27" s="79" t="n">
        <f aca="false">AVERAGEA(AJ27, AH27)</f>
        <v>8.5</v>
      </c>
      <c r="AJ27" s="53" t="n">
        <v>15</v>
      </c>
      <c r="AK27" s="75" t="n">
        <v>715</v>
      </c>
      <c r="AL27" s="55" t="n">
        <f aca="false">AVERAGEA(AM27, AK27)</f>
        <v>1530.5</v>
      </c>
      <c r="AM27" s="56" t="n">
        <v>2346</v>
      </c>
      <c r="AN27" s="51" t="n">
        <v>14.7</v>
      </c>
      <c r="AO27" s="52" t="n">
        <f aca="false">AVERAGEA(AP27, AN27)</f>
        <v>28.85</v>
      </c>
      <c r="AP27" s="53" t="n">
        <v>43</v>
      </c>
      <c r="AQ27" s="80" t="n">
        <v>2</v>
      </c>
      <c r="AR27" s="55" t="n">
        <f aca="false">AVERAGEA(AS27, AQ27)</f>
        <v>4</v>
      </c>
      <c r="AS27" s="56" t="n">
        <v>6</v>
      </c>
      <c r="AT27" s="51" t="n">
        <v>3.56</v>
      </c>
      <c r="AU27" s="52" t="n">
        <f aca="false">AVERAGE(AT27,AV27)</f>
        <v>22.03</v>
      </c>
      <c r="AV27" s="53" t="n">
        <v>40.5</v>
      </c>
      <c r="AW27" s="81" t="n">
        <v>5.7</v>
      </c>
      <c r="AX27" s="55" t="n">
        <f aca="false">AVERAGE(AW27,AY27)</f>
        <v>26.85</v>
      </c>
      <c r="AY27" s="56" t="n">
        <v>48</v>
      </c>
      <c r="AZ27" s="51" t="n">
        <v>6.2</v>
      </c>
      <c r="BA27" s="52" t="n">
        <f aca="false">AVERAGE(AZ27,BB27)</f>
        <v>42.1</v>
      </c>
      <c r="BB27" s="53" t="n">
        <v>78</v>
      </c>
      <c r="BC27" s="80" t="n">
        <v>1.3</v>
      </c>
      <c r="BD27" s="55" t="n">
        <f aca="false">AVERAGEA(BE27, BC27)</f>
        <v>1.55</v>
      </c>
      <c r="BE27" s="56" t="n">
        <v>1.8</v>
      </c>
      <c r="BF27" s="51" t="n">
        <v>60</v>
      </c>
      <c r="BG27" s="52" t="n">
        <f aca="false">AVERAGEA(BF27,BH27)</f>
        <v>180</v>
      </c>
      <c r="BH27" s="53" t="n">
        <v>300</v>
      </c>
      <c r="BI27" s="81" t="n">
        <v>2</v>
      </c>
      <c r="BJ27" s="55" t="n">
        <f aca="false">AVERAGEA(BI27,BK27)</f>
        <v>5</v>
      </c>
      <c r="BK27" s="56" t="n">
        <v>8</v>
      </c>
      <c r="BL27" s="51" t="n">
        <v>4</v>
      </c>
      <c r="BM27" s="52" t="n">
        <f aca="false">AVERAGEA(BL27,BN27)</f>
        <v>8</v>
      </c>
      <c r="BN27" s="53" t="n">
        <v>12</v>
      </c>
    </row>
    <row r="28" customFormat="false" ht="15" hidden="false" customHeight="true" outlineLevel="0" collapsed="false">
      <c r="B28" s="43"/>
      <c r="C28" s="87"/>
      <c r="D28" s="82"/>
      <c r="E28" s="46" t="s">
        <v>47</v>
      </c>
      <c r="F28" s="83"/>
      <c r="G28" s="84" t="n">
        <v>20.4654779973505</v>
      </c>
      <c r="H28" s="73" t="n">
        <f aca="false">AVERAGE(G28,I28)</f>
        <v>23.1612820496938</v>
      </c>
      <c r="I28" s="85" t="n">
        <v>25.857086102037</v>
      </c>
      <c r="J28" s="51" t="s">
        <v>44</v>
      </c>
      <c r="K28" s="52"/>
      <c r="L28" s="53" t="s">
        <v>44</v>
      </c>
      <c r="M28" s="54" t="s">
        <v>44</v>
      </c>
      <c r="N28" s="55"/>
      <c r="O28" s="56" t="s">
        <v>44</v>
      </c>
      <c r="P28" s="54" t="s">
        <v>44</v>
      </c>
      <c r="Q28" s="55"/>
      <c r="R28" s="55" t="s">
        <v>44</v>
      </c>
      <c r="S28" s="51" t="n">
        <v>82</v>
      </c>
      <c r="T28" s="52" t="n">
        <f aca="false">AVERAGEA(U28, S28)</f>
        <v>86.6</v>
      </c>
      <c r="U28" s="53" t="n">
        <v>91.2</v>
      </c>
      <c r="V28" s="80" t="n">
        <v>50</v>
      </c>
      <c r="W28" s="55" t="n">
        <f aca="false">AVERAGEA(X28, V28)</f>
        <v>35</v>
      </c>
      <c r="X28" s="56" t="n">
        <v>20</v>
      </c>
      <c r="Y28" s="51" t="n">
        <v>0.66</v>
      </c>
      <c r="Z28" s="52" t="n">
        <f aca="false">AVERAGEA(AA28, Y28)</f>
        <v>4.33</v>
      </c>
      <c r="AA28" s="59" t="n">
        <v>8</v>
      </c>
      <c r="AB28" s="80" t="n">
        <v>0.66</v>
      </c>
      <c r="AC28" s="55" t="n">
        <f aca="false">AVERAGEA(AD28, AB28)</f>
        <v>3.33</v>
      </c>
      <c r="AD28" s="56" t="n">
        <v>6</v>
      </c>
      <c r="AE28" s="51" t="n">
        <v>3</v>
      </c>
      <c r="AF28" s="52" t="n">
        <f aca="false">AVERAGEA(AG28, AE28)</f>
        <v>6.5</v>
      </c>
      <c r="AG28" s="53" t="n">
        <v>10</v>
      </c>
      <c r="AH28" s="86" t="n">
        <v>2</v>
      </c>
      <c r="AI28" s="79" t="n">
        <f aca="false">AVERAGEA(AJ28, AH28)</f>
        <v>8.5</v>
      </c>
      <c r="AJ28" s="53" t="n">
        <v>15</v>
      </c>
      <c r="AK28" s="75" t="n">
        <v>715</v>
      </c>
      <c r="AL28" s="55" t="n">
        <f aca="false">AVERAGEA(AM28, AK28)</f>
        <v>1530.5</v>
      </c>
      <c r="AM28" s="56" t="n">
        <v>2346</v>
      </c>
      <c r="AN28" s="51" t="n">
        <v>14.7</v>
      </c>
      <c r="AO28" s="52" t="n">
        <f aca="false">AVERAGEA(AP28, AN28)</f>
        <v>28.85</v>
      </c>
      <c r="AP28" s="53" t="n">
        <v>43</v>
      </c>
      <c r="AQ28" s="80" t="n">
        <v>2</v>
      </c>
      <c r="AR28" s="55" t="n">
        <f aca="false">AVERAGEA(AS28, AQ28)</f>
        <v>4</v>
      </c>
      <c r="AS28" s="56" t="n">
        <v>6</v>
      </c>
      <c r="AT28" s="51" t="n">
        <v>3.56</v>
      </c>
      <c r="AU28" s="52" t="n">
        <f aca="false">AVERAGE(AT28,AV28)</f>
        <v>22.03</v>
      </c>
      <c r="AV28" s="53" t="n">
        <v>40.5</v>
      </c>
      <c r="AW28" s="81" t="n">
        <v>5.7</v>
      </c>
      <c r="AX28" s="55" t="n">
        <f aca="false">AVERAGE(AW28,AY28)</f>
        <v>26.85</v>
      </c>
      <c r="AY28" s="56" t="n">
        <v>48</v>
      </c>
      <c r="AZ28" s="51" t="n">
        <v>6.2</v>
      </c>
      <c r="BA28" s="52" t="n">
        <f aca="false">AVERAGE(AZ28,BB28)</f>
        <v>42.1</v>
      </c>
      <c r="BB28" s="53" t="n">
        <v>78</v>
      </c>
      <c r="BC28" s="80" t="n">
        <v>1.3</v>
      </c>
      <c r="BD28" s="55" t="n">
        <f aca="false">AVERAGEA(BE28, BC28)</f>
        <v>1.55</v>
      </c>
      <c r="BE28" s="56" t="n">
        <v>1.8</v>
      </c>
      <c r="BF28" s="51" t="n">
        <v>60</v>
      </c>
      <c r="BG28" s="52" t="n">
        <f aca="false">AVERAGEA(BF28,BH28)</f>
        <v>180</v>
      </c>
      <c r="BH28" s="53" t="n">
        <v>300</v>
      </c>
      <c r="BI28" s="81" t="n">
        <v>2</v>
      </c>
      <c r="BJ28" s="55" t="n">
        <f aca="false">AVERAGEA(BI28,BK28)</f>
        <v>5</v>
      </c>
      <c r="BK28" s="56" t="n">
        <v>8</v>
      </c>
      <c r="BL28" s="51" t="n">
        <v>4</v>
      </c>
      <c r="BM28" s="52" t="n">
        <f aca="false">AVERAGEA(BL28,BN28)</f>
        <v>8</v>
      </c>
      <c r="BN28" s="53" t="n">
        <v>12</v>
      </c>
    </row>
    <row r="29" customFormat="false" ht="15" hidden="false" customHeight="true" outlineLevel="0" collapsed="false">
      <c r="B29" s="43"/>
      <c r="C29" s="88" t="s">
        <v>51</v>
      </c>
      <c r="D29" s="82" t="s">
        <v>42</v>
      </c>
      <c r="E29" s="46" t="s">
        <v>43</v>
      </c>
      <c r="F29" s="83"/>
      <c r="G29" s="84" t="n">
        <v>42.4438920890965</v>
      </c>
      <c r="H29" s="73" t="n">
        <f aca="false">AVERAGE(G29,I29)</f>
        <v>43.7103512831725</v>
      </c>
      <c r="I29" s="85" t="n">
        <v>44.9768104772485</v>
      </c>
      <c r="J29" s="51" t="s">
        <v>44</v>
      </c>
      <c r="K29" s="52"/>
      <c r="L29" s="53" t="s">
        <v>44</v>
      </c>
      <c r="M29" s="54" t="s">
        <v>44</v>
      </c>
      <c r="N29" s="55"/>
      <c r="O29" s="56" t="s">
        <v>44</v>
      </c>
      <c r="P29" s="54" t="s">
        <v>44</v>
      </c>
      <c r="Q29" s="55"/>
      <c r="R29" s="55" t="s">
        <v>44</v>
      </c>
      <c r="S29" s="51" t="n">
        <v>82</v>
      </c>
      <c r="T29" s="52" t="n">
        <f aca="false">AVERAGEA(U29, S29)</f>
        <v>86.6</v>
      </c>
      <c r="U29" s="53" t="n">
        <v>91.2</v>
      </c>
      <c r="V29" s="80" t="n">
        <v>50</v>
      </c>
      <c r="W29" s="55" t="n">
        <f aca="false">AVERAGEA(X29, V29)</f>
        <v>35</v>
      </c>
      <c r="X29" s="56" t="n">
        <v>20</v>
      </c>
      <c r="Y29" s="51" t="n">
        <v>0.66</v>
      </c>
      <c r="Z29" s="52" t="n">
        <f aca="false">AVERAGEA(AA29, Y29)</f>
        <v>4.33</v>
      </c>
      <c r="AA29" s="59" t="n">
        <v>8</v>
      </c>
      <c r="AB29" s="80" t="n">
        <v>0.66</v>
      </c>
      <c r="AC29" s="55" t="n">
        <f aca="false">AVERAGEA(AD29, AB29)</f>
        <v>3.33</v>
      </c>
      <c r="AD29" s="56" t="n">
        <v>6</v>
      </c>
      <c r="AE29" s="51" t="n">
        <v>3</v>
      </c>
      <c r="AF29" s="52" t="n">
        <f aca="false">AVERAGEA(AG29, AE29)</f>
        <v>6.5</v>
      </c>
      <c r="AG29" s="53" t="n">
        <v>10</v>
      </c>
      <c r="AH29" s="86" t="n">
        <v>1.5</v>
      </c>
      <c r="AI29" s="79" t="n">
        <f aca="false">AVERAGEA(AJ29, AH29)</f>
        <v>2.25</v>
      </c>
      <c r="AJ29" s="53" t="n">
        <v>3</v>
      </c>
      <c r="AK29" s="75" t="n">
        <v>715</v>
      </c>
      <c r="AL29" s="55" t="n">
        <f aca="false">AVERAGEA(AM29, AK29)</f>
        <v>1530.5</v>
      </c>
      <c r="AM29" s="89" t="n">
        <v>2346</v>
      </c>
      <c r="AN29" s="51" t="n">
        <v>15.4</v>
      </c>
      <c r="AO29" s="52" t="n">
        <f aca="false">AVERAGEA(AP29, AN29)</f>
        <v>37.2</v>
      </c>
      <c r="AP29" s="53" t="n">
        <v>59</v>
      </c>
      <c r="AQ29" s="80" t="n">
        <v>3</v>
      </c>
      <c r="AR29" s="55" t="n">
        <f aca="false">AVERAGEA(AS29, AQ29)</f>
        <v>4.315</v>
      </c>
      <c r="AS29" s="56" t="n">
        <v>5.63</v>
      </c>
      <c r="AT29" s="51" t="n">
        <v>3.56</v>
      </c>
      <c r="AU29" s="52" t="n">
        <f aca="false">AVERAGE(AT29,AV29)</f>
        <v>22.03</v>
      </c>
      <c r="AV29" s="53" t="n">
        <v>40.5</v>
      </c>
      <c r="AW29" s="81" t="n">
        <v>5.7</v>
      </c>
      <c r="AX29" s="55" t="n">
        <f aca="false">AVERAGE(AW29,AY29)</f>
        <v>26.85</v>
      </c>
      <c r="AY29" s="56" t="n">
        <v>48</v>
      </c>
      <c r="AZ29" s="51" t="n">
        <v>6.2</v>
      </c>
      <c r="BA29" s="52" t="n">
        <f aca="false">AVERAGE(AZ29,BB29)</f>
        <v>42.1</v>
      </c>
      <c r="BB29" s="53" t="n">
        <v>78</v>
      </c>
      <c r="BC29" s="80" t="n">
        <v>1.8</v>
      </c>
      <c r="BD29" s="55" t="n">
        <f aca="false">AVERAGEA(BE29, BC29)</f>
        <v>1.8</v>
      </c>
      <c r="BE29" s="56" t="n">
        <v>1.8</v>
      </c>
      <c r="BF29" s="51" t="n">
        <v>60</v>
      </c>
      <c r="BG29" s="52" t="n">
        <f aca="false">AVERAGEA(BF29,BH29)</f>
        <v>180</v>
      </c>
      <c r="BH29" s="53" t="n">
        <v>300</v>
      </c>
      <c r="BI29" s="81" t="n">
        <v>2</v>
      </c>
      <c r="BJ29" s="55" t="n">
        <f aca="false">AVERAGEA(BI29,BK29)</f>
        <v>5</v>
      </c>
      <c r="BK29" s="56" t="n">
        <v>8</v>
      </c>
      <c r="BL29" s="51" t="n">
        <v>4</v>
      </c>
      <c r="BM29" s="52" t="n">
        <f aca="false">AVERAGEA(BL29,BN29)</f>
        <v>8</v>
      </c>
      <c r="BN29" s="53" t="n">
        <v>12</v>
      </c>
    </row>
    <row r="30" customFormat="false" ht="15" hidden="false" customHeight="true" outlineLevel="0" collapsed="false">
      <c r="B30" s="43"/>
      <c r="C30" s="88"/>
      <c r="D30" s="82"/>
      <c r="E30" s="46" t="s">
        <v>45</v>
      </c>
      <c r="F30" s="83"/>
      <c r="G30" s="84" t="n">
        <v>39.380298698555</v>
      </c>
      <c r="H30" s="73" t="n">
        <f aca="false">AVERAGE(G30,I30)</f>
        <v>40.9081861643812</v>
      </c>
      <c r="I30" s="85" t="n">
        <v>42.4360736302074</v>
      </c>
      <c r="J30" s="51" t="s">
        <v>44</v>
      </c>
      <c r="K30" s="52"/>
      <c r="L30" s="53" t="s">
        <v>44</v>
      </c>
      <c r="M30" s="54" t="s">
        <v>44</v>
      </c>
      <c r="N30" s="55"/>
      <c r="O30" s="56" t="s">
        <v>44</v>
      </c>
      <c r="P30" s="54" t="s">
        <v>44</v>
      </c>
      <c r="Q30" s="55"/>
      <c r="R30" s="55" t="s">
        <v>44</v>
      </c>
      <c r="S30" s="51" t="n">
        <v>82</v>
      </c>
      <c r="T30" s="52" t="n">
        <f aca="false">AVERAGEA(U30, S30)</f>
        <v>86.6</v>
      </c>
      <c r="U30" s="53" t="n">
        <v>91.2</v>
      </c>
      <c r="V30" s="80" t="n">
        <v>50</v>
      </c>
      <c r="W30" s="55" t="n">
        <f aca="false">AVERAGEA(X30, V30)</f>
        <v>35</v>
      </c>
      <c r="X30" s="56" t="n">
        <v>20</v>
      </c>
      <c r="Y30" s="51" t="n">
        <v>0.66</v>
      </c>
      <c r="Z30" s="52" t="n">
        <f aca="false">AVERAGEA(AA30, Y30)</f>
        <v>4.33</v>
      </c>
      <c r="AA30" s="59" t="n">
        <v>8</v>
      </c>
      <c r="AB30" s="80" t="n">
        <v>0.66</v>
      </c>
      <c r="AC30" s="55" t="n">
        <f aca="false">AVERAGEA(AD30, AB30)</f>
        <v>3.33</v>
      </c>
      <c r="AD30" s="56" t="n">
        <v>6</v>
      </c>
      <c r="AE30" s="51" t="n">
        <v>3</v>
      </c>
      <c r="AF30" s="52" t="n">
        <f aca="false">AVERAGEA(AG30, AE30)</f>
        <v>6.5</v>
      </c>
      <c r="AG30" s="53" t="n">
        <v>10</v>
      </c>
      <c r="AH30" s="86" t="n">
        <v>1.5</v>
      </c>
      <c r="AI30" s="79" t="n">
        <f aca="false">AVERAGEA(AJ30, AH30)</f>
        <v>2.25</v>
      </c>
      <c r="AJ30" s="53" t="n">
        <v>3</v>
      </c>
      <c r="AK30" s="75" t="n">
        <v>715</v>
      </c>
      <c r="AL30" s="55" t="n">
        <f aca="false">AVERAGEA(AM30, AK30)</f>
        <v>1530.5</v>
      </c>
      <c r="AM30" s="89" t="n">
        <v>2346</v>
      </c>
      <c r="AN30" s="51" t="n">
        <v>15.4</v>
      </c>
      <c r="AO30" s="52" t="n">
        <f aca="false">AVERAGEA(AP30, AN30)</f>
        <v>37.2</v>
      </c>
      <c r="AP30" s="53" t="n">
        <v>59</v>
      </c>
      <c r="AQ30" s="80" t="n">
        <v>3</v>
      </c>
      <c r="AR30" s="55" t="n">
        <f aca="false">AVERAGEA(AS30, AQ30)</f>
        <v>4.315</v>
      </c>
      <c r="AS30" s="56" t="n">
        <v>5.63</v>
      </c>
      <c r="AT30" s="51" t="n">
        <v>3.56</v>
      </c>
      <c r="AU30" s="52" t="n">
        <f aca="false">AVERAGE(AT30,AV30)</f>
        <v>22.03</v>
      </c>
      <c r="AV30" s="53" t="n">
        <v>40.5</v>
      </c>
      <c r="AW30" s="81" t="n">
        <v>5.7</v>
      </c>
      <c r="AX30" s="55" t="n">
        <f aca="false">AVERAGE(AW30,AY30)</f>
        <v>26.85</v>
      </c>
      <c r="AY30" s="56" t="n">
        <v>48</v>
      </c>
      <c r="AZ30" s="51" t="n">
        <v>6.2</v>
      </c>
      <c r="BA30" s="52" t="n">
        <f aca="false">AVERAGE(AZ30,BB30)</f>
        <v>42.1</v>
      </c>
      <c r="BB30" s="53" t="n">
        <v>78</v>
      </c>
      <c r="BC30" s="80" t="n">
        <v>1.8</v>
      </c>
      <c r="BD30" s="55" t="n">
        <f aca="false">AVERAGEA(BE30, BC30)</f>
        <v>1.8</v>
      </c>
      <c r="BE30" s="56" t="n">
        <v>1.8</v>
      </c>
      <c r="BF30" s="51" t="n">
        <v>60</v>
      </c>
      <c r="BG30" s="52" t="n">
        <f aca="false">AVERAGEA(BF30,BH30)</f>
        <v>180</v>
      </c>
      <c r="BH30" s="53" t="n">
        <v>300</v>
      </c>
      <c r="BI30" s="81" t="n">
        <v>2</v>
      </c>
      <c r="BJ30" s="55" t="n">
        <f aca="false">AVERAGEA(BI30,BK30)</f>
        <v>5</v>
      </c>
      <c r="BK30" s="56" t="n">
        <v>8</v>
      </c>
      <c r="BL30" s="51" t="n">
        <v>4</v>
      </c>
      <c r="BM30" s="52" t="n">
        <f aca="false">AVERAGEA(BL30,BN30)</f>
        <v>8</v>
      </c>
      <c r="BN30" s="53" t="n">
        <v>12</v>
      </c>
    </row>
    <row r="31" customFormat="false" ht="15" hidden="false" customHeight="true" outlineLevel="0" collapsed="false">
      <c r="B31" s="43"/>
      <c r="C31" s="88"/>
      <c r="D31" s="82"/>
      <c r="E31" s="46" t="s">
        <v>46</v>
      </c>
      <c r="F31" s="83"/>
      <c r="G31" s="84" t="n">
        <v>30.023210739656</v>
      </c>
      <c r="H31" s="73" t="n">
        <f aca="false">AVERAGE(G31,I31)</f>
        <v>34.6913082831814</v>
      </c>
      <c r="I31" s="85" t="n">
        <v>39.3594058267068</v>
      </c>
      <c r="J31" s="51" t="s">
        <v>44</v>
      </c>
      <c r="K31" s="52"/>
      <c r="L31" s="53" t="s">
        <v>44</v>
      </c>
      <c r="M31" s="54" t="s">
        <v>44</v>
      </c>
      <c r="N31" s="55"/>
      <c r="O31" s="56" t="s">
        <v>44</v>
      </c>
      <c r="P31" s="54" t="s">
        <v>44</v>
      </c>
      <c r="Q31" s="55"/>
      <c r="R31" s="55" t="s">
        <v>44</v>
      </c>
      <c r="S31" s="51" t="n">
        <v>82</v>
      </c>
      <c r="T31" s="52" t="n">
        <f aca="false">AVERAGEA(U31, S31)</f>
        <v>86.6</v>
      </c>
      <c r="U31" s="53" t="n">
        <v>91.2</v>
      </c>
      <c r="V31" s="80" t="n">
        <v>50</v>
      </c>
      <c r="W31" s="55" t="n">
        <f aca="false">AVERAGEA(X31, V31)</f>
        <v>35</v>
      </c>
      <c r="X31" s="56" t="n">
        <v>20</v>
      </c>
      <c r="Y31" s="51" t="n">
        <v>0.66</v>
      </c>
      <c r="Z31" s="52" t="n">
        <f aca="false">AVERAGEA(AA31, Y31)</f>
        <v>4.33</v>
      </c>
      <c r="AA31" s="59" t="n">
        <v>8</v>
      </c>
      <c r="AB31" s="80" t="n">
        <v>0.66</v>
      </c>
      <c r="AC31" s="55" t="n">
        <f aca="false">AVERAGEA(AD31, AB31)</f>
        <v>3.33</v>
      </c>
      <c r="AD31" s="56" t="n">
        <v>6</v>
      </c>
      <c r="AE31" s="51" t="n">
        <v>3</v>
      </c>
      <c r="AF31" s="52" t="n">
        <f aca="false">AVERAGEA(AG31, AE31)</f>
        <v>6.5</v>
      </c>
      <c r="AG31" s="53" t="n">
        <v>10</v>
      </c>
      <c r="AH31" s="86" t="n">
        <v>1.5</v>
      </c>
      <c r="AI31" s="79" t="n">
        <f aca="false">AVERAGEA(AJ31, AH31)</f>
        <v>2.25</v>
      </c>
      <c r="AJ31" s="53" t="n">
        <v>3</v>
      </c>
      <c r="AK31" s="75" t="n">
        <v>715</v>
      </c>
      <c r="AL31" s="55" t="n">
        <f aca="false">AVERAGEA(AM31, AK31)</f>
        <v>1530.5</v>
      </c>
      <c r="AM31" s="89" t="n">
        <v>2346</v>
      </c>
      <c r="AN31" s="51" t="n">
        <v>15.4</v>
      </c>
      <c r="AO31" s="52" t="n">
        <f aca="false">AVERAGEA(AP31, AN31)</f>
        <v>37.2</v>
      </c>
      <c r="AP31" s="53" t="n">
        <v>59</v>
      </c>
      <c r="AQ31" s="80" t="n">
        <v>3</v>
      </c>
      <c r="AR31" s="55" t="n">
        <f aca="false">AVERAGEA(AS31, AQ31)</f>
        <v>4.315</v>
      </c>
      <c r="AS31" s="56" t="n">
        <v>5.63</v>
      </c>
      <c r="AT31" s="51" t="n">
        <v>3.56</v>
      </c>
      <c r="AU31" s="52" t="n">
        <f aca="false">AVERAGE(AT31,AV31)</f>
        <v>22.03</v>
      </c>
      <c r="AV31" s="53" t="n">
        <v>40.5</v>
      </c>
      <c r="AW31" s="81" t="n">
        <v>5.7</v>
      </c>
      <c r="AX31" s="55" t="n">
        <f aca="false">AVERAGE(AW31,AY31)</f>
        <v>26.85</v>
      </c>
      <c r="AY31" s="56" t="n">
        <v>48</v>
      </c>
      <c r="AZ31" s="51" t="n">
        <v>6.2</v>
      </c>
      <c r="BA31" s="52" t="n">
        <f aca="false">AVERAGE(AZ31,BB31)</f>
        <v>42.1</v>
      </c>
      <c r="BB31" s="53" t="n">
        <v>78</v>
      </c>
      <c r="BC31" s="80" t="n">
        <v>1.8</v>
      </c>
      <c r="BD31" s="55" t="n">
        <f aca="false">AVERAGEA(BE31, BC31)</f>
        <v>1.8</v>
      </c>
      <c r="BE31" s="56" t="n">
        <v>1.8</v>
      </c>
      <c r="BF31" s="51" t="n">
        <v>60</v>
      </c>
      <c r="BG31" s="52" t="n">
        <f aca="false">AVERAGEA(BF31,BH31)</f>
        <v>180</v>
      </c>
      <c r="BH31" s="53" t="n">
        <v>300</v>
      </c>
      <c r="BI31" s="81" t="n">
        <v>2</v>
      </c>
      <c r="BJ31" s="55" t="n">
        <f aca="false">AVERAGEA(BI31,BK31)</f>
        <v>5</v>
      </c>
      <c r="BK31" s="56" t="n">
        <v>8</v>
      </c>
      <c r="BL31" s="51" t="n">
        <v>4</v>
      </c>
      <c r="BM31" s="52" t="n">
        <f aca="false">AVERAGEA(BL31,BN31)</f>
        <v>8</v>
      </c>
      <c r="BN31" s="53" t="n">
        <v>12</v>
      </c>
    </row>
    <row r="32" customFormat="false" ht="15" hidden="false" customHeight="true" outlineLevel="0" collapsed="false">
      <c r="B32" s="43"/>
      <c r="C32" s="88"/>
      <c r="D32" s="82"/>
      <c r="E32" s="46" t="s">
        <v>47</v>
      </c>
      <c r="F32" s="83"/>
      <c r="G32" s="84" t="n">
        <v>23.7297161712986</v>
      </c>
      <c r="H32" s="73" t="n">
        <f aca="false">AVERAGE(G32,I32)</f>
        <v>26.8555002367293</v>
      </c>
      <c r="I32" s="85" t="n">
        <v>29.98128430216</v>
      </c>
      <c r="J32" s="51" t="s">
        <v>44</v>
      </c>
      <c r="K32" s="52"/>
      <c r="L32" s="53" t="s">
        <v>44</v>
      </c>
      <c r="M32" s="54" t="s">
        <v>44</v>
      </c>
      <c r="N32" s="55"/>
      <c r="O32" s="56" t="s">
        <v>44</v>
      </c>
      <c r="P32" s="54" t="s">
        <v>44</v>
      </c>
      <c r="Q32" s="55"/>
      <c r="R32" s="55" t="s">
        <v>44</v>
      </c>
      <c r="S32" s="51" t="n">
        <v>82</v>
      </c>
      <c r="T32" s="52" t="n">
        <f aca="false">AVERAGEA(U32, S32)</f>
        <v>86.6</v>
      </c>
      <c r="U32" s="53" t="n">
        <v>91.2</v>
      </c>
      <c r="V32" s="80" t="n">
        <v>50</v>
      </c>
      <c r="W32" s="55" t="n">
        <f aca="false">AVERAGEA(X32, V32)</f>
        <v>35</v>
      </c>
      <c r="X32" s="56" t="n">
        <v>20</v>
      </c>
      <c r="Y32" s="51" t="n">
        <v>0.66</v>
      </c>
      <c r="Z32" s="52" t="n">
        <f aca="false">AVERAGEA(AA32, Y32)</f>
        <v>4.33</v>
      </c>
      <c r="AA32" s="59" t="n">
        <v>8</v>
      </c>
      <c r="AB32" s="80" t="n">
        <v>0.66</v>
      </c>
      <c r="AC32" s="55" t="n">
        <f aca="false">AVERAGEA(AD32, AB32)</f>
        <v>3.33</v>
      </c>
      <c r="AD32" s="56" t="n">
        <v>6</v>
      </c>
      <c r="AE32" s="51" t="n">
        <v>3</v>
      </c>
      <c r="AF32" s="52" t="n">
        <f aca="false">AVERAGEA(AG32, AE32)</f>
        <v>6.5</v>
      </c>
      <c r="AG32" s="53" t="n">
        <v>10</v>
      </c>
      <c r="AH32" s="86" t="n">
        <v>1.5</v>
      </c>
      <c r="AI32" s="79" t="n">
        <f aca="false">AVERAGEA(AJ32, AH32)</f>
        <v>2.25</v>
      </c>
      <c r="AJ32" s="53" t="n">
        <v>3</v>
      </c>
      <c r="AK32" s="75" t="n">
        <v>715</v>
      </c>
      <c r="AL32" s="55" t="n">
        <f aca="false">AVERAGEA(AM32, AK32)</f>
        <v>1530.5</v>
      </c>
      <c r="AM32" s="89" t="n">
        <v>2346</v>
      </c>
      <c r="AN32" s="51" t="n">
        <v>15.4</v>
      </c>
      <c r="AO32" s="52" t="n">
        <f aca="false">AVERAGEA(AP32, AN32)</f>
        <v>37.2</v>
      </c>
      <c r="AP32" s="53" t="n">
        <v>59</v>
      </c>
      <c r="AQ32" s="80" t="n">
        <v>3</v>
      </c>
      <c r="AR32" s="55" t="n">
        <f aca="false">AVERAGEA(AS32, AQ32)</f>
        <v>4.315</v>
      </c>
      <c r="AS32" s="56" t="n">
        <v>5.63</v>
      </c>
      <c r="AT32" s="51" t="n">
        <v>3.56</v>
      </c>
      <c r="AU32" s="52" t="n">
        <f aca="false">AVERAGE(AT32,AV32)</f>
        <v>22.03</v>
      </c>
      <c r="AV32" s="53" t="n">
        <v>40.5</v>
      </c>
      <c r="AW32" s="81" t="n">
        <v>5.7</v>
      </c>
      <c r="AX32" s="55" t="n">
        <f aca="false">AVERAGE(AW32,AY32)</f>
        <v>26.85</v>
      </c>
      <c r="AY32" s="56" t="n">
        <v>48</v>
      </c>
      <c r="AZ32" s="51" t="n">
        <v>6.2</v>
      </c>
      <c r="BA32" s="52" t="n">
        <f aca="false">AVERAGE(AZ32,BB32)</f>
        <v>42.1</v>
      </c>
      <c r="BB32" s="53" t="n">
        <v>78</v>
      </c>
      <c r="BC32" s="80" t="n">
        <v>1.8</v>
      </c>
      <c r="BD32" s="55" t="n">
        <f aca="false">AVERAGEA(BE32, BC32)</f>
        <v>1.8</v>
      </c>
      <c r="BE32" s="56" t="n">
        <v>1.8</v>
      </c>
      <c r="BF32" s="51" t="n">
        <v>60</v>
      </c>
      <c r="BG32" s="52" t="n">
        <f aca="false">AVERAGEA(BF32,BH32)</f>
        <v>180</v>
      </c>
      <c r="BH32" s="53" t="n">
        <v>300</v>
      </c>
      <c r="BI32" s="81" t="n">
        <v>2</v>
      </c>
      <c r="BJ32" s="55" t="n">
        <f aca="false">AVERAGEA(BI32,BK32)</f>
        <v>5</v>
      </c>
      <c r="BK32" s="56" t="n">
        <v>8</v>
      </c>
      <c r="BL32" s="51" t="n">
        <v>4</v>
      </c>
      <c r="BM32" s="52" t="n">
        <f aca="false">AVERAGEA(BL32,BN32)</f>
        <v>8</v>
      </c>
      <c r="BN32" s="53" t="n">
        <v>12</v>
      </c>
    </row>
    <row r="33" customFormat="false" ht="15" hidden="false" customHeight="true" outlineLevel="0" collapsed="false">
      <c r="B33" s="43"/>
      <c r="C33" s="88"/>
      <c r="D33" s="90" t="s">
        <v>52</v>
      </c>
      <c r="E33" s="46" t="s">
        <v>43</v>
      </c>
      <c r="F33" s="83"/>
      <c r="G33" s="84" t="n">
        <v>41.9217691924903</v>
      </c>
      <c r="H33" s="73" t="n">
        <f aca="false">AVERAGE(G33,I33)</f>
        <v>43.1726490579445</v>
      </c>
      <c r="I33" s="85" t="n">
        <v>44.4235289233987</v>
      </c>
      <c r="J33" s="51" t="s">
        <v>44</v>
      </c>
      <c r="K33" s="52"/>
      <c r="L33" s="53" t="s">
        <v>44</v>
      </c>
      <c r="M33" s="54" t="s">
        <v>44</v>
      </c>
      <c r="N33" s="55"/>
      <c r="O33" s="56" t="s">
        <v>44</v>
      </c>
      <c r="P33" s="54" t="s">
        <v>44</v>
      </c>
      <c r="Q33" s="55"/>
      <c r="R33" s="55" t="s">
        <v>44</v>
      </c>
      <c r="S33" s="51" t="n">
        <v>82</v>
      </c>
      <c r="T33" s="52" t="n">
        <f aca="false">AVERAGEA(U33, S33)</f>
        <v>86.6</v>
      </c>
      <c r="U33" s="53" t="n">
        <v>91.2</v>
      </c>
      <c r="V33" s="80" t="n">
        <v>50</v>
      </c>
      <c r="W33" s="55" t="n">
        <f aca="false">AVERAGEA(X33, V33)</f>
        <v>35</v>
      </c>
      <c r="X33" s="56" t="n">
        <v>20</v>
      </c>
      <c r="Y33" s="51" t="n">
        <v>0.66</v>
      </c>
      <c r="Z33" s="52" t="n">
        <f aca="false">AVERAGEA(AA33, Y33)</f>
        <v>4.33</v>
      </c>
      <c r="AA33" s="59" t="n">
        <v>8</v>
      </c>
      <c r="AB33" s="80" t="n">
        <v>0.66</v>
      </c>
      <c r="AC33" s="55" t="n">
        <f aca="false">AVERAGEA(AD33, AB33)</f>
        <v>3.33</v>
      </c>
      <c r="AD33" s="56" t="n">
        <v>6</v>
      </c>
      <c r="AE33" s="51" t="n">
        <v>3</v>
      </c>
      <c r="AF33" s="52" t="n">
        <f aca="false">AVERAGEA(AG33, AE33)</f>
        <v>6.5</v>
      </c>
      <c r="AG33" s="53" t="n">
        <v>10</v>
      </c>
      <c r="AH33" s="86" t="n">
        <v>1.5</v>
      </c>
      <c r="AI33" s="79" t="n">
        <f aca="false">AVERAGEA(AJ33, AH33)</f>
        <v>2.25</v>
      </c>
      <c r="AJ33" s="53" t="n">
        <v>3</v>
      </c>
      <c r="AK33" s="75" t="n">
        <v>715</v>
      </c>
      <c r="AL33" s="55" t="n">
        <f aca="false">AVERAGEA(AM33, AK33)</f>
        <v>1530.5</v>
      </c>
      <c r="AM33" s="89" t="n">
        <v>2346</v>
      </c>
      <c r="AN33" s="51" t="n">
        <v>15.4</v>
      </c>
      <c r="AO33" s="52" t="n">
        <f aca="false">AVERAGEA(AP33, AN33)</f>
        <v>37.2</v>
      </c>
      <c r="AP33" s="53" t="n">
        <v>59</v>
      </c>
      <c r="AQ33" s="80" t="n">
        <v>3</v>
      </c>
      <c r="AR33" s="55" t="n">
        <f aca="false">AVERAGEA(AS33, AQ33)</f>
        <v>4.315</v>
      </c>
      <c r="AS33" s="56" t="n">
        <v>5.63</v>
      </c>
      <c r="AT33" s="51" t="n">
        <v>3.56</v>
      </c>
      <c r="AU33" s="52" t="n">
        <f aca="false">AVERAGE(AT33,AV33)</f>
        <v>22.03</v>
      </c>
      <c r="AV33" s="53" t="n">
        <v>40.5</v>
      </c>
      <c r="AW33" s="81" t="n">
        <v>5.7</v>
      </c>
      <c r="AX33" s="55" t="n">
        <f aca="false">AVERAGE(AW33,AY33)</f>
        <v>26.85</v>
      </c>
      <c r="AY33" s="56" t="n">
        <v>48</v>
      </c>
      <c r="AZ33" s="51" t="n">
        <v>6.2</v>
      </c>
      <c r="BA33" s="52" t="n">
        <f aca="false">AVERAGE(AZ33,BB33)</f>
        <v>42.1</v>
      </c>
      <c r="BB33" s="53" t="n">
        <v>78</v>
      </c>
      <c r="BC33" s="80" t="n">
        <v>1.8</v>
      </c>
      <c r="BD33" s="55" t="n">
        <f aca="false">AVERAGEA(BE33, BC33)</f>
        <v>1.8</v>
      </c>
      <c r="BE33" s="56" t="n">
        <v>1.8</v>
      </c>
      <c r="BF33" s="51" t="n">
        <v>60</v>
      </c>
      <c r="BG33" s="52" t="n">
        <f aca="false">AVERAGEA(BF33,BH33)</f>
        <v>180</v>
      </c>
      <c r="BH33" s="53" t="n">
        <v>300</v>
      </c>
      <c r="BI33" s="81" t="n">
        <v>2</v>
      </c>
      <c r="BJ33" s="55" t="n">
        <f aca="false">AVERAGEA(BI33,BK33)</f>
        <v>5</v>
      </c>
      <c r="BK33" s="56" t="n">
        <v>8</v>
      </c>
      <c r="BL33" s="51" t="n">
        <v>4</v>
      </c>
      <c r="BM33" s="52" t="n">
        <f aca="false">AVERAGEA(BL33,BN33)</f>
        <v>8</v>
      </c>
      <c r="BN33" s="53" t="n">
        <v>12</v>
      </c>
    </row>
    <row r="34" customFormat="false" ht="15" hidden="false" customHeight="true" outlineLevel="0" collapsed="false">
      <c r="B34" s="43"/>
      <c r="C34" s="88"/>
      <c r="D34" s="90"/>
      <c r="E34" s="46" t="s">
        <v>45</v>
      </c>
      <c r="F34" s="83"/>
      <c r="G34" s="84" t="n">
        <v>38.8958625497083</v>
      </c>
      <c r="H34" s="73" t="n">
        <f aca="false">AVERAGE(G34,I34)</f>
        <v>40.4049547309817</v>
      </c>
      <c r="I34" s="85" t="n">
        <v>41.914046912255</v>
      </c>
      <c r="J34" s="51" t="s">
        <v>44</v>
      </c>
      <c r="K34" s="52"/>
      <c r="L34" s="53" t="s">
        <v>44</v>
      </c>
      <c r="M34" s="54" t="s">
        <v>44</v>
      </c>
      <c r="N34" s="55"/>
      <c r="O34" s="56" t="s">
        <v>44</v>
      </c>
      <c r="P34" s="54" t="s">
        <v>44</v>
      </c>
      <c r="Q34" s="55"/>
      <c r="R34" s="55" t="s">
        <v>44</v>
      </c>
      <c r="S34" s="51" t="n">
        <v>82</v>
      </c>
      <c r="T34" s="52" t="n">
        <f aca="false">AVERAGEA(U34, S34)</f>
        <v>86.6</v>
      </c>
      <c r="U34" s="53" t="n">
        <v>91.2</v>
      </c>
      <c r="V34" s="80" t="n">
        <v>50</v>
      </c>
      <c r="W34" s="55" t="n">
        <f aca="false">AVERAGEA(X34, V34)</f>
        <v>35</v>
      </c>
      <c r="X34" s="56" t="n">
        <v>20</v>
      </c>
      <c r="Y34" s="51" t="n">
        <v>0.66</v>
      </c>
      <c r="Z34" s="52" t="n">
        <f aca="false">AVERAGEA(AA34, Y34)</f>
        <v>4.33</v>
      </c>
      <c r="AA34" s="59" t="n">
        <v>8</v>
      </c>
      <c r="AB34" s="80" t="n">
        <v>0.66</v>
      </c>
      <c r="AC34" s="55" t="n">
        <f aca="false">AVERAGEA(AD34, AB34)</f>
        <v>3.33</v>
      </c>
      <c r="AD34" s="56" t="n">
        <v>6</v>
      </c>
      <c r="AE34" s="51" t="n">
        <v>3</v>
      </c>
      <c r="AF34" s="52" t="n">
        <f aca="false">AVERAGEA(AG34, AE34)</f>
        <v>6.5</v>
      </c>
      <c r="AG34" s="53" t="n">
        <v>10</v>
      </c>
      <c r="AH34" s="86" t="n">
        <v>1.5</v>
      </c>
      <c r="AI34" s="79" t="n">
        <f aca="false">AVERAGEA(AJ34, AH34)</f>
        <v>2.25</v>
      </c>
      <c r="AJ34" s="53" t="n">
        <v>3</v>
      </c>
      <c r="AK34" s="75" t="n">
        <v>715</v>
      </c>
      <c r="AL34" s="55" t="n">
        <f aca="false">AVERAGEA(AM34, AK34)</f>
        <v>1530.5</v>
      </c>
      <c r="AM34" s="89" t="n">
        <v>2346</v>
      </c>
      <c r="AN34" s="51" t="n">
        <v>15.4</v>
      </c>
      <c r="AO34" s="52" t="n">
        <f aca="false">AVERAGEA(AP34, AN34)</f>
        <v>37.2</v>
      </c>
      <c r="AP34" s="53" t="n">
        <v>59</v>
      </c>
      <c r="AQ34" s="80" t="n">
        <v>3</v>
      </c>
      <c r="AR34" s="55" t="n">
        <f aca="false">AVERAGEA(AS34, AQ34)</f>
        <v>4.315</v>
      </c>
      <c r="AS34" s="56" t="n">
        <v>5.63</v>
      </c>
      <c r="AT34" s="51" t="n">
        <v>3.56</v>
      </c>
      <c r="AU34" s="52" t="n">
        <f aca="false">AVERAGE(AT34,AV34)</f>
        <v>22.03</v>
      </c>
      <c r="AV34" s="53" t="n">
        <v>40.5</v>
      </c>
      <c r="AW34" s="81" t="n">
        <v>5.7</v>
      </c>
      <c r="AX34" s="55" t="n">
        <f aca="false">AVERAGE(AW34,AY34)</f>
        <v>26.85</v>
      </c>
      <c r="AY34" s="56" t="n">
        <v>48</v>
      </c>
      <c r="AZ34" s="51" t="n">
        <v>6.2</v>
      </c>
      <c r="BA34" s="52" t="n">
        <f aca="false">AVERAGE(AZ34,BB34)</f>
        <v>42.1</v>
      </c>
      <c r="BB34" s="53" t="n">
        <v>78</v>
      </c>
      <c r="BC34" s="80" t="n">
        <v>1.8</v>
      </c>
      <c r="BD34" s="55" t="n">
        <f aca="false">AVERAGEA(BE34, BC34)</f>
        <v>1.8</v>
      </c>
      <c r="BE34" s="56" t="n">
        <v>1.8</v>
      </c>
      <c r="BF34" s="51" t="n">
        <v>60</v>
      </c>
      <c r="BG34" s="52" t="n">
        <f aca="false">AVERAGEA(BF34,BH34)</f>
        <v>180</v>
      </c>
      <c r="BH34" s="53" t="n">
        <v>300</v>
      </c>
      <c r="BI34" s="81" t="n">
        <v>2</v>
      </c>
      <c r="BJ34" s="55" t="n">
        <f aca="false">AVERAGEA(BI34,BK34)</f>
        <v>5</v>
      </c>
      <c r="BK34" s="56" t="n">
        <v>8</v>
      </c>
      <c r="BL34" s="51" t="n">
        <v>4</v>
      </c>
      <c r="BM34" s="52" t="n">
        <f aca="false">AVERAGEA(BL34,BN34)</f>
        <v>8</v>
      </c>
      <c r="BN34" s="53" t="n">
        <v>12</v>
      </c>
    </row>
    <row r="35" customFormat="false" ht="15" hidden="false" customHeight="true" outlineLevel="0" collapsed="false">
      <c r="B35" s="43"/>
      <c r="C35" s="88"/>
      <c r="D35" s="90"/>
      <c r="E35" s="46" t="s">
        <v>46</v>
      </c>
      <c r="F35" s="83"/>
      <c r="G35" s="84" t="n">
        <v>29.6538806668177</v>
      </c>
      <c r="H35" s="73" t="n">
        <f aca="false">AVERAGE(G35,I35)</f>
        <v>34.2645536790124</v>
      </c>
      <c r="I35" s="85" t="n">
        <v>38.8752266912071</v>
      </c>
      <c r="J35" s="51" t="s">
        <v>44</v>
      </c>
      <c r="K35" s="52"/>
      <c r="L35" s="53" t="s">
        <v>44</v>
      </c>
      <c r="M35" s="54" t="s">
        <v>44</v>
      </c>
      <c r="N35" s="55"/>
      <c r="O35" s="56" t="s">
        <v>44</v>
      </c>
      <c r="P35" s="54" t="s">
        <v>44</v>
      </c>
      <c r="Q35" s="55"/>
      <c r="R35" s="55" t="s">
        <v>44</v>
      </c>
      <c r="S35" s="51" t="n">
        <v>82</v>
      </c>
      <c r="T35" s="52" t="n">
        <f aca="false">AVERAGEA(U35, S35)</f>
        <v>86.6</v>
      </c>
      <c r="U35" s="53" t="n">
        <v>91.2</v>
      </c>
      <c r="V35" s="80" t="n">
        <v>50</v>
      </c>
      <c r="W35" s="55" t="n">
        <f aca="false">AVERAGEA(X35, V35)</f>
        <v>35</v>
      </c>
      <c r="X35" s="56" t="n">
        <v>20</v>
      </c>
      <c r="Y35" s="51" t="n">
        <v>0.66</v>
      </c>
      <c r="Z35" s="52" t="n">
        <f aca="false">AVERAGEA(AA35, Y35)</f>
        <v>4.33</v>
      </c>
      <c r="AA35" s="59" t="n">
        <v>8</v>
      </c>
      <c r="AB35" s="80" t="n">
        <v>0.66</v>
      </c>
      <c r="AC35" s="55" t="n">
        <f aca="false">AVERAGEA(AD35, AB35)</f>
        <v>3.33</v>
      </c>
      <c r="AD35" s="56" t="n">
        <v>6</v>
      </c>
      <c r="AE35" s="51" t="n">
        <v>3</v>
      </c>
      <c r="AF35" s="52" t="n">
        <f aca="false">AVERAGEA(AG35, AE35)</f>
        <v>6.5</v>
      </c>
      <c r="AG35" s="53" t="n">
        <v>10</v>
      </c>
      <c r="AH35" s="86" t="n">
        <v>1.5</v>
      </c>
      <c r="AI35" s="79" t="n">
        <f aca="false">AVERAGEA(AJ35, AH35)</f>
        <v>2.25</v>
      </c>
      <c r="AJ35" s="53" t="n">
        <v>3</v>
      </c>
      <c r="AK35" s="75" t="n">
        <v>715</v>
      </c>
      <c r="AL35" s="55" t="n">
        <f aca="false">AVERAGEA(AM35, AK35)</f>
        <v>1530.5</v>
      </c>
      <c r="AM35" s="89" t="n">
        <v>2346</v>
      </c>
      <c r="AN35" s="51" t="n">
        <v>15.4</v>
      </c>
      <c r="AO35" s="52" t="n">
        <f aca="false">AVERAGEA(AP35, AN35)</f>
        <v>37.2</v>
      </c>
      <c r="AP35" s="53" t="n">
        <v>59</v>
      </c>
      <c r="AQ35" s="80" t="n">
        <v>3</v>
      </c>
      <c r="AR35" s="55" t="n">
        <f aca="false">AVERAGEA(AS35, AQ35)</f>
        <v>4.315</v>
      </c>
      <c r="AS35" s="56" t="n">
        <v>5.63</v>
      </c>
      <c r="AT35" s="51" t="n">
        <v>3.56</v>
      </c>
      <c r="AU35" s="52" t="n">
        <f aca="false">AVERAGE(AT35,AV35)</f>
        <v>22.03</v>
      </c>
      <c r="AV35" s="53" t="n">
        <v>40.5</v>
      </c>
      <c r="AW35" s="81" t="n">
        <v>5.7</v>
      </c>
      <c r="AX35" s="55" t="n">
        <f aca="false">AVERAGE(AW35,AY35)</f>
        <v>26.85</v>
      </c>
      <c r="AY35" s="56" t="n">
        <v>48</v>
      </c>
      <c r="AZ35" s="51" t="n">
        <v>6.2</v>
      </c>
      <c r="BA35" s="52" t="n">
        <f aca="false">AVERAGE(AZ35,BB35)</f>
        <v>42.1</v>
      </c>
      <c r="BB35" s="53" t="n">
        <v>78</v>
      </c>
      <c r="BC35" s="80" t="n">
        <v>1.8</v>
      </c>
      <c r="BD35" s="55" t="n">
        <f aca="false">AVERAGEA(BE35, BC35)</f>
        <v>1.8</v>
      </c>
      <c r="BE35" s="56" t="n">
        <v>1.8</v>
      </c>
      <c r="BF35" s="51" t="n">
        <v>60</v>
      </c>
      <c r="BG35" s="52" t="n">
        <f aca="false">AVERAGEA(BF35,BH35)</f>
        <v>180</v>
      </c>
      <c r="BH35" s="53" t="n">
        <v>300</v>
      </c>
      <c r="BI35" s="81" t="n">
        <v>2</v>
      </c>
      <c r="BJ35" s="55" t="n">
        <f aca="false">AVERAGEA(BI35,BK35)</f>
        <v>5</v>
      </c>
      <c r="BK35" s="56" t="n">
        <v>8</v>
      </c>
      <c r="BL35" s="51" t="n">
        <v>4</v>
      </c>
      <c r="BM35" s="52" t="n">
        <f aca="false">AVERAGEA(BL35,BN35)</f>
        <v>8</v>
      </c>
      <c r="BN35" s="53" t="n">
        <v>12</v>
      </c>
    </row>
    <row r="36" customFormat="false" ht="15" hidden="false" customHeight="true" outlineLevel="0" collapsed="false">
      <c r="B36" s="43"/>
      <c r="C36" s="88"/>
      <c r="D36" s="90"/>
      <c r="E36" s="46" t="s">
        <v>47</v>
      </c>
      <c r="F36" s="91"/>
      <c r="G36" s="84" t="n">
        <v>23.4378054267092</v>
      </c>
      <c r="H36" s="73" t="n">
        <f aca="false">AVERAGE(G36,I36)</f>
        <v>26.5251377067338</v>
      </c>
      <c r="I36" s="85" t="n">
        <v>29.6124699867585</v>
      </c>
      <c r="J36" s="51" t="s">
        <v>44</v>
      </c>
      <c r="K36" s="52"/>
      <c r="L36" s="53" t="s">
        <v>44</v>
      </c>
      <c r="M36" s="54" t="s">
        <v>44</v>
      </c>
      <c r="N36" s="55"/>
      <c r="O36" s="56" t="s">
        <v>44</v>
      </c>
      <c r="P36" s="54" t="s">
        <v>44</v>
      </c>
      <c r="Q36" s="55"/>
      <c r="R36" s="55" t="s">
        <v>44</v>
      </c>
      <c r="S36" s="51" t="n">
        <v>82</v>
      </c>
      <c r="T36" s="52" t="n">
        <f aca="false">AVERAGEA(U36, S36)</f>
        <v>86.6</v>
      </c>
      <c r="U36" s="53" t="n">
        <v>91.2</v>
      </c>
      <c r="V36" s="80" t="n">
        <v>50</v>
      </c>
      <c r="W36" s="55" t="n">
        <f aca="false">AVERAGEA(X36, V36)</f>
        <v>35</v>
      </c>
      <c r="X36" s="56" t="n">
        <v>20</v>
      </c>
      <c r="Y36" s="51" t="n">
        <v>0.66</v>
      </c>
      <c r="Z36" s="52" t="n">
        <f aca="false">AVERAGEA(AA36, Y36)</f>
        <v>4.33</v>
      </c>
      <c r="AA36" s="59" t="n">
        <v>8</v>
      </c>
      <c r="AB36" s="80" t="n">
        <v>0.66</v>
      </c>
      <c r="AC36" s="55" t="n">
        <f aca="false">AVERAGEA(AD36, AB36)</f>
        <v>3.33</v>
      </c>
      <c r="AD36" s="56" t="n">
        <v>6</v>
      </c>
      <c r="AE36" s="51" t="n">
        <v>3</v>
      </c>
      <c r="AF36" s="52" t="n">
        <f aca="false">AVERAGEA(AG36, AE36)</f>
        <v>6.5</v>
      </c>
      <c r="AG36" s="53" t="n">
        <v>10</v>
      </c>
      <c r="AH36" s="86" t="n">
        <v>1.5</v>
      </c>
      <c r="AI36" s="79" t="n">
        <f aca="false">AVERAGEA(AJ36, AH36)</f>
        <v>2.25</v>
      </c>
      <c r="AJ36" s="53" t="n">
        <v>3</v>
      </c>
      <c r="AK36" s="75" t="n">
        <v>715</v>
      </c>
      <c r="AL36" s="55" t="n">
        <f aca="false">AVERAGEA(AM36, AK36)</f>
        <v>1530.5</v>
      </c>
      <c r="AM36" s="89" t="n">
        <v>2346</v>
      </c>
      <c r="AN36" s="51" t="n">
        <v>15.4</v>
      </c>
      <c r="AO36" s="52" t="n">
        <f aca="false">AVERAGEA(AP36, AN36)</f>
        <v>37.2</v>
      </c>
      <c r="AP36" s="53" t="n">
        <v>59</v>
      </c>
      <c r="AQ36" s="80" t="n">
        <v>3</v>
      </c>
      <c r="AR36" s="55" t="n">
        <f aca="false">AVERAGEA(AS36, AQ36)</f>
        <v>4.315</v>
      </c>
      <c r="AS36" s="56" t="n">
        <v>5.63</v>
      </c>
      <c r="AT36" s="51" t="n">
        <v>3.56</v>
      </c>
      <c r="AU36" s="52" t="n">
        <f aca="false">AVERAGE(AT36,AV36)</f>
        <v>22.03</v>
      </c>
      <c r="AV36" s="53" t="n">
        <v>40.5</v>
      </c>
      <c r="AW36" s="81" t="n">
        <v>5.7</v>
      </c>
      <c r="AX36" s="55" t="n">
        <f aca="false">AVERAGE(AW36,AY36)</f>
        <v>26.85</v>
      </c>
      <c r="AY36" s="56" t="n">
        <v>48</v>
      </c>
      <c r="AZ36" s="51" t="n">
        <v>6.2</v>
      </c>
      <c r="BA36" s="52" t="n">
        <f aca="false">AVERAGE(AZ36,BB36)</f>
        <v>42.1</v>
      </c>
      <c r="BB36" s="53" t="n">
        <v>78</v>
      </c>
      <c r="BC36" s="80" t="n">
        <v>1.8</v>
      </c>
      <c r="BD36" s="55" t="n">
        <f aca="false">AVERAGEA(BE36, BC36)</f>
        <v>1.8</v>
      </c>
      <c r="BE36" s="56" t="n">
        <v>1.8</v>
      </c>
      <c r="BF36" s="51" t="n">
        <v>60</v>
      </c>
      <c r="BG36" s="52" t="n">
        <f aca="false">AVERAGEA(BF36,BH36)</f>
        <v>180</v>
      </c>
      <c r="BH36" s="53" t="n">
        <v>300</v>
      </c>
      <c r="BI36" s="81" t="n">
        <v>2</v>
      </c>
      <c r="BJ36" s="55" t="n">
        <f aca="false">AVERAGEA(BI36,BK36)</f>
        <v>5</v>
      </c>
      <c r="BK36" s="56" t="n">
        <v>8</v>
      </c>
      <c r="BL36" s="51" t="n">
        <v>4</v>
      </c>
      <c r="BM36" s="52" t="n">
        <f aca="false">AVERAGEA(BL36,BN36)</f>
        <v>8</v>
      </c>
      <c r="BN36" s="53" t="n">
        <v>12</v>
      </c>
    </row>
    <row r="37" customFormat="false" ht="15" hidden="false" customHeight="true" outlineLevel="0" collapsed="false">
      <c r="B37" s="43"/>
      <c r="C37" s="87" t="s">
        <v>53</v>
      </c>
      <c r="D37" s="82" t="s">
        <v>42</v>
      </c>
      <c r="E37" s="46" t="s">
        <v>43</v>
      </c>
      <c r="F37" s="92"/>
      <c r="G37" s="84" t="n">
        <v>38.569821615199</v>
      </c>
      <c r="H37" s="73" t="n">
        <f aca="false">AVERAGE(G37,I37)</f>
        <v>39.7206846203141</v>
      </c>
      <c r="I37" s="85" t="n">
        <v>40.8715476254292</v>
      </c>
      <c r="J37" s="51" t="s">
        <v>44</v>
      </c>
      <c r="K37" s="52"/>
      <c r="L37" s="53" t="s">
        <v>44</v>
      </c>
      <c r="M37" s="54" t="s">
        <v>44</v>
      </c>
      <c r="N37" s="55"/>
      <c r="O37" s="56" t="s">
        <v>44</v>
      </c>
      <c r="P37" s="54" t="s">
        <v>44</v>
      </c>
      <c r="Q37" s="55"/>
      <c r="R37" s="55" t="s">
        <v>44</v>
      </c>
      <c r="S37" s="51" t="n">
        <v>85</v>
      </c>
      <c r="T37" s="52" t="n">
        <f aca="false">AVERAGEA(U37, S37)</f>
        <v>85.65</v>
      </c>
      <c r="U37" s="53" t="n">
        <v>86.3</v>
      </c>
      <c r="V37" s="80" t="n">
        <v>60</v>
      </c>
      <c r="W37" s="55" t="n">
        <f aca="false">AVERAGEA(X37, V37)</f>
        <v>40</v>
      </c>
      <c r="X37" s="56" t="n">
        <v>20</v>
      </c>
      <c r="Y37" s="51" t="n">
        <v>0.58</v>
      </c>
      <c r="Z37" s="52" t="n">
        <f aca="false">AVERAGEA(AA37, Y37)</f>
        <v>4.29</v>
      </c>
      <c r="AA37" s="53" t="n">
        <v>8</v>
      </c>
      <c r="AB37" s="80" t="n">
        <v>0.58</v>
      </c>
      <c r="AC37" s="55" t="n">
        <f aca="false">AVERAGEA(AD37, AB37)</f>
        <v>4.29</v>
      </c>
      <c r="AD37" s="56" t="n">
        <v>8</v>
      </c>
      <c r="AE37" s="51" t="n">
        <v>3</v>
      </c>
      <c r="AF37" s="52" t="n">
        <f aca="false">AVERAGEA(AG37, AE37)</f>
        <v>13.5</v>
      </c>
      <c r="AG37" s="53" t="n">
        <v>24</v>
      </c>
      <c r="AH37" s="86" t="n">
        <v>1.5</v>
      </c>
      <c r="AI37" s="79" t="n">
        <f aca="false">AVERAGEA(AJ37, AH37)</f>
        <v>2.25</v>
      </c>
      <c r="AJ37" s="53" t="n">
        <v>3</v>
      </c>
      <c r="AK37" s="80" t="n">
        <v>1400</v>
      </c>
      <c r="AL37" s="55" t="n">
        <f aca="false">AVERAGEA(AM37, AK37)</f>
        <v>1680.5</v>
      </c>
      <c r="AM37" s="56" t="n">
        <v>1961</v>
      </c>
      <c r="AN37" s="51" t="n">
        <v>31.1</v>
      </c>
      <c r="AO37" s="52" t="n">
        <f aca="false">AVERAGEA(AP37, AN37)</f>
        <v>34.05</v>
      </c>
      <c r="AP37" s="53" t="n">
        <v>37</v>
      </c>
      <c r="AQ37" s="80" t="n">
        <v>2.6</v>
      </c>
      <c r="AR37" s="55" t="n">
        <f aca="false">AVERAGEA(AS37, AQ37)</f>
        <v>6.55</v>
      </c>
      <c r="AS37" s="56" t="n">
        <v>10.5</v>
      </c>
      <c r="AT37" s="51" t="n">
        <v>8.4</v>
      </c>
      <c r="AU37" s="52" t="n">
        <f aca="false">AVERAGE(AT37,AV37)</f>
        <v>39.45</v>
      </c>
      <c r="AV37" s="53" t="n">
        <v>70.5</v>
      </c>
      <c r="AW37" s="81" t="n">
        <v>46</v>
      </c>
      <c r="AX37" s="55" t="n">
        <f aca="false">AVERAGE(AW37,AY37)</f>
        <v>81.5</v>
      </c>
      <c r="AY37" s="56" t="n">
        <v>117</v>
      </c>
      <c r="AZ37" s="51" t="n">
        <v>67</v>
      </c>
      <c r="BA37" s="52" t="n">
        <f aca="false">AVERAGE(AZ37,BB37)</f>
        <v>88.5</v>
      </c>
      <c r="BB37" s="53" t="n">
        <v>110</v>
      </c>
      <c r="BC37" s="80" t="n">
        <v>1.8</v>
      </c>
      <c r="BD37" s="55" t="n">
        <f aca="false">AVERAGEA(BE37, BC37)</f>
        <v>1.8</v>
      </c>
      <c r="BE37" s="56" t="n">
        <v>1.8</v>
      </c>
      <c r="BF37" s="51" t="n">
        <v>120</v>
      </c>
      <c r="BG37" s="52" t="n">
        <f aca="false">AVERAGEA(BF37,BH37)</f>
        <v>240</v>
      </c>
      <c r="BH37" s="53" t="n">
        <v>360</v>
      </c>
      <c r="BI37" s="81" t="n">
        <v>4</v>
      </c>
      <c r="BJ37" s="55" t="n">
        <f aca="false">AVERAGEA(BI37,BK37)</f>
        <v>5.5</v>
      </c>
      <c r="BK37" s="56" t="n">
        <v>7</v>
      </c>
      <c r="BL37" s="51" t="n">
        <v>5</v>
      </c>
      <c r="BM37" s="52" t="n">
        <f aca="false">AVERAGEA(BL37,BN37)</f>
        <v>8.9</v>
      </c>
      <c r="BN37" s="53" t="n">
        <v>12.8</v>
      </c>
    </row>
    <row r="38" customFormat="false" ht="15" hidden="false" customHeight="true" outlineLevel="0" collapsed="false">
      <c r="B38" s="43"/>
      <c r="C38" s="87"/>
      <c r="D38" s="82"/>
      <c r="E38" s="46" t="s">
        <v>45</v>
      </c>
      <c r="F38" s="71"/>
      <c r="G38" s="84" t="n">
        <v>35.7858580162282</v>
      </c>
      <c r="H38" s="73" t="n">
        <f aca="false">AVERAGE(G38,I38)</f>
        <v>37.1742874015756</v>
      </c>
      <c r="I38" s="85" t="n">
        <v>38.562716786923</v>
      </c>
      <c r="J38" s="51" t="s">
        <v>44</v>
      </c>
      <c r="K38" s="52"/>
      <c r="L38" s="53" t="s">
        <v>44</v>
      </c>
      <c r="M38" s="54" t="s">
        <v>44</v>
      </c>
      <c r="N38" s="55"/>
      <c r="O38" s="56" t="s">
        <v>44</v>
      </c>
      <c r="P38" s="54" t="s">
        <v>44</v>
      </c>
      <c r="Q38" s="55"/>
      <c r="R38" s="55" t="s">
        <v>44</v>
      </c>
      <c r="S38" s="51" t="n">
        <v>85</v>
      </c>
      <c r="T38" s="52" t="n">
        <f aca="false">AVERAGEA(U38, S38)</f>
        <v>85.65</v>
      </c>
      <c r="U38" s="53" t="n">
        <v>86.3</v>
      </c>
      <c r="V38" s="80" t="n">
        <v>60</v>
      </c>
      <c r="W38" s="55" t="n">
        <f aca="false">AVERAGEA(X38, V38)</f>
        <v>40</v>
      </c>
      <c r="X38" s="56" t="n">
        <v>20</v>
      </c>
      <c r="Y38" s="51" t="n">
        <v>0.58</v>
      </c>
      <c r="Z38" s="52" t="n">
        <f aca="false">AVERAGEA(AA38, Y38)</f>
        <v>4.29</v>
      </c>
      <c r="AA38" s="53" t="n">
        <v>8</v>
      </c>
      <c r="AB38" s="80" t="n">
        <v>0.58</v>
      </c>
      <c r="AC38" s="55" t="n">
        <f aca="false">AVERAGEA(AD38, AB38)</f>
        <v>4.29</v>
      </c>
      <c r="AD38" s="56" t="n">
        <v>8</v>
      </c>
      <c r="AE38" s="51" t="n">
        <v>3</v>
      </c>
      <c r="AF38" s="52" t="n">
        <f aca="false">AVERAGEA(AG38, AE38)</f>
        <v>13.5</v>
      </c>
      <c r="AG38" s="53" t="n">
        <v>24</v>
      </c>
      <c r="AH38" s="86" t="n">
        <v>1.5</v>
      </c>
      <c r="AI38" s="79" t="n">
        <f aca="false">AVERAGEA(AJ38, AH38)</f>
        <v>2.25</v>
      </c>
      <c r="AJ38" s="53" t="n">
        <v>3</v>
      </c>
      <c r="AK38" s="80" t="n">
        <v>1400</v>
      </c>
      <c r="AL38" s="55" t="n">
        <f aca="false">AVERAGEA(AM38, AK38)</f>
        <v>1680.5</v>
      </c>
      <c r="AM38" s="56" t="n">
        <v>1961</v>
      </c>
      <c r="AN38" s="51" t="n">
        <v>31.1</v>
      </c>
      <c r="AO38" s="52" t="n">
        <f aca="false">AVERAGEA(AP38, AN38)</f>
        <v>34.05</v>
      </c>
      <c r="AP38" s="53" t="n">
        <v>37</v>
      </c>
      <c r="AQ38" s="80" t="n">
        <v>2.6</v>
      </c>
      <c r="AR38" s="55" t="n">
        <f aca="false">AVERAGEA(AS38, AQ38)</f>
        <v>6.55</v>
      </c>
      <c r="AS38" s="56" t="n">
        <v>10.5</v>
      </c>
      <c r="AT38" s="51" t="n">
        <v>8.4</v>
      </c>
      <c r="AU38" s="52" t="n">
        <f aca="false">AVERAGE(AT38,AV38)</f>
        <v>39.45</v>
      </c>
      <c r="AV38" s="53" t="n">
        <v>70.5</v>
      </c>
      <c r="AW38" s="81" t="n">
        <v>46</v>
      </c>
      <c r="AX38" s="55" t="n">
        <f aca="false">AVERAGE(AW38,AY38)</f>
        <v>81.5</v>
      </c>
      <c r="AY38" s="56" t="n">
        <v>117</v>
      </c>
      <c r="AZ38" s="51" t="n">
        <v>67</v>
      </c>
      <c r="BA38" s="52" t="n">
        <f aca="false">AVERAGE(AZ38,BB38)</f>
        <v>88.5</v>
      </c>
      <c r="BB38" s="53" t="n">
        <v>110</v>
      </c>
      <c r="BC38" s="80" t="n">
        <v>1.8</v>
      </c>
      <c r="BD38" s="55" t="n">
        <f aca="false">AVERAGEA(BE38, BC38)</f>
        <v>1.8</v>
      </c>
      <c r="BE38" s="56" t="n">
        <v>1.8</v>
      </c>
      <c r="BF38" s="51" t="n">
        <v>120</v>
      </c>
      <c r="BG38" s="52" t="n">
        <f aca="false">AVERAGEA(BF38,BH38)</f>
        <v>240</v>
      </c>
      <c r="BH38" s="53" t="n">
        <v>360</v>
      </c>
      <c r="BI38" s="81" t="n">
        <v>4</v>
      </c>
      <c r="BJ38" s="55" t="n">
        <f aca="false">AVERAGEA(BI38,BK38)</f>
        <v>5.5</v>
      </c>
      <c r="BK38" s="56" t="n">
        <v>7</v>
      </c>
      <c r="BL38" s="51" t="n">
        <v>5</v>
      </c>
      <c r="BM38" s="52" t="n">
        <f aca="false">AVERAGEA(BL38,BN38)</f>
        <v>8.9</v>
      </c>
      <c r="BN38" s="53" t="n">
        <v>12.8</v>
      </c>
    </row>
    <row r="39" customFormat="false" ht="15" hidden="false" customHeight="true" outlineLevel="0" collapsed="false">
      <c r="B39" s="43"/>
      <c r="C39" s="87"/>
      <c r="D39" s="82"/>
      <c r="E39" s="46" t="s">
        <v>46</v>
      </c>
      <c r="F39" s="71"/>
      <c r="G39" s="84" t="n">
        <v>27.2828391918737</v>
      </c>
      <c r="H39" s="73" t="n">
        <f aca="false">AVERAGE(G39,I39)</f>
        <v>31.5248556676053</v>
      </c>
      <c r="I39" s="85" t="n">
        <v>35.7668721433369</v>
      </c>
      <c r="J39" s="51" t="s">
        <v>44</v>
      </c>
      <c r="K39" s="52"/>
      <c r="L39" s="53" t="s">
        <v>44</v>
      </c>
      <c r="M39" s="54" t="s">
        <v>44</v>
      </c>
      <c r="N39" s="55"/>
      <c r="O39" s="56" t="s">
        <v>44</v>
      </c>
      <c r="P39" s="54" t="s">
        <v>44</v>
      </c>
      <c r="Q39" s="55"/>
      <c r="R39" s="55" t="s">
        <v>44</v>
      </c>
      <c r="S39" s="51" t="n">
        <v>85</v>
      </c>
      <c r="T39" s="52" t="n">
        <f aca="false">AVERAGEA(U39, S39)</f>
        <v>85.65</v>
      </c>
      <c r="U39" s="53" t="n">
        <v>86.3</v>
      </c>
      <c r="V39" s="80" t="n">
        <v>60</v>
      </c>
      <c r="W39" s="55" t="n">
        <f aca="false">AVERAGEA(X39, V39)</f>
        <v>40</v>
      </c>
      <c r="X39" s="56" t="n">
        <v>20</v>
      </c>
      <c r="Y39" s="51" t="n">
        <v>0.58</v>
      </c>
      <c r="Z39" s="52" t="n">
        <f aca="false">AVERAGEA(AA39, Y39)</f>
        <v>4.29</v>
      </c>
      <c r="AA39" s="53" t="n">
        <v>8</v>
      </c>
      <c r="AB39" s="80" t="n">
        <v>0.58</v>
      </c>
      <c r="AC39" s="55" t="n">
        <f aca="false">AVERAGEA(AD39, AB39)</f>
        <v>4.29</v>
      </c>
      <c r="AD39" s="56" t="n">
        <v>8</v>
      </c>
      <c r="AE39" s="51" t="n">
        <v>3</v>
      </c>
      <c r="AF39" s="52" t="n">
        <f aca="false">AVERAGEA(AG39, AE39)</f>
        <v>13.5</v>
      </c>
      <c r="AG39" s="53" t="n">
        <v>24</v>
      </c>
      <c r="AH39" s="86" t="n">
        <v>1.5</v>
      </c>
      <c r="AI39" s="79" t="n">
        <f aca="false">AVERAGEA(AJ39, AH39)</f>
        <v>2.25</v>
      </c>
      <c r="AJ39" s="53" t="n">
        <v>3</v>
      </c>
      <c r="AK39" s="80" t="n">
        <v>1400</v>
      </c>
      <c r="AL39" s="55" t="n">
        <f aca="false">AVERAGEA(AM39, AK39)</f>
        <v>1680.5</v>
      </c>
      <c r="AM39" s="56" t="n">
        <v>1961</v>
      </c>
      <c r="AN39" s="51" t="n">
        <v>31.1</v>
      </c>
      <c r="AO39" s="52" t="n">
        <f aca="false">AVERAGEA(AP39, AN39)</f>
        <v>34.05</v>
      </c>
      <c r="AP39" s="53" t="n">
        <v>37</v>
      </c>
      <c r="AQ39" s="80" t="n">
        <v>2.6</v>
      </c>
      <c r="AR39" s="55" t="n">
        <f aca="false">AVERAGEA(AS39, AQ39)</f>
        <v>6.55</v>
      </c>
      <c r="AS39" s="56" t="n">
        <v>10.5</v>
      </c>
      <c r="AT39" s="51" t="n">
        <v>8.4</v>
      </c>
      <c r="AU39" s="52" t="n">
        <f aca="false">AVERAGE(AT39,AV39)</f>
        <v>39.45</v>
      </c>
      <c r="AV39" s="53" t="n">
        <v>70.5</v>
      </c>
      <c r="AW39" s="81" t="n">
        <v>46</v>
      </c>
      <c r="AX39" s="55" t="n">
        <f aca="false">AVERAGE(AW39,AY39)</f>
        <v>81.5</v>
      </c>
      <c r="AY39" s="56" t="n">
        <v>117</v>
      </c>
      <c r="AZ39" s="51" t="n">
        <v>67</v>
      </c>
      <c r="BA39" s="52" t="n">
        <f aca="false">AVERAGE(AZ39,BB39)</f>
        <v>88.5</v>
      </c>
      <c r="BB39" s="53" t="n">
        <v>110</v>
      </c>
      <c r="BC39" s="80" t="n">
        <v>1.8</v>
      </c>
      <c r="BD39" s="55" t="n">
        <f aca="false">AVERAGEA(BE39, BC39)</f>
        <v>1.8</v>
      </c>
      <c r="BE39" s="56" t="n">
        <v>1.8</v>
      </c>
      <c r="BF39" s="51" t="n">
        <v>120</v>
      </c>
      <c r="BG39" s="52" t="n">
        <f aca="false">AVERAGEA(BF39,BH39)</f>
        <v>240</v>
      </c>
      <c r="BH39" s="53" t="n">
        <v>360</v>
      </c>
      <c r="BI39" s="81" t="n">
        <v>4</v>
      </c>
      <c r="BJ39" s="55" t="n">
        <f aca="false">AVERAGEA(BI39,BK39)</f>
        <v>5.5</v>
      </c>
      <c r="BK39" s="56" t="n">
        <v>7</v>
      </c>
      <c r="BL39" s="51" t="n">
        <v>5</v>
      </c>
      <c r="BM39" s="52" t="n">
        <f aca="false">AVERAGEA(BL39,BN39)</f>
        <v>8.9</v>
      </c>
      <c r="BN39" s="53" t="n">
        <v>12.8</v>
      </c>
    </row>
    <row r="40" customFormat="false" ht="15" hidden="false" customHeight="true" outlineLevel="0" collapsed="false">
      <c r="B40" s="43"/>
      <c r="C40" s="87"/>
      <c r="D40" s="82"/>
      <c r="E40" s="46" t="s">
        <v>47</v>
      </c>
      <c r="F40" s="71"/>
      <c r="G40" s="84" t="n">
        <v>21.56378396649</v>
      </c>
      <c r="H40" s="73" t="n">
        <f aca="false">AVERAGE(G40,I40)</f>
        <v>24.404261780311</v>
      </c>
      <c r="I40" s="85" t="n">
        <v>27.2447395941321</v>
      </c>
      <c r="J40" s="51" t="s">
        <v>44</v>
      </c>
      <c r="K40" s="52"/>
      <c r="L40" s="53" t="s">
        <v>44</v>
      </c>
      <c r="M40" s="54" t="s">
        <v>44</v>
      </c>
      <c r="N40" s="55"/>
      <c r="O40" s="56" t="s">
        <v>44</v>
      </c>
      <c r="P40" s="54" t="s">
        <v>44</v>
      </c>
      <c r="Q40" s="55"/>
      <c r="R40" s="55" t="s">
        <v>44</v>
      </c>
      <c r="S40" s="51" t="n">
        <v>85</v>
      </c>
      <c r="T40" s="52" t="n">
        <f aca="false">AVERAGEA(U40, S40)</f>
        <v>85.65</v>
      </c>
      <c r="U40" s="53" t="n">
        <v>86.3</v>
      </c>
      <c r="V40" s="80" t="n">
        <v>60</v>
      </c>
      <c r="W40" s="55" t="n">
        <f aca="false">AVERAGEA(X40, V40)</f>
        <v>40</v>
      </c>
      <c r="X40" s="56" t="n">
        <v>20</v>
      </c>
      <c r="Y40" s="51" t="n">
        <v>0.58</v>
      </c>
      <c r="Z40" s="52" t="n">
        <f aca="false">AVERAGEA(AA40, Y40)</f>
        <v>4.29</v>
      </c>
      <c r="AA40" s="53" t="n">
        <v>8</v>
      </c>
      <c r="AB40" s="80" t="n">
        <v>0.58</v>
      </c>
      <c r="AC40" s="55" t="n">
        <f aca="false">AVERAGEA(AD40, AB40)</f>
        <v>4.29</v>
      </c>
      <c r="AD40" s="56" t="n">
        <v>8</v>
      </c>
      <c r="AE40" s="51" t="n">
        <v>3</v>
      </c>
      <c r="AF40" s="52" t="n">
        <f aca="false">AVERAGEA(AG40, AE40)</f>
        <v>13.5</v>
      </c>
      <c r="AG40" s="53" t="n">
        <v>24</v>
      </c>
      <c r="AH40" s="86" t="n">
        <v>1.5</v>
      </c>
      <c r="AI40" s="79" t="n">
        <f aca="false">AVERAGEA(AJ40, AH40)</f>
        <v>2.25</v>
      </c>
      <c r="AJ40" s="53" t="n">
        <v>3</v>
      </c>
      <c r="AK40" s="80" t="n">
        <v>1400</v>
      </c>
      <c r="AL40" s="55" t="n">
        <f aca="false">AVERAGEA(AM40, AK40)</f>
        <v>1680.5</v>
      </c>
      <c r="AM40" s="56" t="n">
        <v>1961</v>
      </c>
      <c r="AN40" s="51" t="n">
        <v>31.1</v>
      </c>
      <c r="AO40" s="52" t="n">
        <f aca="false">AVERAGEA(AP40, AN40)</f>
        <v>34.05</v>
      </c>
      <c r="AP40" s="53" t="n">
        <v>37</v>
      </c>
      <c r="AQ40" s="80" t="n">
        <v>2.6</v>
      </c>
      <c r="AR40" s="55" t="n">
        <f aca="false">AVERAGEA(AS40, AQ40)</f>
        <v>6.55</v>
      </c>
      <c r="AS40" s="56" t="n">
        <v>10.5</v>
      </c>
      <c r="AT40" s="51" t="n">
        <v>8.4</v>
      </c>
      <c r="AU40" s="52" t="n">
        <f aca="false">AVERAGE(AT40,AV40)</f>
        <v>39.45</v>
      </c>
      <c r="AV40" s="53" t="n">
        <v>70.5</v>
      </c>
      <c r="AW40" s="81" t="n">
        <v>46</v>
      </c>
      <c r="AX40" s="55" t="n">
        <f aca="false">AVERAGE(AW40,AY40)</f>
        <v>81.5</v>
      </c>
      <c r="AY40" s="56" t="n">
        <v>117</v>
      </c>
      <c r="AZ40" s="51" t="n">
        <v>67</v>
      </c>
      <c r="BA40" s="52" t="n">
        <f aca="false">AVERAGE(AZ40,BB40)</f>
        <v>88.5</v>
      </c>
      <c r="BB40" s="53" t="n">
        <v>110</v>
      </c>
      <c r="BC40" s="80" t="n">
        <v>1.8</v>
      </c>
      <c r="BD40" s="55" t="n">
        <f aca="false">AVERAGEA(BE40, BC40)</f>
        <v>1.8</v>
      </c>
      <c r="BE40" s="56" t="n">
        <v>1.8</v>
      </c>
      <c r="BF40" s="51" t="n">
        <v>120</v>
      </c>
      <c r="BG40" s="52" t="n">
        <f aca="false">AVERAGEA(BF40,BH40)</f>
        <v>240</v>
      </c>
      <c r="BH40" s="53" t="n">
        <v>360</v>
      </c>
      <c r="BI40" s="81" t="n">
        <v>4</v>
      </c>
      <c r="BJ40" s="55" t="n">
        <f aca="false">AVERAGEA(BI40,BK40)</f>
        <v>5.5</v>
      </c>
      <c r="BK40" s="56" t="n">
        <v>7</v>
      </c>
      <c r="BL40" s="51" t="n">
        <v>5</v>
      </c>
      <c r="BM40" s="52" t="n">
        <f aca="false">AVERAGEA(BL40,BN40)</f>
        <v>8.9</v>
      </c>
      <c r="BN40" s="53" t="n">
        <v>12.8</v>
      </c>
    </row>
    <row r="41" customFormat="false" ht="15" hidden="false" customHeight="true" outlineLevel="0" collapsed="false">
      <c r="B41" s="43"/>
      <c r="C41" s="87"/>
      <c r="D41" s="82" t="s">
        <v>48</v>
      </c>
      <c r="E41" s="46" t="s">
        <v>43</v>
      </c>
      <c r="F41" s="83"/>
      <c r="G41" s="84" t="n">
        <v>37.8243623384122</v>
      </c>
      <c r="H41" s="73" t="n">
        <f aca="false">AVERAGE(G41,I41)</f>
        <v>38.95298200748</v>
      </c>
      <c r="I41" s="85" t="n">
        <v>40.0816016765477</v>
      </c>
      <c r="J41" s="51" t="s">
        <v>44</v>
      </c>
      <c r="K41" s="52"/>
      <c r="L41" s="53" t="s">
        <v>44</v>
      </c>
      <c r="M41" s="54" t="s">
        <v>44</v>
      </c>
      <c r="N41" s="55"/>
      <c r="O41" s="56" t="s">
        <v>44</v>
      </c>
      <c r="P41" s="54" t="s">
        <v>44</v>
      </c>
      <c r="Q41" s="55"/>
      <c r="R41" s="55" t="s">
        <v>44</v>
      </c>
      <c r="S41" s="51" t="n">
        <v>85</v>
      </c>
      <c r="T41" s="52" t="n">
        <f aca="false">AVERAGEA(U41, S41)</f>
        <v>85.65</v>
      </c>
      <c r="U41" s="53" t="n">
        <v>86.3</v>
      </c>
      <c r="V41" s="80" t="n">
        <v>60</v>
      </c>
      <c r="W41" s="55" t="n">
        <f aca="false">AVERAGEA(X41, V41)</f>
        <v>40</v>
      </c>
      <c r="X41" s="56" t="n">
        <v>20</v>
      </c>
      <c r="Y41" s="51" t="n">
        <v>0.58</v>
      </c>
      <c r="Z41" s="52" t="n">
        <f aca="false">AVERAGEA(AA41, Y41)</f>
        <v>4.29</v>
      </c>
      <c r="AA41" s="53" t="n">
        <v>8</v>
      </c>
      <c r="AB41" s="80" t="n">
        <v>0.58</v>
      </c>
      <c r="AC41" s="55" t="n">
        <f aca="false">AVERAGEA(AD41, AB41)</f>
        <v>4.29</v>
      </c>
      <c r="AD41" s="56" t="n">
        <v>8</v>
      </c>
      <c r="AE41" s="51" t="n">
        <v>3</v>
      </c>
      <c r="AF41" s="52" t="n">
        <f aca="false">AVERAGEA(AG41, AE41)</f>
        <v>13.5</v>
      </c>
      <c r="AG41" s="53" t="n">
        <v>24</v>
      </c>
      <c r="AH41" s="86" t="n">
        <v>6</v>
      </c>
      <c r="AI41" s="79" t="n">
        <f aca="false">AVERAGEA(AJ41, AH41)</f>
        <v>8</v>
      </c>
      <c r="AJ41" s="53" t="n">
        <v>10</v>
      </c>
      <c r="AK41" s="80" t="n">
        <v>1400</v>
      </c>
      <c r="AL41" s="55" t="n">
        <f aca="false">AVERAGEA(AM41, AK41)</f>
        <v>1680.5</v>
      </c>
      <c r="AM41" s="56" t="n">
        <v>1961</v>
      </c>
      <c r="AN41" s="51" t="n">
        <v>31.1</v>
      </c>
      <c r="AO41" s="52" t="n">
        <f aca="false">AVERAGEA(AP41, AN41)</f>
        <v>34.05</v>
      </c>
      <c r="AP41" s="53" t="n">
        <v>37</v>
      </c>
      <c r="AQ41" s="80" t="n">
        <v>2.6</v>
      </c>
      <c r="AR41" s="55" t="n">
        <f aca="false">AVERAGEA(AS41, AQ41)</f>
        <v>6.55</v>
      </c>
      <c r="AS41" s="56" t="n">
        <v>10.5</v>
      </c>
      <c r="AT41" s="51" t="n">
        <v>8.4</v>
      </c>
      <c r="AU41" s="52" t="n">
        <f aca="false">AVERAGE(AT41,AV41)</f>
        <v>39.45</v>
      </c>
      <c r="AV41" s="53" t="n">
        <v>70.5</v>
      </c>
      <c r="AW41" s="81" t="n">
        <v>46</v>
      </c>
      <c r="AX41" s="55" t="n">
        <f aca="false">AVERAGE(AW41,AY41)</f>
        <v>81.5</v>
      </c>
      <c r="AY41" s="56" t="n">
        <v>117</v>
      </c>
      <c r="AZ41" s="51" t="n">
        <v>67</v>
      </c>
      <c r="BA41" s="52" t="n">
        <f aca="false">AVERAGE(AZ41,BB41)</f>
        <v>88.5</v>
      </c>
      <c r="BB41" s="53" t="n">
        <v>110</v>
      </c>
      <c r="BC41" s="80" t="n">
        <v>1.8</v>
      </c>
      <c r="BD41" s="55" t="n">
        <f aca="false">AVERAGEA(BE41, BC41)</f>
        <v>1.8</v>
      </c>
      <c r="BE41" s="56" t="n">
        <v>1.8</v>
      </c>
      <c r="BF41" s="51" t="n">
        <v>120</v>
      </c>
      <c r="BG41" s="52" t="n">
        <f aca="false">AVERAGEA(BF41,BH41)</f>
        <v>240</v>
      </c>
      <c r="BH41" s="53" t="n">
        <v>360</v>
      </c>
      <c r="BI41" s="81" t="n">
        <v>4</v>
      </c>
      <c r="BJ41" s="55" t="n">
        <f aca="false">AVERAGEA(BI41,BK41)</f>
        <v>5.5</v>
      </c>
      <c r="BK41" s="56" t="n">
        <v>7</v>
      </c>
      <c r="BL41" s="51" t="n">
        <v>5</v>
      </c>
      <c r="BM41" s="52" t="n">
        <f aca="false">AVERAGEA(BL41,BN41)</f>
        <v>8.9</v>
      </c>
      <c r="BN41" s="53" t="n">
        <v>12.8</v>
      </c>
    </row>
    <row r="42" customFormat="false" ht="15" hidden="false" customHeight="true" outlineLevel="0" collapsed="false">
      <c r="B42" s="43"/>
      <c r="C42" s="87"/>
      <c r="D42" s="82"/>
      <c r="E42" s="46" t="s">
        <v>45</v>
      </c>
      <c r="F42" s="83"/>
      <c r="G42" s="93" t="n">
        <v>35.0942058716547</v>
      </c>
      <c r="H42" s="73" t="n">
        <f aca="false">AVERAGE(G42,I42)</f>
        <v>36.4558003502764</v>
      </c>
      <c r="I42" s="94" t="n">
        <v>37.8173948288981</v>
      </c>
      <c r="J42" s="51" t="s">
        <v>44</v>
      </c>
      <c r="K42" s="52"/>
      <c r="L42" s="53" t="s">
        <v>44</v>
      </c>
      <c r="M42" s="54" t="s">
        <v>44</v>
      </c>
      <c r="N42" s="55"/>
      <c r="O42" s="56" t="s">
        <v>44</v>
      </c>
      <c r="P42" s="54" t="s">
        <v>44</v>
      </c>
      <c r="Q42" s="55"/>
      <c r="R42" s="55" t="s">
        <v>44</v>
      </c>
      <c r="S42" s="51" t="n">
        <v>85</v>
      </c>
      <c r="T42" s="52" t="n">
        <f aca="false">AVERAGEA(U42, S42)</f>
        <v>85.65</v>
      </c>
      <c r="U42" s="53" t="n">
        <v>86.3</v>
      </c>
      <c r="V42" s="80" t="n">
        <v>60</v>
      </c>
      <c r="W42" s="55" t="n">
        <f aca="false">AVERAGEA(X42, V42)</f>
        <v>40</v>
      </c>
      <c r="X42" s="56" t="n">
        <v>20</v>
      </c>
      <c r="Y42" s="51" t="n">
        <v>0.58</v>
      </c>
      <c r="Z42" s="95" t="n">
        <f aca="false">AVERAGEA(AA42, Y42)</f>
        <v>4.29</v>
      </c>
      <c r="AA42" s="53" t="n">
        <v>8</v>
      </c>
      <c r="AB42" s="96" t="n">
        <v>0.58</v>
      </c>
      <c r="AC42" s="55" t="n">
        <f aca="false">AVERAGEA(AD42, AB42)</f>
        <v>4.29</v>
      </c>
      <c r="AD42" s="97" t="n">
        <v>8</v>
      </c>
      <c r="AE42" s="98" t="n">
        <v>3</v>
      </c>
      <c r="AF42" s="52" t="n">
        <f aca="false">AVERAGEA(AG42, AE42)</f>
        <v>13.5</v>
      </c>
      <c r="AG42" s="99" t="n">
        <v>24</v>
      </c>
      <c r="AH42" s="100" t="n">
        <v>6</v>
      </c>
      <c r="AI42" s="79" t="n">
        <f aca="false">AVERAGEA(AJ42, AH42)</f>
        <v>8</v>
      </c>
      <c r="AJ42" s="99" t="n">
        <v>10</v>
      </c>
      <c r="AK42" s="96" t="n">
        <v>1400</v>
      </c>
      <c r="AL42" s="101" t="n">
        <f aca="false">AVERAGEA(AM42, AK42)</f>
        <v>1680.5</v>
      </c>
      <c r="AM42" s="56" t="n">
        <v>1961</v>
      </c>
      <c r="AN42" s="51" t="n">
        <v>31.1</v>
      </c>
      <c r="AO42" s="52" t="n">
        <f aca="false">AVERAGEA(AP42, AN42)</f>
        <v>34.05</v>
      </c>
      <c r="AP42" s="53" t="n">
        <v>37</v>
      </c>
      <c r="AQ42" s="80" t="n">
        <v>2.6</v>
      </c>
      <c r="AR42" s="55" t="n">
        <f aca="false">AVERAGEA(AS42, AQ42)</f>
        <v>6.55</v>
      </c>
      <c r="AS42" s="56" t="n">
        <v>10.5</v>
      </c>
      <c r="AT42" s="51" t="n">
        <v>8.4</v>
      </c>
      <c r="AU42" s="52" t="n">
        <f aca="false">AVERAGE(AT42,AV42)</f>
        <v>39.45</v>
      </c>
      <c r="AV42" s="53" t="n">
        <v>70.5</v>
      </c>
      <c r="AW42" s="81" t="n">
        <v>46</v>
      </c>
      <c r="AX42" s="55" t="n">
        <f aca="false">AVERAGE(AW42,AY42)</f>
        <v>81.5</v>
      </c>
      <c r="AY42" s="56" t="n">
        <v>117</v>
      </c>
      <c r="AZ42" s="51" t="n">
        <v>67</v>
      </c>
      <c r="BA42" s="52" t="n">
        <f aca="false">AVERAGE(AZ42,BB42)</f>
        <v>88.5</v>
      </c>
      <c r="BB42" s="53" t="n">
        <v>110</v>
      </c>
      <c r="BC42" s="80" t="n">
        <v>1.8</v>
      </c>
      <c r="BD42" s="55" t="n">
        <f aca="false">AVERAGEA(BE42, BC42)</f>
        <v>1.8</v>
      </c>
      <c r="BE42" s="56" t="n">
        <v>1.8</v>
      </c>
      <c r="BF42" s="51" t="n">
        <v>120</v>
      </c>
      <c r="BG42" s="52" t="n">
        <f aca="false">AVERAGEA(BF42,BH42)</f>
        <v>240</v>
      </c>
      <c r="BH42" s="53" t="n">
        <v>360</v>
      </c>
      <c r="BI42" s="81" t="n">
        <v>4</v>
      </c>
      <c r="BJ42" s="55" t="n">
        <f aca="false">AVERAGEA(BI42,BK42)</f>
        <v>5.5</v>
      </c>
      <c r="BK42" s="56" t="n">
        <v>7</v>
      </c>
      <c r="BL42" s="51" t="n">
        <v>5</v>
      </c>
      <c r="BM42" s="52" t="n">
        <f aca="false">AVERAGEA(BL42,BN42)</f>
        <v>8.9</v>
      </c>
      <c r="BN42" s="53" t="n">
        <v>12.8</v>
      </c>
    </row>
    <row r="43" customFormat="false" ht="15" hidden="false" customHeight="true" outlineLevel="0" collapsed="false">
      <c r="B43" s="43"/>
      <c r="C43" s="87"/>
      <c r="D43" s="82"/>
      <c r="E43" s="46" t="s">
        <v>46</v>
      </c>
      <c r="F43" s="83"/>
      <c r="G43" s="93" t="n">
        <v>26.7555293750025</v>
      </c>
      <c r="H43" s="73" t="n">
        <f aca="false">AVERAGE(G43,I43)</f>
        <v>30.9155581618704</v>
      </c>
      <c r="I43" s="94" t="n">
        <v>35.0755869487383</v>
      </c>
      <c r="J43" s="51" t="s">
        <v>44</v>
      </c>
      <c r="K43" s="52"/>
      <c r="L43" s="53" t="s">
        <v>44</v>
      </c>
      <c r="M43" s="54" t="s">
        <v>44</v>
      </c>
      <c r="N43" s="55"/>
      <c r="O43" s="56" t="s">
        <v>44</v>
      </c>
      <c r="P43" s="54" t="s">
        <v>44</v>
      </c>
      <c r="Q43" s="55"/>
      <c r="R43" s="55" t="s">
        <v>44</v>
      </c>
      <c r="S43" s="51" t="n">
        <v>85</v>
      </c>
      <c r="T43" s="52" t="n">
        <f aca="false">AVERAGEA(U43, S43)</f>
        <v>85.65</v>
      </c>
      <c r="U43" s="53" t="n">
        <v>86.3</v>
      </c>
      <c r="V43" s="80" t="n">
        <v>60</v>
      </c>
      <c r="W43" s="55" t="n">
        <f aca="false">AVERAGEA(X43, V43)</f>
        <v>40</v>
      </c>
      <c r="X43" s="56" t="n">
        <v>20</v>
      </c>
      <c r="Y43" s="51" t="n">
        <v>0.58</v>
      </c>
      <c r="Z43" s="95" t="n">
        <f aca="false">AVERAGEA(AA43, Y43)</f>
        <v>4.29</v>
      </c>
      <c r="AA43" s="53" t="n">
        <v>8</v>
      </c>
      <c r="AB43" s="96" t="n">
        <v>0.58</v>
      </c>
      <c r="AC43" s="55" t="n">
        <f aca="false">AVERAGEA(AD43, AB43)</f>
        <v>4.29</v>
      </c>
      <c r="AD43" s="97" t="n">
        <v>8</v>
      </c>
      <c r="AE43" s="98" t="n">
        <v>3</v>
      </c>
      <c r="AF43" s="52" t="n">
        <f aca="false">AVERAGEA(AG43, AE43)</f>
        <v>13.5</v>
      </c>
      <c r="AG43" s="99" t="n">
        <v>24</v>
      </c>
      <c r="AH43" s="100" t="n">
        <v>6</v>
      </c>
      <c r="AI43" s="79" t="n">
        <f aca="false">AVERAGEA(AJ43, AH43)</f>
        <v>8</v>
      </c>
      <c r="AJ43" s="99" t="n">
        <v>10</v>
      </c>
      <c r="AK43" s="96" t="n">
        <v>1400</v>
      </c>
      <c r="AL43" s="101" t="n">
        <f aca="false">AVERAGEA(AM43, AK43)</f>
        <v>1680.5</v>
      </c>
      <c r="AM43" s="56" t="n">
        <v>1961</v>
      </c>
      <c r="AN43" s="51" t="n">
        <v>31.1</v>
      </c>
      <c r="AO43" s="52" t="n">
        <f aca="false">AVERAGEA(AP43, AN43)</f>
        <v>34.05</v>
      </c>
      <c r="AP43" s="53" t="n">
        <v>37</v>
      </c>
      <c r="AQ43" s="80" t="n">
        <v>2.6</v>
      </c>
      <c r="AR43" s="55" t="n">
        <f aca="false">AVERAGEA(AS43, AQ43)</f>
        <v>6.55</v>
      </c>
      <c r="AS43" s="56" t="n">
        <v>10.5</v>
      </c>
      <c r="AT43" s="51" t="n">
        <v>8.4</v>
      </c>
      <c r="AU43" s="52" t="n">
        <f aca="false">AVERAGE(AT43,AV43)</f>
        <v>39.45</v>
      </c>
      <c r="AV43" s="53" t="n">
        <v>70.5</v>
      </c>
      <c r="AW43" s="81" t="n">
        <v>46</v>
      </c>
      <c r="AX43" s="55" t="n">
        <f aca="false">AVERAGE(AW43,AY43)</f>
        <v>81.5</v>
      </c>
      <c r="AY43" s="56" t="n">
        <v>117</v>
      </c>
      <c r="AZ43" s="51" t="n">
        <v>67</v>
      </c>
      <c r="BA43" s="52" t="n">
        <f aca="false">AVERAGE(AZ43,BB43)</f>
        <v>88.5</v>
      </c>
      <c r="BB43" s="53" t="n">
        <v>110</v>
      </c>
      <c r="BC43" s="80" t="n">
        <v>1.8</v>
      </c>
      <c r="BD43" s="55" t="n">
        <f aca="false">AVERAGEA(BE43, BC43)</f>
        <v>1.8</v>
      </c>
      <c r="BE43" s="56" t="n">
        <v>1.8</v>
      </c>
      <c r="BF43" s="51" t="n">
        <v>120</v>
      </c>
      <c r="BG43" s="52" t="n">
        <f aca="false">AVERAGEA(BF43,BH43)</f>
        <v>240</v>
      </c>
      <c r="BH43" s="53" t="n">
        <v>360</v>
      </c>
      <c r="BI43" s="81" t="n">
        <v>4</v>
      </c>
      <c r="BJ43" s="55" t="n">
        <f aca="false">AVERAGEA(BI43,BK43)</f>
        <v>5.5</v>
      </c>
      <c r="BK43" s="56" t="n">
        <v>7</v>
      </c>
      <c r="BL43" s="51" t="n">
        <v>5</v>
      </c>
      <c r="BM43" s="52" t="n">
        <f aca="false">AVERAGEA(BL43,BN43)</f>
        <v>8.9</v>
      </c>
      <c r="BN43" s="53" t="n">
        <v>12.8</v>
      </c>
    </row>
    <row r="44" customFormat="false" ht="15" hidden="false" customHeight="true" outlineLevel="0" collapsed="false">
      <c r="B44" s="43"/>
      <c r="C44" s="87"/>
      <c r="D44" s="82"/>
      <c r="E44" s="46" t="s">
        <v>47</v>
      </c>
      <c r="F44" s="83"/>
      <c r="G44" s="93" t="n">
        <v>21.147009345108</v>
      </c>
      <c r="H44" s="73" t="n">
        <f aca="false">AVERAGE(G44,I44)</f>
        <v>23.9325877466905</v>
      </c>
      <c r="I44" s="94" t="n">
        <v>26.718166148273</v>
      </c>
      <c r="J44" s="51" t="s">
        <v>44</v>
      </c>
      <c r="K44" s="52"/>
      <c r="L44" s="53" t="s">
        <v>44</v>
      </c>
      <c r="M44" s="54" t="s">
        <v>44</v>
      </c>
      <c r="N44" s="55"/>
      <c r="O44" s="56" t="s">
        <v>44</v>
      </c>
      <c r="P44" s="54" t="s">
        <v>44</v>
      </c>
      <c r="Q44" s="55"/>
      <c r="R44" s="55" t="s">
        <v>44</v>
      </c>
      <c r="S44" s="51" t="n">
        <v>85</v>
      </c>
      <c r="T44" s="52" t="n">
        <f aca="false">AVERAGEA(U44, S44)</f>
        <v>85.65</v>
      </c>
      <c r="U44" s="53" t="n">
        <v>86.3</v>
      </c>
      <c r="V44" s="80" t="n">
        <v>60</v>
      </c>
      <c r="W44" s="55" t="n">
        <f aca="false">AVERAGEA(X44, V44)</f>
        <v>40</v>
      </c>
      <c r="X44" s="56" t="n">
        <v>20</v>
      </c>
      <c r="Y44" s="51" t="n">
        <v>0.58</v>
      </c>
      <c r="Z44" s="95" t="n">
        <f aca="false">AVERAGEA(AA44, Y44)</f>
        <v>4.29</v>
      </c>
      <c r="AA44" s="53" t="n">
        <v>8</v>
      </c>
      <c r="AB44" s="96" t="n">
        <v>0.58</v>
      </c>
      <c r="AC44" s="55" t="n">
        <f aca="false">AVERAGEA(AD44, AB44)</f>
        <v>4.29</v>
      </c>
      <c r="AD44" s="97" t="n">
        <v>8</v>
      </c>
      <c r="AE44" s="98" t="n">
        <v>3</v>
      </c>
      <c r="AF44" s="52" t="n">
        <f aca="false">AVERAGEA(AG44, AE44)</f>
        <v>13.5</v>
      </c>
      <c r="AG44" s="99" t="n">
        <v>24</v>
      </c>
      <c r="AH44" s="100" t="n">
        <v>6</v>
      </c>
      <c r="AI44" s="79" t="n">
        <f aca="false">AVERAGEA(AJ44, AH44)</f>
        <v>8</v>
      </c>
      <c r="AJ44" s="99" t="n">
        <v>10</v>
      </c>
      <c r="AK44" s="96" t="n">
        <v>1400</v>
      </c>
      <c r="AL44" s="101" t="n">
        <f aca="false">AVERAGEA(AM44, AK44)</f>
        <v>1680.5</v>
      </c>
      <c r="AM44" s="56" t="n">
        <v>1961</v>
      </c>
      <c r="AN44" s="51" t="n">
        <v>31.1</v>
      </c>
      <c r="AO44" s="52" t="n">
        <f aca="false">AVERAGEA(AP44, AN44)</f>
        <v>34.05</v>
      </c>
      <c r="AP44" s="53" t="n">
        <v>37</v>
      </c>
      <c r="AQ44" s="80" t="n">
        <v>2.6</v>
      </c>
      <c r="AR44" s="55" t="n">
        <f aca="false">AVERAGEA(AS44, AQ44)</f>
        <v>6.55</v>
      </c>
      <c r="AS44" s="56" t="n">
        <v>10.5</v>
      </c>
      <c r="AT44" s="51" t="n">
        <v>8.4</v>
      </c>
      <c r="AU44" s="52" t="n">
        <f aca="false">AVERAGE(AT44,AV44)</f>
        <v>39.45</v>
      </c>
      <c r="AV44" s="53" t="n">
        <v>70.5</v>
      </c>
      <c r="AW44" s="81" t="n">
        <v>46</v>
      </c>
      <c r="AX44" s="55" t="n">
        <f aca="false">AVERAGE(AW44,AY44)</f>
        <v>81.5</v>
      </c>
      <c r="AY44" s="56" t="n">
        <v>117</v>
      </c>
      <c r="AZ44" s="51" t="n">
        <v>67</v>
      </c>
      <c r="BA44" s="52" t="n">
        <f aca="false">AVERAGE(AZ44,BB44)</f>
        <v>88.5</v>
      </c>
      <c r="BB44" s="53" t="n">
        <v>110</v>
      </c>
      <c r="BC44" s="80" t="n">
        <v>1.8</v>
      </c>
      <c r="BD44" s="55" t="n">
        <f aca="false">AVERAGEA(BE44, BC44)</f>
        <v>1.8</v>
      </c>
      <c r="BE44" s="56" t="n">
        <v>1.8</v>
      </c>
      <c r="BF44" s="51" t="n">
        <v>120</v>
      </c>
      <c r="BG44" s="52" t="n">
        <f aca="false">AVERAGEA(BF44,BH44)</f>
        <v>240</v>
      </c>
      <c r="BH44" s="53" t="n">
        <v>360</v>
      </c>
      <c r="BI44" s="81" t="n">
        <v>4</v>
      </c>
      <c r="BJ44" s="55" t="n">
        <f aca="false">AVERAGEA(BI44,BK44)</f>
        <v>5.5</v>
      </c>
      <c r="BK44" s="56" t="n">
        <v>7</v>
      </c>
      <c r="BL44" s="51" t="n">
        <v>5</v>
      </c>
      <c r="BM44" s="52" t="n">
        <f aca="false">AVERAGEA(BL44,BN44)</f>
        <v>8.9</v>
      </c>
      <c r="BN44" s="53" t="n">
        <v>12.8</v>
      </c>
    </row>
    <row r="45" customFormat="false" ht="15" hidden="false" customHeight="true" outlineLevel="0" collapsed="false">
      <c r="B45" s="43"/>
      <c r="C45" s="87"/>
      <c r="D45" s="82" t="s">
        <v>49</v>
      </c>
      <c r="E45" s="46" t="s">
        <v>43</v>
      </c>
      <c r="F45" s="83"/>
      <c r="G45" s="93" t="n">
        <v>36.6053488967538</v>
      </c>
      <c r="H45" s="73" t="n">
        <f aca="false">AVERAGE(G45,I45)</f>
        <v>37.6975951159586</v>
      </c>
      <c r="I45" s="94" t="n">
        <v>38.7898413351634</v>
      </c>
      <c r="J45" s="51" t="s">
        <v>44</v>
      </c>
      <c r="K45" s="52"/>
      <c r="L45" s="53" t="s">
        <v>44</v>
      </c>
      <c r="M45" s="54" t="s">
        <v>44</v>
      </c>
      <c r="N45" s="55"/>
      <c r="O45" s="56" t="s">
        <v>44</v>
      </c>
      <c r="P45" s="54" t="s">
        <v>44</v>
      </c>
      <c r="Q45" s="55"/>
      <c r="R45" s="55" t="s">
        <v>44</v>
      </c>
      <c r="S45" s="51" t="n">
        <v>85</v>
      </c>
      <c r="T45" s="52" t="n">
        <f aca="false">AVERAGEA(U45, S45)</f>
        <v>85.65</v>
      </c>
      <c r="U45" s="53" t="n">
        <v>86.3</v>
      </c>
      <c r="V45" s="80" t="n">
        <v>60</v>
      </c>
      <c r="W45" s="55" t="n">
        <f aca="false">AVERAGEA(X45, V45)</f>
        <v>40</v>
      </c>
      <c r="X45" s="56" t="n">
        <v>20</v>
      </c>
      <c r="Y45" s="51" t="n">
        <v>0.58</v>
      </c>
      <c r="Z45" s="95" t="n">
        <f aca="false">AVERAGEA(AA45, Y45)</f>
        <v>4.29</v>
      </c>
      <c r="AA45" s="53" t="n">
        <v>8</v>
      </c>
      <c r="AB45" s="96" t="n">
        <v>0.58</v>
      </c>
      <c r="AC45" s="55" t="n">
        <f aca="false">AVERAGEA(AD45, AB45)</f>
        <v>4.29</v>
      </c>
      <c r="AD45" s="97" t="n">
        <v>8</v>
      </c>
      <c r="AE45" s="98" t="n">
        <v>3</v>
      </c>
      <c r="AF45" s="52" t="n">
        <f aca="false">AVERAGEA(AG45, AE45)</f>
        <v>13.5</v>
      </c>
      <c r="AG45" s="99" t="n">
        <v>24</v>
      </c>
      <c r="AH45" s="100" t="n">
        <v>6</v>
      </c>
      <c r="AI45" s="79" t="n">
        <f aca="false">AVERAGEA(AJ45, AH45)</f>
        <v>8</v>
      </c>
      <c r="AJ45" s="99" t="n">
        <v>10</v>
      </c>
      <c r="AK45" s="96" t="n">
        <v>1400</v>
      </c>
      <c r="AL45" s="101" t="n">
        <f aca="false">AVERAGEA(AM45, AK45)</f>
        <v>1680.5</v>
      </c>
      <c r="AM45" s="56" t="n">
        <v>1961</v>
      </c>
      <c r="AN45" s="51" t="n">
        <v>31.1</v>
      </c>
      <c r="AO45" s="52" t="n">
        <f aca="false">AVERAGEA(AP45, AN45)</f>
        <v>34.05</v>
      </c>
      <c r="AP45" s="53" t="n">
        <v>37</v>
      </c>
      <c r="AQ45" s="80" t="n">
        <v>2.6</v>
      </c>
      <c r="AR45" s="55" t="n">
        <f aca="false">AVERAGEA(AS45, AQ45)</f>
        <v>6.55</v>
      </c>
      <c r="AS45" s="56" t="n">
        <v>10.5</v>
      </c>
      <c r="AT45" s="51" t="n">
        <v>8.4</v>
      </c>
      <c r="AU45" s="52" t="n">
        <f aca="false">AVERAGE(AT45,AV45)</f>
        <v>39.45</v>
      </c>
      <c r="AV45" s="53" t="n">
        <v>70.5</v>
      </c>
      <c r="AW45" s="81" t="n">
        <v>46</v>
      </c>
      <c r="AX45" s="55" t="n">
        <f aca="false">AVERAGE(AW45,AY45)</f>
        <v>81.5</v>
      </c>
      <c r="AY45" s="56" t="n">
        <v>117</v>
      </c>
      <c r="AZ45" s="51" t="n">
        <v>67</v>
      </c>
      <c r="BA45" s="52" t="n">
        <f aca="false">AVERAGE(AZ45,BB45)</f>
        <v>88.5</v>
      </c>
      <c r="BB45" s="53" t="n">
        <v>110</v>
      </c>
      <c r="BC45" s="80" t="n">
        <v>1.8</v>
      </c>
      <c r="BD45" s="55" t="n">
        <f aca="false">AVERAGEA(BE45, BC45)</f>
        <v>1.8</v>
      </c>
      <c r="BE45" s="56" t="n">
        <v>1.8</v>
      </c>
      <c r="BF45" s="51" t="n">
        <v>120</v>
      </c>
      <c r="BG45" s="52" t="n">
        <f aca="false">AVERAGEA(BF45,BH45)</f>
        <v>240</v>
      </c>
      <c r="BH45" s="53" t="n">
        <v>360</v>
      </c>
      <c r="BI45" s="81" t="n">
        <v>4</v>
      </c>
      <c r="BJ45" s="55" t="n">
        <f aca="false">AVERAGEA(BI45,BK45)</f>
        <v>5.5</v>
      </c>
      <c r="BK45" s="56" t="n">
        <v>7</v>
      </c>
      <c r="BL45" s="51" t="n">
        <v>5</v>
      </c>
      <c r="BM45" s="52" t="n">
        <f aca="false">AVERAGEA(BL45,BN45)</f>
        <v>8.9</v>
      </c>
      <c r="BN45" s="53" t="n">
        <v>12.8</v>
      </c>
    </row>
    <row r="46" customFormat="false" ht="15" hidden="false" customHeight="true" outlineLevel="0" collapsed="false">
      <c r="B46" s="43"/>
      <c r="C46" s="87"/>
      <c r="D46" s="82"/>
      <c r="E46" s="46" t="s">
        <v>45</v>
      </c>
      <c r="F46" s="83"/>
      <c r="G46" s="93" t="n">
        <v>33.9631806266255</v>
      </c>
      <c r="H46" s="73" t="n">
        <f aca="false">AVERAGE(G46,I46)</f>
        <v>35.280893282292</v>
      </c>
      <c r="I46" s="94" t="n">
        <v>36.5986059379585</v>
      </c>
      <c r="J46" s="51" t="s">
        <v>44</v>
      </c>
      <c r="K46" s="52"/>
      <c r="L46" s="53" t="s">
        <v>44</v>
      </c>
      <c r="M46" s="54" t="s">
        <v>44</v>
      </c>
      <c r="N46" s="55"/>
      <c r="O46" s="56" t="s">
        <v>44</v>
      </c>
      <c r="P46" s="54" t="s">
        <v>44</v>
      </c>
      <c r="Q46" s="55"/>
      <c r="R46" s="55" t="s">
        <v>44</v>
      </c>
      <c r="S46" s="51" t="n">
        <v>85</v>
      </c>
      <c r="T46" s="52" t="n">
        <f aca="false">AVERAGEA(U46, S46)</f>
        <v>85.65</v>
      </c>
      <c r="U46" s="53" t="n">
        <v>86.3</v>
      </c>
      <c r="V46" s="80" t="n">
        <v>60</v>
      </c>
      <c r="W46" s="55" t="n">
        <f aca="false">AVERAGEA(X46, V46)</f>
        <v>40</v>
      </c>
      <c r="X46" s="56" t="n">
        <v>20</v>
      </c>
      <c r="Y46" s="51" t="n">
        <v>0.58</v>
      </c>
      <c r="Z46" s="95" t="n">
        <f aca="false">AVERAGEA(AA46, Y46)</f>
        <v>4.29</v>
      </c>
      <c r="AA46" s="53" t="n">
        <v>8</v>
      </c>
      <c r="AB46" s="96" t="n">
        <v>0.58</v>
      </c>
      <c r="AC46" s="55" t="n">
        <f aca="false">AVERAGEA(AD46, AB46)</f>
        <v>4.29</v>
      </c>
      <c r="AD46" s="97" t="n">
        <v>8</v>
      </c>
      <c r="AE46" s="98" t="n">
        <v>3</v>
      </c>
      <c r="AF46" s="52" t="n">
        <f aca="false">AVERAGEA(AG46, AE46)</f>
        <v>13.5</v>
      </c>
      <c r="AG46" s="99" t="n">
        <v>24</v>
      </c>
      <c r="AH46" s="100" t="n">
        <v>6</v>
      </c>
      <c r="AI46" s="79" t="n">
        <f aca="false">AVERAGEA(AJ46, AH46)</f>
        <v>8</v>
      </c>
      <c r="AJ46" s="99" t="n">
        <v>10</v>
      </c>
      <c r="AK46" s="96" t="n">
        <v>1400</v>
      </c>
      <c r="AL46" s="101" t="n">
        <f aca="false">AVERAGEA(AM46, AK46)</f>
        <v>1680.5</v>
      </c>
      <c r="AM46" s="56" t="n">
        <v>1961</v>
      </c>
      <c r="AN46" s="51" t="n">
        <v>31.1</v>
      </c>
      <c r="AO46" s="52" t="n">
        <f aca="false">AVERAGEA(AP46, AN46)</f>
        <v>34.05</v>
      </c>
      <c r="AP46" s="53" t="n">
        <v>37</v>
      </c>
      <c r="AQ46" s="80" t="n">
        <v>2.6</v>
      </c>
      <c r="AR46" s="55" t="n">
        <f aca="false">AVERAGEA(AS46, AQ46)</f>
        <v>6.55</v>
      </c>
      <c r="AS46" s="56" t="n">
        <v>10.5</v>
      </c>
      <c r="AT46" s="51" t="n">
        <v>8.4</v>
      </c>
      <c r="AU46" s="52" t="n">
        <f aca="false">AVERAGE(AT46,AV46)</f>
        <v>39.45</v>
      </c>
      <c r="AV46" s="53" t="n">
        <v>70.5</v>
      </c>
      <c r="AW46" s="81" t="n">
        <v>46</v>
      </c>
      <c r="AX46" s="55" t="n">
        <f aca="false">AVERAGE(AW46,AY46)</f>
        <v>81.5</v>
      </c>
      <c r="AY46" s="56" t="n">
        <v>117</v>
      </c>
      <c r="AZ46" s="51" t="n">
        <v>67</v>
      </c>
      <c r="BA46" s="52" t="n">
        <f aca="false">AVERAGE(AZ46,BB46)</f>
        <v>88.5</v>
      </c>
      <c r="BB46" s="53" t="n">
        <v>110</v>
      </c>
      <c r="BC46" s="80" t="n">
        <v>1.8</v>
      </c>
      <c r="BD46" s="55" t="n">
        <f aca="false">AVERAGEA(BE46, BC46)</f>
        <v>1.8</v>
      </c>
      <c r="BE46" s="56" t="n">
        <v>1.8</v>
      </c>
      <c r="BF46" s="51" t="n">
        <v>120</v>
      </c>
      <c r="BG46" s="52" t="n">
        <f aca="false">AVERAGEA(BF46,BH46)</f>
        <v>240</v>
      </c>
      <c r="BH46" s="53" t="n">
        <v>360</v>
      </c>
      <c r="BI46" s="81" t="n">
        <v>4</v>
      </c>
      <c r="BJ46" s="55" t="n">
        <f aca="false">AVERAGEA(BI46,BK46)</f>
        <v>5.5</v>
      </c>
      <c r="BK46" s="56" t="n">
        <v>7</v>
      </c>
      <c r="BL46" s="51" t="n">
        <v>5</v>
      </c>
      <c r="BM46" s="52" t="n">
        <f aca="false">AVERAGEA(BL46,BN46)</f>
        <v>8.9</v>
      </c>
      <c r="BN46" s="53" t="n">
        <v>12.8</v>
      </c>
    </row>
    <row r="47" customFormat="false" ht="15" hidden="false" customHeight="true" outlineLevel="0" collapsed="false">
      <c r="B47" s="43"/>
      <c r="C47" s="87"/>
      <c r="D47" s="82"/>
      <c r="E47" s="46" t="s">
        <v>46</v>
      </c>
      <c r="F47" s="83"/>
      <c r="G47" s="93" t="n">
        <v>25.8932451769239</v>
      </c>
      <c r="H47" s="73" t="n">
        <f aca="false">AVERAGE(G47,I47)</f>
        <v>29.9192034680751</v>
      </c>
      <c r="I47" s="94" t="n">
        <v>33.9451617592263</v>
      </c>
      <c r="J47" s="51" t="s">
        <v>44</v>
      </c>
      <c r="K47" s="52"/>
      <c r="L47" s="53" t="s">
        <v>44</v>
      </c>
      <c r="M47" s="54" t="s">
        <v>44</v>
      </c>
      <c r="N47" s="55"/>
      <c r="O47" s="56" t="s">
        <v>44</v>
      </c>
      <c r="P47" s="54" t="s">
        <v>44</v>
      </c>
      <c r="Q47" s="55"/>
      <c r="R47" s="55" t="s">
        <v>44</v>
      </c>
      <c r="S47" s="51" t="n">
        <v>85</v>
      </c>
      <c r="T47" s="52" t="n">
        <f aca="false">AVERAGEA(U47, S47)</f>
        <v>85.65</v>
      </c>
      <c r="U47" s="53" t="n">
        <v>86.3</v>
      </c>
      <c r="V47" s="80" t="n">
        <v>60</v>
      </c>
      <c r="W47" s="55" t="n">
        <f aca="false">AVERAGEA(X47, V47)</f>
        <v>40</v>
      </c>
      <c r="X47" s="56" t="n">
        <v>20</v>
      </c>
      <c r="Y47" s="51" t="n">
        <v>0.58</v>
      </c>
      <c r="Z47" s="95" t="n">
        <f aca="false">AVERAGEA(AA47, Y47)</f>
        <v>4.29</v>
      </c>
      <c r="AA47" s="53" t="n">
        <v>8</v>
      </c>
      <c r="AB47" s="96" t="n">
        <v>0.58</v>
      </c>
      <c r="AC47" s="55" t="n">
        <f aca="false">AVERAGEA(AD47, AB47)</f>
        <v>4.29</v>
      </c>
      <c r="AD47" s="97" t="n">
        <v>8</v>
      </c>
      <c r="AE47" s="98" t="n">
        <v>3</v>
      </c>
      <c r="AF47" s="52" t="n">
        <f aca="false">AVERAGEA(AG47, AE47)</f>
        <v>13.5</v>
      </c>
      <c r="AG47" s="99" t="n">
        <v>24</v>
      </c>
      <c r="AH47" s="100" t="n">
        <v>6</v>
      </c>
      <c r="AI47" s="79" t="n">
        <f aca="false">AVERAGEA(AJ47, AH47)</f>
        <v>8</v>
      </c>
      <c r="AJ47" s="99" t="n">
        <v>10</v>
      </c>
      <c r="AK47" s="96" t="n">
        <v>1400</v>
      </c>
      <c r="AL47" s="101" t="n">
        <f aca="false">AVERAGEA(AM47, AK47)</f>
        <v>1680.5</v>
      </c>
      <c r="AM47" s="56" t="n">
        <v>1961</v>
      </c>
      <c r="AN47" s="51" t="n">
        <v>31.1</v>
      </c>
      <c r="AO47" s="52" t="n">
        <f aca="false">AVERAGEA(AP47, AN47)</f>
        <v>34.05</v>
      </c>
      <c r="AP47" s="53" t="n">
        <v>37</v>
      </c>
      <c r="AQ47" s="80" t="n">
        <v>2.6</v>
      </c>
      <c r="AR47" s="55" t="n">
        <f aca="false">AVERAGEA(AS47, AQ47)</f>
        <v>6.55</v>
      </c>
      <c r="AS47" s="56" t="n">
        <v>10.5</v>
      </c>
      <c r="AT47" s="51" t="n">
        <v>8.4</v>
      </c>
      <c r="AU47" s="52" t="n">
        <f aca="false">AVERAGE(AT47,AV47)</f>
        <v>39.45</v>
      </c>
      <c r="AV47" s="53" t="n">
        <v>70.5</v>
      </c>
      <c r="AW47" s="81" t="n">
        <v>46</v>
      </c>
      <c r="AX47" s="55" t="n">
        <f aca="false">AVERAGE(AW47,AY47)</f>
        <v>81.5</v>
      </c>
      <c r="AY47" s="56" t="n">
        <v>117</v>
      </c>
      <c r="AZ47" s="51" t="n">
        <v>67</v>
      </c>
      <c r="BA47" s="52" t="n">
        <f aca="false">AVERAGE(AZ47,BB47)</f>
        <v>88.5</v>
      </c>
      <c r="BB47" s="53" t="n">
        <v>110</v>
      </c>
      <c r="BC47" s="80" t="n">
        <v>1.8</v>
      </c>
      <c r="BD47" s="55" t="n">
        <f aca="false">AVERAGEA(BE47, BC47)</f>
        <v>1.8</v>
      </c>
      <c r="BE47" s="56" t="n">
        <v>1.8</v>
      </c>
      <c r="BF47" s="51" t="n">
        <v>120</v>
      </c>
      <c r="BG47" s="52" t="n">
        <f aca="false">AVERAGEA(BF47,BH47)</f>
        <v>240</v>
      </c>
      <c r="BH47" s="53" t="n">
        <v>360</v>
      </c>
      <c r="BI47" s="81" t="n">
        <v>4</v>
      </c>
      <c r="BJ47" s="55" t="n">
        <f aca="false">AVERAGEA(BI47,BK47)</f>
        <v>5.5</v>
      </c>
      <c r="BK47" s="56" t="n">
        <v>7</v>
      </c>
      <c r="BL47" s="51" t="n">
        <v>5</v>
      </c>
      <c r="BM47" s="52" t="n">
        <f aca="false">AVERAGEA(BL47,BN47)</f>
        <v>8.9</v>
      </c>
      <c r="BN47" s="53" t="n">
        <v>12.8</v>
      </c>
    </row>
    <row r="48" customFormat="false" ht="15" hidden="false" customHeight="true" outlineLevel="0" collapsed="false">
      <c r="B48" s="43"/>
      <c r="C48" s="87"/>
      <c r="D48" s="82"/>
      <c r="E48" s="46" t="s">
        <v>47</v>
      </c>
      <c r="F48" s="83"/>
      <c r="G48" s="93" t="n">
        <v>20.4654779973505</v>
      </c>
      <c r="H48" s="73" t="n">
        <f aca="false">AVERAGE(G48,I48)</f>
        <v>23.1612820496938</v>
      </c>
      <c r="I48" s="94" t="n">
        <v>25.857086102037</v>
      </c>
      <c r="J48" s="51" t="s">
        <v>44</v>
      </c>
      <c r="K48" s="52"/>
      <c r="L48" s="53" t="s">
        <v>44</v>
      </c>
      <c r="M48" s="54" t="s">
        <v>44</v>
      </c>
      <c r="N48" s="55"/>
      <c r="O48" s="56" t="s">
        <v>44</v>
      </c>
      <c r="P48" s="54" t="s">
        <v>44</v>
      </c>
      <c r="Q48" s="55"/>
      <c r="R48" s="55" t="s">
        <v>44</v>
      </c>
      <c r="S48" s="51" t="n">
        <v>85</v>
      </c>
      <c r="T48" s="52" t="n">
        <f aca="false">AVERAGEA(U48, S48)</f>
        <v>85.65</v>
      </c>
      <c r="U48" s="53" t="n">
        <v>86.3</v>
      </c>
      <c r="V48" s="80" t="n">
        <v>60</v>
      </c>
      <c r="W48" s="55" t="n">
        <f aca="false">AVERAGEA(X48, V48)</f>
        <v>40</v>
      </c>
      <c r="X48" s="56" t="n">
        <v>20</v>
      </c>
      <c r="Y48" s="51" t="n">
        <v>0.58</v>
      </c>
      <c r="Z48" s="95" t="n">
        <f aca="false">AVERAGEA(AA48, Y48)</f>
        <v>4.29</v>
      </c>
      <c r="AA48" s="53" t="n">
        <v>8</v>
      </c>
      <c r="AB48" s="96" t="n">
        <v>0.58</v>
      </c>
      <c r="AC48" s="55" t="n">
        <f aca="false">AVERAGEA(AD48, AB48)</f>
        <v>4.29</v>
      </c>
      <c r="AD48" s="97" t="n">
        <v>8</v>
      </c>
      <c r="AE48" s="98" t="n">
        <v>3</v>
      </c>
      <c r="AF48" s="52" t="n">
        <f aca="false">AVERAGEA(AG48, AE48)</f>
        <v>13.5</v>
      </c>
      <c r="AG48" s="99" t="n">
        <v>24</v>
      </c>
      <c r="AH48" s="100" t="n">
        <v>6</v>
      </c>
      <c r="AI48" s="79" t="n">
        <f aca="false">AVERAGEA(AJ48, AH48)</f>
        <v>8</v>
      </c>
      <c r="AJ48" s="99" t="n">
        <v>10</v>
      </c>
      <c r="AK48" s="96" t="n">
        <v>1400</v>
      </c>
      <c r="AL48" s="101" t="n">
        <f aca="false">AVERAGEA(AM48, AK48)</f>
        <v>1680.5</v>
      </c>
      <c r="AM48" s="56" t="n">
        <v>1961</v>
      </c>
      <c r="AN48" s="51" t="n">
        <v>31.1</v>
      </c>
      <c r="AO48" s="52" t="n">
        <f aca="false">AVERAGEA(AP48, AN48)</f>
        <v>34.05</v>
      </c>
      <c r="AP48" s="53" t="n">
        <v>37</v>
      </c>
      <c r="AQ48" s="80" t="n">
        <v>2.6</v>
      </c>
      <c r="AR48" s="55" t="n">
        <f aca="false">AVERAGEA(AS48, AQ48)</f>
        <v>6.55</v>
      </c>
      <c r="AS48" s="56" t="n">
        <v>10.5</v>
      </c>
      <c r="AT48" s="51" t="n">
        <v>8.4</v>
      </c>
      <c r="AU48" s="52" t="n">
        <f aca="false">AVERAGE(AT48,AV48)</f>
        <v>39.45</v>
      </c>
      <c r="AV48" s="53" t="n">
        <v>70.5</v>
      </c>
      <c r="AW48" s="81" t="n">
        <v>46</v>
      </c>
      <c r="AX48" s="55" t="n">
        <f aca="false">AVERAGE(AW48,AY48)</f>
        <v>81.5</v>
      </c>
      <c r="AY48" s="56" t="n">
        <v>117</v>
      </c>
      <c r="AZ48" s="51" t="n">
        <v>67</v>
      </c>
      <c r="BA48" s="52" t="n">
        <f aca="false">AVERAGE(AZ48,BB48)</f>
        <v>88.5</v>
      </c>
      <c r="BB48" s="53" t="n">
        <v>110</v>
      </c>
      <c r="BC48" s="80" t="n">
        <v>1.8</v>
      </c>
      <c r="BD48" s="55" t="n">
        <f aca="false">AVERAGEA(BE48, BC48)</f>
        <v>1.8</v>
      </c>
      <c r="BE48" s="56" t="n">
        <v>1.8</v>
      </c>
      <c r="BF48" s="51" t="n">
        <v>120</v>
      </c>
      <c r="BG48" s="52" t="n">
        <f aca="false">AVERAGEA(BF48,BH48)</f>
        <v>240</v>
      </c>
      <c r="BH48" s="53" t="n">
        <v>360</v>
      </c>
      <c r="BI48" s="81" t="n">
        <v>4</v>
      </c>
      <c r="BJ48" s="55" t="n">
        <f aca="false">AVERAGEA(BI48,BK48)</f>
        <v>5.5</v>
      </c>
      <c r="BK48" s="56" t="n">
        <v>7</v>
      </c>
      <c r="BL48" s="51" t="n">
        <v>5</v>
      </c>
      <c r="BM48" s="52" t="n">
        <f aca="false">AVERAGEA(BL48,BN48)</f>
        <v>8.9</v>
      </c>
      <c r="BN48" s="53" t="n">
        <v>12.8</v>
      </c>
    </row>
    <row r="49" customFormat="false" ht="15" hidden="false" customHeight="true" outlineLevel="0" collapsed="false">
      <c r="B49" s="43"/>
      <c r="C49" s="87" t="s">
        <v>54</v>
      </c>
      <c r="D49" s="82" t="s">
        <v>42</v>
      </c>
      <c r="E49" s="46" t="s">
        <v>43</v>
      </c>
      <c r="F49" s="83"/>
      <c r="G49" s="93" t="n">
        <v>40.0313244395166</v>
      </c>
      <c r="H49" s="73" t="n">
        <f aca="false">AVERAGE(G49,I49)</f>
        <v>41.2257963974851</v>
      </c>
      <c r="I49" s="94" t="n">
        <v>42.4202683554535</v>
      </c>
      <c r="J49" s="51" t="s">
        <v>44</v>
      </c>
      <c r="K49" s="52"/>
      <c r="L49" s="53" t="s">
        <v>44</v>
      </c>
      <c r="M49" s="54" t="s">
        <v>44</v>
      </c>
      <c r="N49" s="55"/>
      <c r="O49" s="56" t="s">
        <v>44</v>
      </c>
      <c r="P49" s="54" t="s">
        <v>44</v>
      </c>
      <c r="Q49" s="55"/>
      <c r="R49" s="55" t="s">
        <v>44</v>
      </c>
      <c r="S49" s="51" t="n">
        <v>85</v>
      </c>
      <c r="T49" s="52" t="n">
        <f aca="false">AVERAGEA(U49, S49)</f>
        <v>90.15</v>
      </c>
      <c r="U49" s="53" t="n">
        <v>95.3</v>
      </c>
      <c r="V49" s="80" t="n">
        <v>60</v>
      </c>
      <c r="W49" s="101" t="n">
        <f aca="false">AVERAGEA(X49, V49)</f>
        <v>40</v>
      </c>
      <c r="X49" s="56" t="n">
        <v>20</v>
      </c>
      <c r="Y49" s="51" t="n">
        <v>0.58</v>
      </c>
      <c r="Z49" s="95" t="n">
        <f aca="false">AVERAGEA(AA49, Y49)</f>
        <v>3.29</v>
      </c>
      <c r="AA49" s="99" t="n">
        <v>6</v>
      </c>
      <c r="AB49" s="96" t="n">
        <v>0.58</v>
      </c>
      <c r="AC49" s="101" t="n">
        <f aca="false">AVERAGEA(AD49, AB49)</f>
        <v>3.29</v>
      </c>
      <c r="AD49" s="97" t="n">
        <v>6</v>
      </c>
      <c r="AE49" s="98" t="n">
        <v>3</v>
      </c>
      <c r="AF49" s="52" t="n">
        <f aca="false">AVERAGEA(AG49, AE49)</f>
        <v>6.5</v>
      </c>
      <c r="AG49" s="99" t="n">
        <v>10</v>
      </c>
      <c r="AH49" s="100" t="n">
        <v>1.5</v>
      </c>
      <c r="AI49" s="79" t="n">
        <f aca="false">AVERAGEA(AJ49, AH49)</f>
        <v>2.25</v>
      </c>
      <c r="AJ49" s="99" t="n">
        <v>3</v>
      </c>
      <c r="AK49" s="96" t="n">
        <v>998</v>
      </c>
      <c r="AL49" s="101" t="n">
        <f aca="false">AVERAGEA(AM49, AK49)</f>
        <v>1839</v>
      </c>
      <c r="AM49" s="97" t="n">
        <v>2680</v>
      </c>
      <c r="AN49" s="98" t="n">
        <v>26.6</v>
      </c>
      <c r="AO49" s="95" t="n">
        <f aca="false">AVERAGEA(AP49, AN49)</f>
        <v>31.8</v>
      </c>
      <c r="AP49" s="99" t="n">
        <v>37</v>
      </c>
      <c r="AQ49" s="80" t="n">
        <v>2.6</v>
      </c>
      <c r="AR49" s="55" t="n">
        <f aca="false">AVERAGEA(AS49, AQ49)</f>
        <v>6.55</v>
      </c>
      <c r="AS49" s="56" t="n">
        <v>10.5</v>
      </c>
      <c r="AT49" s="51" t="n">
        <v>3.56</v>
      </c>
      <c r="AU49" s="52" t="n">
        <f aca="false">AVERAGE(AT49,AV49)</f>
        <v>22.03</v>
      </c>
      <c r="AV49" s="53" t="n">
        <v>40.5</v>
      </c>
      <c r="AW49" s="81" t="n">
        <v>5.7</v>
      </c>
      <c r="AX49" s="55" t="n">
        <f aca="false">AVERAGE(AW49,AY49)</f>
        <v>26.85</v>
      </c>
      <c r="AY49" s="56" t="n">
        <v>48</v>
      </c>
      <c r="AZ49" s="51" t="n">
        <v>6.2</v>
      </c>
      <c r="BA49" s="52" t="n">
        <f aca="false">AVERAGE(AZ49,BB49)</f>
        <v>42.1</v>
      </c>
      <c r="BB49" s="53" t="n">
        <v>78</v>
      </c>
      <c r="BC49" s="80" t="n">
        <v>1.8</v>
      </c>
      <c r="BD49" s="55" t="n">
        <f aca="false">AVERAGEA(BE49, BC49)</f>
        <v>1.8</v>
      </c>
      <c r="BE49" s="56" t="n">
        <v>1.8</v>
      </c>
      <c r="BF49" s="51" t="n">
        <v>78</v>
      </c>
      <c r="BG49" s="52" t="n">
        <f aca="false">AVERAGEA(BF49,BH49)</f>
        <v>159</v>
      </c>
      <c r="BH49" s="53" t="n">
        <v>240</v>
      </c>
      <c r="BI49" s="81" t="n">
        <v>2</v>
      </c>
      <c r="BJ49" s="55" t="n">
        <f aca="false">AVERAGEA(BI49,BK49)</f>
        <v>3.5</v>
      </c>
      <c r="BK49" s="56" t="n">
        <v>5</v>
      </c>
      <c r="BL49" s="51" t="n">
        <v>5</v>
      </c>
      <c r="BM49" s="52" t="n">
        <f aca="false">AVERAGEA(BL49,BN49)</f>
        <v>8.9</v>
      </c>
      <c r="BN49" s="53" t="n">
        <v>12.8</v>
      </c>
    </row>
    <row r="50" customFormat="false" ht="15" hidden="false" customHeight="true" outlineLevel="0" collapsed="false">
      <c r="B50" s="43"/>
      <c r="C50" s="87"/>
      <c r="D50" s="82"/>
      <c r="E50" s="46" t="s">
        <v>45</v>
      </c>
      <c r="F50" s="83"/>
      <c r="G50" s="93" t="n">
        <v>37.1418697987856</v>
      </c>
      <c r="H50" s="73" t="n">
        <f aca="false">AVERAGE(G50,I50)</f>
        <v>38.5829100955418</v>
      </c>
      <c r="I50" s="94" t="n">
        <v>40.023950392298</v>
      </c>
      <c r="J50" s="51" t="s">
        <v>44</v>
      </c>
      <c r="K50" s="52"/>
      <c r="L50" s="53" t="s">
        <v>44</v>
      </c>
      <c r="M50" s="54" t="s">
        <v>44</v>
      </c>
      <c r="N50" s="55"/>
      <c r="O50" s="56" t="s">
        <v>44</v>
      </c>
      <c r="P50" s="54" t="s">
        <v>44</v>
      </c>
      <c r="Q50" s="55"/>
      <c r="R50" s="55" t="s">
        <v>44</v>
      </c>
      <c r="S50" s="51" t="n">
        <v>85</v>
      </c>
      <c r="T50" s="52" t="n">
        <f aca="false">AVERAGEA(U50, S50)</f>
        <v>90.15</v>
      </c>
      <c r="U50" s="53" t="n">
        <v>95.3</v>
      </c>
      <c r="V50" s="80" t="n">
        <v>60</v>
      </c>
      <c r="W50" s="101" t="n">
        <f aca="false">AVERAGEA(X50, V50)</f>
        <v>40</v>
      </c>
      <c r="X50" s="56" t="n">
        <v>20</v>
      </c>
      <c r="Y50" s="51" t="n">
        <v>0.58</v>
      </c>
      <c r="Z50" s="95" t="n">
        <f aca="false">AVERAGEA(AA50, Y50)</f>
        <v>3.29</v>
      </c>
      <c r="AA50" s="99" t="n">
        <v>6</v>
      </c>
      <c r="AB50" s="96" t="n">
        <v>0.58</v>
      </c>
      <c r="AC50" s="101" t="n">
        <f aca="false">AVERAGEA(AD50, AB50)</f>
        <v>3.29</v>
      </c>
      <c r="AD50" s="97" t="n">
        <v>6</v>
      </c>
      <c r="AE50" s="98" t="n">
        <v>3</v>
      </c>
      <c r="AF50" s="52" t="n">
        <f aca="false">AVERAGEA(AG50, AE50)</f>
        <v>6.5</v>
      </c>
      <c r="AG50" s="99" t="n">
        <v>10</v>
      </c>
      <c r="AH50" s="100" t="n">
        <v>1.5</v>
      </c>
      <c r="AI50" s="79" t="n">
        <f aca="false">AVERAGEA(AJ50, AH50)</f>
        <v>2.25</v>
      </c>
      <c r="AJ50" s="99" t="n">
        <v>3</v>
      </c>
      <c r="AK50" s="96" t="n">
        <v>998</v>
      </c>
      <c r="AL50" s="101" t="n">
        <f aca="false">AVERAGEA(AM50, AK50)</f>
        <v>1839</v>
      </c>
      <c r="AM50" s="97" t="n">
        <v>2680</v>
      </c>
      <c r="AN50" s="98" t="n">
        <v>26.6</v>
      </c>
      <c r="AO50" s="95" t="n">
        <f aca="false">AVERAGEA(AP50, AN50)</f>
        <v>31.8</v>
      </c>
      <c r="AP50" s="99" t="n">
        <v>37</v>
      </c>
      <c r="AQ50" s="80" t="n">
        <v>2.6</v>
      </c>
      <c r="AR50" s="55" t="n">
        <f aca="false">AVERAGEA(AS50, AQ50)</f>
        <v>6.55</v>
      </c>
      <c r="AS50" s="56" t="n">
        <v>10.5</v>
      </c>
      <c r="AT50" s="51" t="n">
        <v>3.56</v>
      </c>
      <c r="AU50" s="52" t="n">
        <f aca="false">AVERAGE(AT50,AV50)</f>
        <v>22.03</v>
      </c>
      <c r="AV50" s="53" t="n">
        <v>40.5</v>
      </c>
      <c r="AW50" s="81" t="n">
        <v>5.7</v>
      </c>
      <c r="AX50" s="55" t="n">
        <f aca="false">AVERAGE(AW50,AY50)</f>
        <v>26.85</v>
      </c>
      <c r="AY50" s="56" t="n">
        <v>48</v>
      </c>
      <c r="AZ50" s="51" t="n">
        <v>6.2</v>
      </c>
      <c r="BA50" s="52" t="n">
        <f aca="false">AVERAGE(AZ50,BB50)</f>
        <v>42.1</v>
      </c>
      <c r="BB50" s="53" t="n">
        <v>78</v>
      </c>
      <c r="BC50" s="80" t="n">
        <v>1.8</v>
      </c>
      <c r="BD50" s="55" t="n">
        <f aca="false">AVERAGEA(BE50, BC50)</f>
        <v>1.8</v>
      </c>
      <c r="BE50" s="56" t="n">
        <v>1.8</v>
      </c>
      <c r="BF50" s="51" t="n">
        <v>78</v>
      </c>
      <c r="BG50" s="52" t="n">
        <f aca="false">AVERAGEA(BF50,BH50)</f>
        <v>159</v>
      </c>
      <c r="BH50" s="53" t="n">
        <v>240</v>
      </c>
      <c r="BI50" s="81" t="n">
        <v>2</v>
      </c>
      <c r="BJ50" s="55" t="n">
        <f aca="false">AVERAGEA(BI50,BK50)</f>
        <v>3.5</v>
      </c>
      <c r="BK50" s="56" t="n">
        <v>5</v>
      </c>
      <c r="BL50" s="51" t="n">
        <v>5</v>
      </c>
      <c r="BM50" s="52" t="n">
        <f aca="false">AVERAGEA(BL50,BN50)</f>
        <v>8.9</v>
      </c>
      <c r="BN50" s="53" t="n">
        <v>12.8</v>
      </c>
    </row>
    <row r="51" customFormat="false" ht="15" hidden="false" customHeight="true" outlineLevel="0" collapsed="false">
      <c r="B51" s="43"/>
      <c r="C51" s="87"/>
      <c r="D51" s="82"/>
      <c r="E51" s="46" t="s">
        <v>46</v>
      </c>
      <c r="F51" s="83"/>
      <c r="G51" s="93" t="n">
        <v>28.3166512465972</v>
      </c>
      <c r="H51" s="73" t="n">
        <f aca="false">AVERAGE(G51,I51)</f>
        <v>32.7194078761707</v>
      </c>
      <c r="I51" s="94" t="n">
        <v>37.1221645057443</v>
      </c>
      <c r="J51" s="51" t="s">
        <v>44</v>
      </c>
      <c r="K51" s="52"/>
      <c r="L51" s="53" t="s">
        <v>44</v>
      </c>
      <c r="M51" s="54" t="s">
        <v>44</v>
      </c>
      <c r="N51" s="55"/>
      <c r="O51" s="56" t="s">
        <v>44</v>
      </c>
      <c r="P51" s="54" t="s">
        <v>44</v>
      </c>
      <c r="Q51" s="55"/>
      <c r="R51" s="55" t="s">
        <v>44</v>
      </c>
      <c r="S51" s="51" t="n">
        <v>85</v>
      </c>
      <c r="T51" s="52" t="n">
        <f aca="false">AVERAGEA(U51, S51)</f>
        <v>90.15</v>
      </c>
      <c r="U51" s="53" t="n">
        <v>95.3</v>
      </c>
      <c r="V51" s="80" t="n">
        <v>60</v>
      </c>
      <c r="W51" s="101" t="n">
        <f aca="false">AVERAGEA(X51, V51)</f>
        <v>40</v>
      </c>
      <c r="X51" s="56" t="n">
        <v>20</v>
      </c>
      <c r="Y51" s="51" t="n">
        <v>0.58</v>
      </c>
      <c r="Z51" s="95" t="n">
        <f aca="false">AVERAGEA(AA51, Y51)</f>
        <v>3.29</v>
      </c>
      <c r="AA51" s="99" t="n">
        <v>6</v>
      </c>
      <c r="AB51" s="96" t="n">
        <v>0.58</v>
      </c>
      <c r="AC51" s="101" t="n">
        <f aca="false">AVERAGEA(AD51, AB51)</f>
        <v>3.29</v>
      </c>
      <c r="AD51" s="97" t="n">
        <v>6</v>
      </c>
      <c r="AE51" s="98" t="n">
        <v>3</v>
      </c>
      <c r="AF51" s="52" t="n">
        <f aca="false">AVERAGEA(AG51, AE51)</f>
        <v>6.5</v>
      </c>
      <c r="AG51" s="99" t="n">
        <v>10</v>
      </c>
      <c r="AH51" s="100" t="n">
        <v>1.5</v>
      </c>
      <c r="AI51" s="79" t="n">
        <f aca="false">AVERAGEA(AJ51, AH51)</f>
        <v>2.25</v>
      </c>
      <c r="AJ51" s="99" t="n">
        <v>3</v>
      </c>
      <c r="AK51" s="96" t="n">
        <v>998</v>
      </c>
      <c r="AL51" s="101" t="n">
        <f aca="false">AVERAGEA(AM51, AK51)</f>
        <v>1839</v>
      </c>
      <c r="AM51" s="97" t="n">
        <v>2680</v>
      </c>
      <c r="AN51" s="98" t="n">
        <v>26.6</v>
      </c>
      <c r="AO51" s="95" t="n">
        <f aca="false">AVERAGEA(AP51, AN51)</f>
        <v>31.8</v>
      </c>
      <c r="AP51" s="99" t="n">
        <v>37</v>
      </c>
      <c r="AQ51" s="80" t="n">
        <v>2.6</v>
      </c>
      <c r="AR51" s="55" t="n">
        <f aca="false">AVERAGEA(AS51, AQ51)</f>
        <v>6.55</v>
      </c>
      <c r="AS51" s="56" t="n">
        <v>10.5</v>
      </c>
      <c r="AT51" s="51" t="n">
        <v>3.56</v>
      </c>
      <c r="AU51" s="52" t="n">
        <f aca="false">AVERAGE(AT51,AV51)</f>
        <v>22.03</v>
      </c>
      <c r="AV51" s="53" t="n">
        <v>40.5</v>
      </c>
      <c r="AW51" s="81" t="n">
        <v>5.7</v>
      </c>
      <c r="AX51" s="55" t="n">
        <f aca="false">AVERAGE(AW51,AY51)</f>
        <v>26.85</v>
      </c>
      <c r="AY51" s="56" t="n">
        <v>48</v>
      </c>
      <c r="AZ51" s="51" t="n">
        <v>6.2</v>
      </c>
      <c r="BA51" s="52" t="n">
        <f aca="false">AVERAGE(AZ51,BB51)</f>
        <v>42.1</v>
      </c>
      <c r="BB51" s="53" t="n">
        <v>78</v>
      </c>
      <c r="BC51" s="80" t="n">
        <v>1.8</v>
      </c>
      <c r="BD51" s="55" t="n">
        <f aca="false">AVERAGEA(BE51, BC51)</f>
        <v>1.8</v>
      </c>
      <c r="BE51" s="56" t="n">
        <v>1.8</v>
      </c>
      <c r="BF51" s="51" t="n">
        <v>78</v>
      </c>
      <c r="BG51" s="52" t="n">
        <f aca="false">AVERAGEA(BF51,BH51)</f>
        <v>159</v>
      </c>
      <c r="BH51" s="53" t="n">
        <v>240</v>
      </c>
      <c r="BI51" s="81" t="n">
        <v>2</v>
      </c>
      <c r="BJ51" s="55" t="n">
        <f aca="false">AVERAGEA(BI51,BK51)</f>
        <v>3.5</v>
      </c>
      <c r="BK51" s="56" t="n">
        <v>5</v>
      </c>
      <c r="BL51" s="51" t="n">
        <v>5</v>
      </c>
      <c r="BM51" s="52" t="n">
        <f aca="false">AVERAGEA(BL51,BN51)</f>
        <v>8.9</v>
      </c>
      <c r="BN51" s="53" t="n">
        <v>12.8</v>
      </c>
    </row>
    <row r="52" customFormat="false" ht="15" hidden="false" customHeight="true" outlineLevel="0" collapsed="false">
      <c r="B52" s="43"/>
      <c r="C52" s="87"/>
      <c r="D52" s="82"/>
      <c r="E52" s="46" t="s">
        <v>47</v>
      </c>
      <c r="F52" s="83"/>
      <c r="G52" s="93" t="n">
        <v>22.3808873351397</v>
      </c>
      <c r="H52" s="73" t="n">
        <f aca="false">AVERAGE(G52,I52)</f>
        <v>25.3289976495393</v>
      </c>
      <c r="I52" s="94" t="n">
        <v>28.2771079639389</v>
      </c>
      <c r="J52" s="51" t="s">
        <v>44</v>
      </c>
      <c r="K52" s="52"/>
      <c r="L52" s="53" t="s">
        <v>44</v>
      </c>
      <c r="M52" s="54" t="s">
        <v>44</v>
      </c>
      <c r="N52" s="55"/>
      <c r="O52" s="56" t="s">
        <v>44</v>
      </c>
      <c r="P52" s="54" t="s">
        <v>44</v>
      </c>
      <c r="Q52" s="55"/>
      <c r="R52" s="55" t="s">
        <v>44</v>
      </c>
      <c r="S52" s="51" t="n">
        <v>85</v>
      </c>
      <c r="T52" s="52" t="n">
        <f aca="false">AVERAGEA(U52, S52)</f>
        <v>90.15</v>
      </c>
      <c r="U52" s="53" t="n">
        <v>95.3</v>
      </c>
      <c r="V52" s="80" t="n">
        <v>60</v>
      </c>
      <c r="W52" s="101" t="n">
        <f aca="false">AVERAGEA(X52, V52)</f>
        <v>40</v>
      </c>
      <c r="X52" s="56" t="n">
        <v>20</v>
      </c>
      <c r="Y52" s="51" t="n">
        <v>0.58</v>
      </c>
      <c r="Z52" s="95" t="n">
        <f aca="false">AVERAGEA(AA52, Y52)</f>
        <v>3.29</v>
      </c>
      <c r="AA52" s="99" t="n">
        <v>6</v>
      </c>
      <c r="AB52" s="96" t="n">
        <v>0.58</v>
      </c>
      <c r="AC52" s="101" t="n">
        <f aca="false">AVERAGEA(AD52, AB52)</f>
        <v>3.29</v>
      </c>
      <c r="AD52" s="97" t="n">
        <v>6</v>
      </c>
      <c r="AE52" s="98" t="n">
        <v>3</v>
      </c>
      <c r="AF52" s="52" t="n">
        <f aca="false">AVERAGEA(AG52, AE52)</f>
        <v>6.5</v>
      </c>
      <c r="AG52" s="99" t="n">
        <v>10</v>
      </c>
      <c r="AH52" s="100" t="n">
        <v>1.5</v>
      </c>
      <c r="AI52" s="79" t="n">
        <f aca="false">AVERAGEA(AJ52, AH52)</f>
        <v>2.25</v>
      </c>
      <c r="AJ52" s="99" t="n">
        <v>3</v>
      </c>
      <c r="AK52" s="96" t="n">
        <v>998</v>
      </c>
      <c r="AL52" s="101" t="n">
        <f aca="false">AVERAGEA(AM52, AK52)</f>
        <v>1839</v>
      </c>
      <c r="AM52" s="97" t="n">
        <v>2680</v>
      </c>
      <c r="AN52" s="98" t="n">
        <v>26.6</v>
      </c>
      <c r="AO52" s="95" t="n">
        <f aca="false">AVERAGEA(AP52, AN52)</f>
        <v>31.8</v>
      </c>
      <c r="AP52" s="99" t="n">
        <v>37</v>
      </c>
      <c r="AQ52" s="80" t="n">
        <v>2.6</v>
      </c>
      <c r="AR52" s="55" t="n">
        <f aca="false">AVERAGEA(AS52, AQ52)</f>
        <v>6.55</v>
      </c>
      <c r="AS52" s="56" t="n">
        <v>10.5</v>
      </c>
      <c r="AT52" s="51" t="n">
        <v>3.56</v>
      </c>
      <c r="AU52" s="52" t="n">
        <f aca="false">AVERAGE(AT52,AV52)</f>
        <v>22.03</v>
      </c>
      <c r="AV52" s="53" t="n">
        <v>40.5</v>
      </c>
      <c r="AW52" s="81" t="n">
        <v>5.7</v>
      </c>
      <c r="AX52" s="55" t="n">
        <f aca="false">AVERAGE(AW52,AY52)</f>
        <v>26.85</v>
      </c>
      <c r="AY52" s="56" t="n">
        <v>48</v>
      </c>
      <c r="AZ52" s="51" t="n">
        <v>6.2</v>
      </c>
      <c r="BA52" s="52" t="n">
        <f aca="false">AVERAGE(AZ52,BB52)</f>
        <v>42.1</v>
      </c>
      <c r="BB52" s="53" t="n">
        <v>78</v>
      </c>
      <c r="BC52" s="80" t="n">
        <v>1.8</v>
      </c>
      <c r="BD52" s="55" t="n">
        <f aca="false">AVERAGEA(BE52, BC52)</f>
        <v>1.8</v>
      </c>
      <c r="BE52" s="56" t="n">
        <v>1.8</v>
      </c>
      <c r="BF52" s="51" t="n">
        <v>78</v>
      </c>
      <c r="BG52" s="52" t="n">
        <f aca="false">AVERAGEA(BF52,BH52)</f>
        <v>159</v>
      </c>
      <c r="BH52" s="53" t="n">
        <v>240</v>
      </c>
      <c r="BI52" s="81" t="n">
        <v>2</v>
      </c>
      <c r="BJ52" s="55" t="n">
        <f aca="false">AVERAGEA(BI52,BK52)</f>
        <v>3.5</v>
      </c>
      <c r="BK52" s="56" t="n">
        <v>5</v>
      </c>
      <c r="BL52" s="51" t="n">
        <v>5</v>
      </c>
      <c r="BM52" s="52" t="n">
        <f aca="false">AVERAGEA(BL52,BN52)</f>
        <v>8.9</v>
      </c>
      <c r="BN52" s="53" t="n">
        <v>12.8</v>
      </c>
    </row>
    <row r="53" customFormat="false" ht="15" hidden="false" customHeight="true" outlineLevel="0" collapsed="false">
      <c r="B53" s="43"/>
      <c r="C53" s="87"/>
      <c r="D53" s="82" t="s">
        <v>48</v>
      </c>
      <c r="E53" s="46" t="s">
        <v>43</v>
      </c>
      <c r="F53" s="83"/>
      <c r="G53" s="93" t="n">
        <v>37.9785134206409</v>
      </c>
      <c r="H53" s="73" t="n">
        <f aca="false">AVERAGE(G53,I53)</f>
        <v>39.1117327163159</v>
      </c>
      <c r="I53" s="94" t="n">
        <v>40.2449520119908</v>
      </c>
      <c r="J53" s="51" t="s">
        <v>44</v>
      </c>
      <c r="K53" s="52"/>
      <c r="L53" s="53" t="s">
        <v>44</v>
      </c>
      <c r="M53" s="54" t="s">
        <v>44</v>
      </c>
      <c r="N53" s="55"/>
      <c r="O53" s="56" t="s">
        <v>44</v>
      </c>
      <c r="P53" s="54" t="s">
        <v>44</v>
      </c>
      <c r="Q53" s="55"/>
      <c r="R53" s="55" t="s">
        <v>44</v>
      </c>
      <c r="S53" s="51" t="n">
        <v>85</v>
      </c>
      <c r="T53" s="52" t="n">
        <f aca="false">AVERAGEA(U53, S53)</f>
        <v>90.15</v>
      </c>
      <c r="U53" s="53" t="n">
        <v>95.3</v>
      </c>
      <c r="V53" s="80" t="n">
        <v>60</v>
      </c>
      <c r="W53" s="101" t="n">
        <f aca="false">AVERAGEA(X53, V53)</f>
        <v>40</v>
      </c>
      <c r="X53" s="56" t="n">
        <v>20</v>
      </c>
      <c r="Y53" s="51" t="n">
        <v>0.58</v>
      </c>
      <c r="Z53" s="95" t="n">
        <f aca="false">AVERAGEA(AA53, Y53)</f>
        <v>3.29</v>
      </c>
      <c r="AA53" s="99" t="n">
        <v>6</v>
      </c>
      <c r="AB53" s="96" t="n">
        <v>0.58</v>
      </c>
      <c r="AC53" s="101" t="n">
        <f aca="false">AVERAGEA(AD53, AB53)</f>
        <v>3.29</v>
      </c>
      <c r="AD53" s="97" t="n">
        <v>6</v>
      </c>
      <c r="AE53" s="98" t="n">
        <v>3</v>
      </c>
      <c r="AF53" s="52" t="n">
        <f aca="false">AVERAGEA(AG53, AE53)</f>
        <v>6.5</v>
      </c>
      <c r="AG53" s="99" t="n">
        <v>10</v>
      </c>
      <c r="AH53" s="100" t="n">
        <v>1.5</v>
      </c>
      <c r="AI53" s="79" t="n">
        <f aca="false">AVERAGEA(AJ53, AH53)</f>
        <v>2.25</v>
      </c>
      <c r="AJ53" s="99" t="n">
        <v>3</v>
      </c>
      <c r="AK53" s="96" t="n">
        <v>998</v>
      </c>
      <c r="AL53" s="101" t="n">
        <f aca="false">AVERAGEA(AM53, AK53)</f>
        <v>1839</v>
      </c>
      <c r="AM53" s="97" t="n">
        <v>2680</v>
      </c>
      <c r="AN53" s="98" t="n">
        <v>26.6</v>
      </c>
      <c r="AO53" s="95" t="n">
        <f aca="false">AVERAGEA(AP53, AN53)</f>
        <v>31.8</v>
      </c>
      <c r="AP53" s="99" t="n">
        <v>37</v>
      </c>
      <c r="AQ53" s="80" t="n">
        <v>2.6</v>
      </c>
      <c r="AR53" s="55" t="n">
        <f aca="false">AVERAGEA(AS53, AQ53)</f>
        <v>6.55</v>
      </c>
      <c r="AS53" s="56" t="n">
        <v>10.5</v>
      </c>
      <c r="AT53" s="51" t="n">
        <v>3.56</v>
      </c>
      <c r="AU53" s="52" t="n">
        <f aca="false">AVERAGE(AT53,AV53)</f>
        <v>22.03</v>
      </c>
      <c r="AV53" s="53" t="n">
        <v>40.5</v>
      </c>
      <c r="AW53" s="81" t="n">
        <v>5.7</v>
      </c>
      <c r="AX53" s="55" t="n">
        <f aca="false">AVERAGE(AW53,AY53)</f>
        <v>26.85</v>
      </c>
      <c r="AY53" s="56" t="n">
        <v>48</v>
      </c>
      <c r="AZ53" s="51" t="n">
        <v>6.2</v>
      </c>
      <c r="BA53" s="52" t="n">
        <f aca="false">AVERAGE(AZ53,BB53)</f>
        <v>42.1</v>
      </c>
      <c r="BB53" s="53" t="n">
        <v>78</v>
      </c>
      <c r="BC53" s="80" t="n">
        <v>1.8</v>
      </c>
      <c r="BD53" s="55" t="n">
        <f aca="false">AVERAGEA(BE53, BC53)</f>
        <v>1.8</v>
      </c>
      <c r="BE53" s="56" t="n">
        <v>1.8</v>
      </c>
      <c r="BF53" s="51" t="n">
        <v>78</v>
      </c>
      <c r="BG53" s="52" t="n">
        <f aca="false">AVERAGEA(BF53,BH53)</f>
        <v>159</v>
      </c>
      <c r="BH53" s="53" t="n">
        <v>240</v>
      </c>
      <c r="BI53" s="81" t="n">
        <v>2</v>
      </c>
      <c r="BJ53" s="55" t="n">
        <f aca="false">AVERAGEA(BI53,BK53)</f>
        <v>3.5</v>
      </c>
      <c r="BK53" s="56" t="n">
        <v>5</v>
      </c>
      <c r="BL53" s="51" t="n">
        <v>5</v>
      </c>
      <c r="BM53" s="52" t="n">
        <f aca="false">AVERAGEA(BL53,BN53)</f>
        <v>8.9</v>
      </c>
      <c r="BN53" s="53" t="n">
        <v>12.8</v>
      </c>
    </row>
    <row r="54" customFormat="false" ht="15" hidden="false" customHeight="true" outlineLevel="0" collapsed="false">
      <c r="B54" s="43"/>
      <c r="C54" s="87"/>
      <c r="D54" s="82"/>
      <c r="E54" s="46" t="s">
        <v>45</v>
      </c>
      <c r="F54" s="83"/>
      <c r="G54" s="93" t="n">
        <v>35.2372303532486</v>
      </c>
      <c r="H54" s="73" t="n">
        <f aca="false">AVERAGE(G54,I54)</f>
        <v>36.6043739343392</v>
      </c>
      <c r="I54" s="94" t="n">
        <v>37.9715175154298</v>
      </c>
      <c r="J54" s="51" t="s">
        <v>44</v>
      </c>
      <c r="K54" s="52"/>
      <c r="L54" s="53" t="s">
        <v>44</v>
      </c>
      <c r="M54" s="54" t="s">
        <v>44</v>
      </c>
      <c r="N54" s="55"/>
      <c r="O54" s="56" t="s">
        <v>44</v>
      </c>
      <c r="P54" s="54" t="s">
        <v>44</v>
      </c>
      <c r="Q54" s="55"/>
      <c r="R54" s="55" t="s">
        <v>44</v>
      </c>
      <c r="S54" s="51" t="n">
        <v>85</v>
      </c>
      <c r="T54" s="52" t="n">
        <f aca="false">AVERAGEA(U54, S54)</f>
        <v>90.15</v>
      </c>
      <c r="U54" s="53" t="n">
        <v>95.3</v>
      </c>
      <c r="V54" s="80" t="n">
        <v>60</v>
      </c>
      <c r="W54" s="101" t="n">
        <f aca="false">AVERAGEA(X54, V54)</f>
        <v>40</v>
      </c>
      <c r="X54" s="56" t="n">
        <v>20</v>
      </c>
      <c r="Y54" s="51" t="n">
        <v>0.58</v>
      </c>
      <c r="Z54" s="95" t="n">
        <f aca="false">AVERAGEA(AA54, Y54)</f>
        <v>3.29</v>
      </c>
      <c r="AA54" s="99" t="n">
        <v>6</v>
      </c>
      <c r="AB54" s="96" t="n">
        <v>0.58</v>
      </c>
      <c r="AC54" s="101" t="n">
        <f aca="false">AVERAGEA(AD54, AB54)</f>
        <v>3.29</v>
      </c>
      <c r="AD54" s="97" t="n">
        <v>6</v>
      </c>
      <c r="AE54" s="98" t="n">
        <v>3</v>
      </c>
      <c r="AF54" s="52" t="n">
        <f aca="false">AVERAGEA(AG54, AE54)</f>
        <v>6.5</v>
      </c>
      <c r="AG54" s="99" t="n">
        <v>10</v>
      </c>
      <c r="AH54" s="100" t="n">
        <v>1.5</v>
      </c>
      <c r="AI54" s="79" t="n">
        <f aca="false">AVERAGEA(AJ54, AH54)</f>
        <v>2.25</v>
      </c>
      <c r="AJ54" s="99" t="n">
        <v>3</v>
      </c>
      <c r="AK54" s="96" t="n">
        <v>998</v>
      </c>
      <c r="AL54" s="101" t="n">
        <f aca="false">AVERAGEA(AM54, AK54)</f>
        <v>1839</v>
      </c>
      <c r="AM54" s="97" t="n">
        <v>2680</v>
      </c>
      <c r="AN54" s="98" t="n">
        <v>26.6</v>
      </c>
      <c r="AO54" s="95" t="n">
        <f aca="false">AVERAGEA(AP54, AN54)</f>
        <v>31.8</v>
      </c>
      <c r="AP54" s="99" t="n">
        <v>37</v>
      </c>
      <c r="AQ54" s="80" t="n">
        <v>2.6</v>
      </c>
      <c r="AR54" s="55" t="n">
        <f aca="false">AVERAGEA(AS54, AQ54)</f>
        <v>6.55</v>
      </c>
      <c r="AS54" s="56" t="n">
        <v>10.5</v>
      </c>
      <c r="AT54" s="51" t="n">
        <v>3.56</v>
      </c>
      <c r="AU54" s="52" t="n">
        <f aca="false">AVERAGE(AT54,AV54)</f>
        <v>22.03</v>
      </c>
      <c r="AV54" s="53" t="n">
        <v>40.5</v>
      </c>
      <c r="AW54" s="81" t="n">
        <v>5.7</v>
      </c>
      <c r="AX54" s="55" t="n">
        <f aca="false">AVERAGE(AW54,AY54)</f>
        <v>26.85</v>
      </c>
      <c r="AY54" s="56" t="n">
        <v>48</v>
      </c>
      <c r="AZ54" s="51" t="n">
        <v>6.2</v>
      </c>
      <c r="BA54" s="52" t="n">
        <f aca="false">AVERAGE(AZ54,BB54)</f>
        <v>42.1</v>
      </c>
      <c r="BB54" s="53" t="n">
        <v>78</v>
      </c>
      <c r="BC54" s="80" t="n">
        <v>1.8</v>
      </c>
      <c r="BD54" s="55" t="n">
        <f aca="false">AVERAGEA(BE54, BC54)</f>
        <v>1.8</v>
      </c>
      <c r="BE54" s="56" t="n">
        <v>1.8</v>
      </c>
      <c r="BF54" s="51" t="n">
        <v>78</v>
      </c>
      <c r="BG54" s="52" t="n">
        <f aca="false">AVERAGEA(BF54,BH54)</f>
        <v>159</v>
      </c>
      <c r="BH54" s="53" t="n">
        <v>240</v>
      </c>
      <c r="BI54" s="81" t="n">
        <v>2</v>
      </c>
      <c r="BJ54" s="55" t="n">
        <f aca="false">AVERAGEA(BI54,BK54)</f>
        <v>3.5</v>
      </c>
      <c r="BK54" s="56" t="n">
        <v>5</v>
      </c>
      <c r="BL54" s="51" t="n">
        <v>5</v>
      </c>
      <c r="BM54" s="52" t="n">
        <f aca="false">AVERAGEA(BL54,BN54)</f>
        <v>8.9</v>
      </c>
      <c r="BN54" s="53" t="n">
        <v>12.8</v>
      </c>
    </row>
    <row r="55" customFormat="false" ht="15" hidden="false" customHeight="true" outlineLevel="0" collapsed="false">
      <c r="B55" s="43"/>
      <c r="C55" s="87"/>
      <c r="D55" s="82"/>
      <c r="E55" s="46" t="s">
        <v>46</v>
      </c>
      <c r="F55" s="83"/>
      <c r="G55" s="93" t="n">
        <v>26.8645700449247</v>
      </c>
      <c r="H55" s="73" t="n">
        <f aca="false">AVERAGE(G55,I55)</f>
        <v>31.0415527974367</v>
      </c>
      <c r="I55" s="94" t="n">
        <v>35.2185355499488</v>
      </c>
      <c r="J55" s="51" t="s">
        <v>44</v>
      </c>
      <c r="K55" s="52"/>
      <c r="L55" s="53" t="s">
        <v>44</v>
      </c>
      <c r="M55" s="54" t="s">
        <v>44</v>
      </c>
      <c r="N55" s="55"/>
      <c r="O55" s="56" t="s">
        <v>44</v>
      </c>
      <c r="P55" s="54" t="s">
        <v>44</v>
      </c>
      <c r="Q55" s="55"/>
      <c r="R55" s="55" t="s">
        <v>44</v>
      </c>
      <c r="S55" s="51" t="n">
        <v>85</v>
      </c>
      <c r="T55" s="52" t="n">
        <f aca="false">AVERAGEA(U55, S55)</f>
        <v>90.15</v>
      </c>
      <c r="U55" s="53" t="n">
        <v>95.3</v>
      </c>
      <c r="V55" s="80" t="n">
        <v>60</v>
      </c>
      <c r="W55" s="101" t="n">
        <f aca="false">AVERAGEA(X55, V55)</f>
        <v>40</v>
      </c>
      <c r="X55" s="56" t="n">
        <v>20</v>
      </c>
      <c r="Y55" s="51" t="n">
        <v>0.58</v>
      </c>
      <c r="Z55" s="95" t="n">
        <f aca="false">AVERAGEA(AA55, Y55)</f>
        <v>3.29</v>
      </c>
      <c r="AA55" s="99" t="n">
        <v>6</v>
      </c>
      <c r="AB55" s="96" t="n">
        <v>0.58</v>
      </c>
      <c r="AC55" s="101" t="n">
        <f aca="false">AVERAGEA(AD55, AB55)</f>
        <v>3.29</v>
      </c>
      <c r="AD55" s="97" t="n">
        <v>6</v>
      </c>
      <c r="AE55" s="98" t="n">
        <v>3</v>
      </c>
      <c r="AF55" s="52" t="n">
        <f aca="false">AVERAGEA(AG55, AE55)</f>
        <v>6.5</v>
      </c>
      <c r="AG55" s="99" t="n">
        <v>10</v>
      </c>
      <c r="AH55" s="100" t="n">
        <v>1.5</v>
      </c>
      <c r="AI55" s="79" t="n">
        <f aca="false">AVERAGEA(AJ55, AH55)</f>
        <v>2.25</v>
      </c>
      <c r="AJ55" s="99" t="n">
        <v>3</v>
      </c>
      <c r="AK55" s="96" t="n">
        <v>998</v>
      </c>
      <c r="AL55" s="101" t="n">
        <f aca="false">AVERAGEA(AM55, AK55)</f>
        <v>1839</v>
      </c>
      <c r="AM55" s="97" t="n">
        <v>2680</v>
      </c>
      <c r="AN55" s="98" t="n">
        <v>26.6</v>
      </c>
      <c r="AO55" s="95" t="n">
        <f aca="false">AVERAGEA(AP55, AN55)</f>
        <v>31.8</v>
      </c>
      <c r="AP55" s="99" t="n">
        <v>37</v>
      </c>
      <c r="AQ55" s="80" t="n">
        <v>2.6</v>
      </c>
      <c r="AR55" s="55" t="n">
        <f aca="false">AVERAGEA(AS55, AQ55)</f>
        <v>6.55</v>
      </c>
      <c r="AS55" s="56" t="n">
        <v>10.5</v>
      </c>
      <c r="AT55" s="51" t="n">
        <v>3.56</v>
      </c>
      <c r="AU55" s="52" t="n">
        <f aca="false">AVERAGE(AT55,AV55)</f>
        <v>22.03</v>
      </c>
      <c r="AV55" s="53" t="n">
        <v>40.5</v>
      </c>
      <c r="AW55" s="81" t="n">
        <v>5.7</v>
      </c>
      <c r="AX55" s="55" t="n">
        <f aca="false">AVERAGE(AW55,AY55)</f>
        <v>26.85</v>
      </c>
      <c r="AY55" s="56" t="n">
        <v>48</v>
      </c>
      <c r="AZ55" s="51" t="n">
        <v>6.2</v>
      </c>
      <c r="BA55" s="52" t="n">
        <f aca="false">AVERAGE(AZ55,BB55)</f>
        <v>42.1</v>
      </c>
      <c r="BB55" s="53" t="n">
        <v>78</v>
      </c>
      <c r="BC55" s="80" t="n">
        <v>1.8</v>
      </c>
      <c r="BD55" s="55" t="n">
        <f aca="false">AVERAGEA(BE55, BC55)</f>
        <v>1.8</v>
      </c>
      <c r="BE55" s="56" t="n">
        <v>1.8</v>
      </c>
      <c r="BF55" s="51" t="n">
        <v>78</v>
      </c>
      <c r="BG55" s="52" t="n">
        <f aca="false">AVERAGEA(BF55,BH55)</f>
        <v>159</v>
      </c>
      <c r="BH55" s="53" t="n">
        <v>240</v>
      </c>
      <c r="BI55" s="81" t="n">
        <v>2</v>
      </c>
      <c r="BJ55" s="55" t="n">
        <f aca="false">AVERAGEA(BI55,BK55)</f>
        <v>3.5</v>
      </c>
      <c r="BK55" s="56" t="n">
        <v>5</v>
      </c>
      <c r="BL55" s="51" t="n">
        <v>5</v>
      </c>
      <c r="BM55" s="52" t="n">
        <f aca="false">AVERAGEA(BL55,BN55)</f>
        <v>8.9</v>
      </c>
      <c r="BN55" s="53" t="n">
        <v>12.8</v>
      </c>
    </row>
    <row r="56" customFormat="false" ht="15" hidden="false" customHeight="true" outlineLevel="0" collapsed="false">
      <c r="B56" s="43"/>
      <c r="C56" s="87"/>
      <c r="D56" s="82"/>
      <c r="E56" s="46" t="s">
        <v>47</v>
      </c>
      <c r="F56" s="83"/>
      <c r="G56" s="93" t="n">
        <v>21.2331928039931</v>
      </c>
      <c r="H56" s="73" t="n">
        <f aca="false">AVERAGE(G56,I56)</f>
        <v>24.0301236752193</v>
      </c>
      <c r="I56" s="94" t="n">
        <v>26.8270545464454</v>
      </c>
      <c r="J56" s="51" t="s">
        <v>44</v>
      </c>
      <c r="K56" s="52"/>
      <c r="L56" s="53" t="s">
        <v>44</v>
      </c>
      <c r="M56" s="54" t="s">
        <v>44</v>
      </c>
      <c r="N56" s="55"/>
      <c r="O56" s="56" t="s">
        <v>44</v>
      </c>
      <c r="P56" s="54" t="s">
        <v>44</v>
      </c>
      <c r="Q56" s="55"/>
      <c r="R56" s="55" t="s">
        <v>44</v>
      </c>
      <c r="S56" s="51" t="n">
        <v>85</v>
      </c>
      <c r="T56" s="52" t="n">
        <f aca="false">AVERAGEA(U56, S56)</f>
        <v>90.15</v>
      </c>
      <c r="U56" s="53" t="n">
        <v>95.3</v>
      </c>
      <c r="V56" s="80" t="n">
        <v>60</v>
      </c>
      <c r="W56" s="101" t="n">
        <f aca="false">AVERAGEA(X56, V56)</f>
        <v>40</v>
      </c>
      <c r="X56" s="56" t="n">
        <v>20</v>
      </c>
      <c r="Y56" s="51" t="n">
        <v>0.58</v>
      </c>
      <c r="Z56" s="95" t="n">
        <f aca="false">AVERAGEA(AA56, Y56)</f>
        <v>3.29</v>
      </c>
      <c r="AA56" s="99" t="n">
        <v>6</v>
      </c>
      <c r="AB56" s="96" t="n">
        <v>0.58</v>
      </c>
      <c r="AC56" s="101" t="n">
        <f aca="false">AVERAGEA(AD56, AB56)</f>
        <v>3.29</v>
      </c>
      <c r="AD56" s="97" t="n">
        <v>6</v>
      </c>
      <c r="AE56" s="98" t="n">
        <v>3</v>
      </c>
      <c r="AF56" s="52" t="n">
        <f aca="false">AVERAGEA(AG56, AE56)</f>
        <v>6.5</v>
      </c>
      <c r="AG56" s="99" t="n">
        <v>10</v>
      </c>
      <c r="AH56" s="100" t="n">
        <v>1.5</v>
      </c>
      <c r="AI56" s="79" t="n">
        <f aca="false">AVERAGEA(AJ56, AH56)</f>
        <v>2.25</v>
      </c>
      <c r="AJ56" s="99" t="n">
        <v>3</v>
      </c>
      <c r="AK56" s="96" t="n">
        <v>998</v>
      </c>
      <c r="AL56" s="101" t="n">
        <f aca="false">AVERAGEA(AM56, AK56)</f>
        <v>1839</v>
      </c>
      <c r="AM56" s="97" t="n">
        <v>2680</v>
      </c>
      <c r="AN56" s="98" t="n">
        <v>26.6</v>
      </c>
      <c r="AO56" s="95" t="n">
        <f aca="false">AVERAGEA(AP56, AN56)</f>
        <v>31.8</v>
      </c>
      <c r="AP56" s="99" t="n">
        <v>37</v>
      </c>
      <c r="AQ56" s="80" t="n">
        <v>2.6</v>
      </c>
      <c r="AR56" s="55" t="n">
        <f aca="false">AVERAGEA(AS56, AQ56)</f>
        <v>6.55</v>
      </c>
      <c r="AS56" s="56" t="n">
        <v>10.5</v>
      </c>
      <c r="AT56" s="51" t="n">
        <v>3.56</v>
      </c>
      <c r="AU56" s="52" t="n">
        <f aca="false">AVERAGE(AT56,AV56)</f>
        <v>22.03</v>
      </c>
      <c r="AV56" s="53" t="n">
        <v>40.5</v>
      </c>
      <c r="AW56" s="81" t="n">
        <v>5.7</v>
      </c>
      <c r="AX56" s="55" t="n">
        <f aca="false">AVERAGE(AW56,AY56)</f>
        <v>26.85</v>
      </c>
      <c r="AY56" s="56" t="n">
        <v>48</v>
      </c>
      <c r="AZ56" s="51" t="n">
        <v>6.2</v>
      </c>
      <c r="BA56" s="52" t="n">
        <f aca="false">AVERAGE(AZ56,BB56)</f>
        <v>42.1</v>
      </c>
      <c r="BB56" s="53" t="n">
        <v>78</v>
      </c>
      <c r="BC56" s="80" t="n">
        <v>1.8</v>
      </c>
      <c r="BD56" s="55" t="n">
        <f aca="false">AVERAGEA(BE56, BC56)</f>
        <v>1.8</v>
      </c>
      <c r="BE56" s="56" t="n">
        <v>1.8</v>
      </c>
      <c r="BF56" s="51" t="n">
        <v>78</v>
      </c>
      <c r="BG56" s="52" t="n">
        <f aca="false">AVERAGEA(BF56,BH56)</f>
        <v>159</v>
      </c>
      <c r="BH56" s="53" t="n">
        <v>240</v>
      </c>
      <c r="BI56" s="81" t="n">
        <v>2</v>
      </c>
      <c r="BJ56" s="55" t="n">
        <f aca="false">AVERAGEA(BI56,BK56)</f>
        <v>3.5</v>
      </c>
      <c r="BK56" s="56" t="n">
        <v>5</v>
      </c>
      <c r="BL56" s="51" t="n">
        <v>5</v>
      </c>
      <c r="BM56" s="52" t="n">
        <f aca="false">AVERAGEA(BL56,BN56)</f>
        <v>8.9</v>
      </c>
      <c r="BN56" s="53" t="n">
        <v>12.8</v>
      </c>
    </row>
    <row r="57" customFormat="false" ht="15" hidden="false" customHeight="true" outlineLevel="0" collapsed="false">
      <c r="B57" s="43"/>
      <c r="C57" s="87"/>
      <c r="D57" s="82" t="s">
        <v>49</v>
      </c>
      <c r="E57" s="46" t="s">
        <v>43</v>
      </c>
      <c r="F57" s="83"/>
      <c r="G57" s="93" t="n">
        <v>36.6053488967538</v>
      </c>
      <c r="H57" s="73" t="n">
        <f aca="false">AVERAGE(G57,I57)</f>
        <v>37.6975951159586</v>
      </c>
      <c r="I57" s="94" t="n">
        <v>38.7898413351634</v>
      </c>
      <c r="J57" s="51" t="s">
        <v>44</v>
      </c>
      <c r="K57" s="52"/>
      <c r="L57" s="53" t="s">
        <v>44</v>
      </c>
      <c r="M57" s="54" t="s">
        <v>44</v>
      </c>
      <c r="N57" s="55"/>
      <c r="O57" s="56" t="s">
        <v>44</v>
      </c>
      <c r="P57" s="54" t="s">
        <v>44</v>
      </c>
      <c r="Q57" s="55"/>
      <c r="R57" s="55" t="s">
        <v>44</v>
      </c>
      <c r="S57" s="51" t="n">
        <v>85</v>
      </c>
      <c r="T57" s="52" t="n">
        <f aca="false">AVERAGEA(U57, S57)</f>
        <v>90.15</v>
      </c>
      <c r="U57" s="53" t="n">
        <v>95.3</v>
      </c>
      <c r="V57" s="80" t="n">
        <v>60</v>
      </c>
      <c r="W57" s="101" t="n">
        <f aca="false">AVERAGEA(X57, V57)</f>
        <v>40</v>
      </c>
      <c r="X57" s="56" t="n">
        <v>20</v>
      </c>
      <c r="Y57" s="51" t="n">
        <v>0.58</v>
      </c>
      <c r="Z57" s="95" t="n">
        <f aca="false">AVERAGEA(AA57, Y57)</f>
        <v>3.29</v>
      </c>
      <c r="AA57" s="99" t="n">
        <v>6</v>
      </c>
      <c r="AB57" s="96" t="n">
        <v>0.58</v>
      </c>
      <c r="AC57" s="101" t="n">
        <f aca="false">AVERAGEA(AD57, AB57)</f>
        <v>3.29</v>
      </c>
      <c r="AD57" s="97" t="n">
        <v>6</v>
      </c>
      <c r="AE57" s="98" t="n">
        <v>3</v>
      </c>
      <c r="AF57" s="52" t="n">
        <f aca="false">AVERAGEA(AG57, AE57)</f>
        <v>6.5</v>
      </c>
      <c r="AG57" s="99" t="n">
        <v>10</v>
      </c>
      <c r="AH57" s="100" t="n">
        <v>6</v>
      </c>
      <c r="AI57" s="79" t="n">
        <f aca="false">AVERAGEA(AJ57, AH57)</f>
        <v>8</v>
      </c>
      <c r="AJ57" s="99" t="n">
        <v>10</v>
      </c>
      <c r="AK57" s="96" t="n">
        <v>998</v>
      </c>
      <c r="AL57" s="101" t="n">
        <f aca="false">AVERAGEA(AM57, AK57)</f>
        <v>1839</v>
      </c>
      <c r="AM57" s="97" t="n">
        <v>2680</v>
      </c>
      <c r="AN57" s="98" t="n">
        <v>26.6</v>
      </c>
      <c r="AO57" s="95" t="n">
        <f aca="false">AVERAGEA(AP57, AN57)</f>
        <v>31.8</v>
      </c>
      <c r="AP57" s="99" t="n">
        <v>37</v>
      </c>
      <c r="AQ57" s="80" t="n">
        <v>2.6</v>
      </c>
      <c r="AR57" s="55" t="n">
        <f aca="false">AVERAGEA(AS57, AQ57)</f>
        <v>6.55</v>
      </c>
      <c r="AS57" s="56" t="n">
        <v>10.5</v>
      </c>
      <c r="AT57" s="51" t="n">
        <v>3.56</v>
      </c>
      <c r="AU57" s="52" t="n">
        <f aca="false">AVERAGE(AT57,AV57)</f>
        <v>22.03</v>
      </c>
      <c r="AV57" s="53" t="n">
        <v>40.5</v>
      </c>
      <c r="AW57" s="81" t="n">
        <v>5.7</v>
      </c>
      <c r="AX57" s="55" t="n">
        <f aca="false">AVERAGE(AW57,AY57)</f>
        <v>26.85</v>
      </c>
      <c r="AY57" s="56" t="n">
        <v>48</v>
      </c>
      <c r="AZ57" s="51" t="n">
        <v>6.2</v>
      </c>
      <c r="BA57" s="52" t="n">
        <f aca="false">AVERAGE(AZ57,BB57)</f>
        <v>42.1</v>
      </c>
      <c r="BB57" s="53" t="n">
        <v>78</v>
      </c>
      <c r="BC57" s="80" t="n">
        <v>1.8</v>
      </c>
      <c r="BD57" s="55" t="n">
        <f aca="false">AVERAGEA(BE57, BC57)</f>
        <v>1.8</v>
      </c>
      <c r="BE57" s="56" t="n">
        <v>1.8</v>
      </c>
      <c r="BF57" s="51" t="n">
        <v>78</v>
      </c>
      <c r="BG57" s="52" t="n">
        <f aca="false">AVERAGEA(BF57,BH57)</f>
        <v>159</v>
      </c>
      <c r="BH57" s="53" t="n">
        <v>240</v>
      </c>
      <c r="BI57" s="81" t="n">
        <v>2</v>
      </c>
      <c r="BJ57" s="55" t="n">
        <f aca="false">AVERAGEA(BI57,BK57)</f>
        <v>3.5</v>
      </c>
      <c r="BK57" s="56" t="n">
        <v>5</v>
      </c>
      <c r="BL57" s="51" t="n">
        <v>5</v>
      </c>
      <c r="BM57" s="52" t="n">
        <f aca="false">AVERAGEA(BL57,BN57)</f>
        <v>8.9</v>
      </c>
      <c r="BN57" s="53" t="n">
        <v>12.8</v>
      </c>
    </row>
    <row r="58" customFormat="false" ht="15" hidden="false" customHeight="true" outlineLevel="0" collapsed="false">
      <c r="B58" s="43"/>
      <c r="C58" s="87"/>
      <c r="D58" s="82"/>
      <c r="E58" s="46" t="s">
        <v>45</v>
      </c>
      <c r="F58" s="83"/>
      <c r="G58" s="93" t="n">
        <v>33.9631806266255</v>
      </c>
      <c r="H58" s="73" t="n">
        <f aca="false">AVERAGE(G58,I58)</f>
        <v>35.280893282292</v>
      </c>
      <c r="I58" s="94" t="n">
        <v>36.5986059379585</v>
      </c>
      <c r="J58" s="51" t="s">
        <v>44</v>
      </c>
      <c r="K58" s="52"/>
      <c r="L58" s="53" t="s">
        <v>44</v>
      </c>
      <c r="M58" s="54" t="s">
        <v>44</v>
      </c>
      <c r="N58" s="55"/>
      <c r="O58" s="56" t="s">
        <v>44</v>
      </c>
      <c r="P58" s="54" t="s">
        <v>44</v>
      </c>
      <c r="Q58" s="55"/>
      <c r="R58" s="55" t="s">
        <v>44</v>
      </c>
      <c r="S58" s="51" t="n">
        <v>85</v>
      </c>
      <c r="T58" s="52" t="n">
        <f aca="false">AVERAGEA(U58, S58)</f>
        <v>90.15</v>
      </c>
      <c r="U58" s="53" t="n">
        <v>95.3</v>
      </c>
      <c r="V58" s="80" t="n">
        <v>60</v>
      </c>
      <c r="W58" s="101" t="n">
        <f aca="false">AVERAGEA(X58, V58)</f>
        <v>40</v>
      </c>
      <c r="X58" s="56" t="n">
        <v>20</v>
      </c>
      <c r="Y58" s="51" t="n">
        <v>0.58</v>
      </c>
      <c r="Z58" s="95" t="n">
        <f aca="false">AVERAGEA(AA58, Y58)</f>
        <v>3.29</v>
      </c>
      <c r="AA58" s="99" t="n">
        <v>6</v>
      </c>
      <c r="AB58" s="96" t="n">
        <v>0.58</v>
      </c>
      <c r="AC58" s="101" t="n">
        <f aca="false">AVERAGEA(AD58, AB58)</f>
        <v>3.29</v>
      </c>
      <c r="AD58" s="97" t="n">
        <v>6</v>
      </c>
      <c r="AE58" s="98" t="n">
        <v>3</v>
      </c>
      <c r="AF58" s="52" t="n">
        <f aca="false">AVERAGEA(AG58, AE58)</f>
        <v>6.5</v>
      </c>
      <c r="AG58" s="99" t="n">
        <v>10</v>
      </c>
      <c r="AH58" s="100" t="n">
        <v>6</v>
      </c>
      <c r="AI58" s="79" t="n">
        <f aca="false">AVERAGEA(AJ58, AH58)</f>
        <v>8</v>
      </c>
      <c r="AJ58" s="99" t="n">
        <v>10</v>
      </c>
      <c r="AK58" s="96" t="n">
        <v>998</v>
      </c>
      <c r="AL58" s="101" t="n">
        <f aca="false">AVERAGEA(AM58, AK58)</f>
        <v>1839</v>
      </c>
      <c r="AM58" s="97" t="n">
        <v>2680</v>
      </c>
      <c r="AN58" s="98" t="n">
        <v>26.6</v>
      </c>
      <c r="AO58" s="95" t="n">
        <f aca="false">AVERAGEA(AP58, AN58)</f>
        <v>31.8</v>
      </c>
      <c r="AP58" s="99" t="n">
        <v>37</v>
      </c>
      <c r="AQ58" s="80" t="n">
        <v>2.6</v>
      </c>
      <c r="AR58" s="55" t="n">
        <f aca="false">AVERAGEA(AS58, AQ58)</f>
        <v>6.55</v>
      </c>
      <c r="AS58" s="56" t="n">
        <v>10.5</v>
      </c>
      <c r="AT58" s="51" t="n">
        <v>3.56</v>
      </c>
      <c r="AU58" s="52" t="n">
        <f aca="false">AVERAGE(AT58,AV58)</f>
        <v>22.03</v>
      </c>
      <c r="AV58" s="53" t="n">
        <v>40.5</v>
      </c>
      <c r="AW58" s="81" t="n">
        <v>5.7</v>
      </c>
      <c r="AX58" s="55" t="n">
        <f aca="false">AVERAGE(AW58,AY58)</f>
        <v>26.85</v>
      </c>
      <c r="AY58" s="56" t="n">
        <v>48</v>
      </c>
      <c r="AZ58" s="51" t="n">
        <v>6.2</v>
      </c>
      <c r="BA58" s="52" t="n">
        <f aca="false">AVERAGE(AZ58,BB58)</f>
        <v>42.1</v>
      </c>
      <c r="BB58" s="53" t="n">
        <v>78</v>
      </c>
      <c r="BC58" s="80" t="n">
        <v>1.8</v>
      </c>
      <c r="BD58" s="55" t="n">
        <f aca="false">AVERAGEA(BE58, BC58)</f>
        <v>1.8</v>
      </c>
      <c r="BE58" s="56" t="n">
        <v>1.8</v>
      </c>
      <c r="BF58" s="51" t="n">
        <v>78</v>
      </c>
      <c r="BG58" s="52" t="n">
        <f aca="false">AVERAGEA(BF58,BH58)</f>
        <v>159</v>
      </c>
      <c r="BH58" s="53" t="n">
        <v>240</v>
      </c>
      <c r="BI58" s="81" t="n">
        <v>2</v>
      </c>
      <c r="BJ58" s="55" t="n">
        <f aca="false">AVERAGEA(BI58,BK58)</f>
        <v>3.5</v>
      </c>
      <c r="BK58" s="56" t="n">
        <v>5</v>
      </c>
      <c r="BL58" s="51" t="n">
        <v>5</v>
      </c>
      <c r="BM58" s="52" t="n">
        <f aca="false">AVERAGEA(BL58,BN58)</f>
        <v>8.9</v>
      </c>
      <c r="BN58" s="53" t="n">
        <v>12.8</v>
      </c>
    </row>
    <row r="59" customFormat="false" ht="15" hidden="false" customHeight="true" outlineLevel="0" collapsed="false">
      <c r="B59" s="43"/>
      <c r="C59" s="87"/>
      <c r="D59" s="82"/>
      <c r="E59" s="46" t="s">
        <v>46</v>
      </c>
      <c r="F59" s="83"/>
      <c r="G59" s="93" t="n">
        <v>25.8932451769239</v>
      </c>
      <c r="H59" s="73" t="n">
        <f aca="false">AVERAGE(G59,I59)</f>
        <v>29.9192034680751</v>
      </c>
      <c r="I59" s="94" t="n">
        <v>33.9451617592263</v>
      </c>
      <c r="J59" s="51" t="s">
        <v>44</v>
      </c>
      <c r="K59" s="52"/>
      <c r="L59" s="53" t="s">
        <v>44</v>
      </c>
      <c r="M59" s="54" t="s">
        <v>44</v>
      </c>
      <c r="N59" s="55"/>
      <c r="O59" s="56" t="s">
        <v>44</v>
      </c>
      <c r="P59" s="54" t="s">
        <v>44</v>
      </c>
      <c r="Q59" s="55"/>
      <c r="R59" s="55" t="s">
        <v>44</v>
      </c>
      <c r="S59" s="51" t="n">
        <v>85</v>
      </c>
      <c r="T59" s="52" t="n">
        <f aca="false">AVERAGEA(U59, S59)</f>
        <v>90.15</v>
      </c>
      <c r="U59" s="53" t="n">
        <v>95.3</v>
      </c>
      <c r="V59" s="80" t="n">
        <v>60</v>
      </c>
      <c r="W59" s="101" t="n">
        <f aca="false">AVERAGEA(X59, V59)</f>
        <v>40</v>
      </c>
      <c r="X59" s="56" t="n">
        <v>20</v>
      </c>
      <c r="Y59" s="51" t="n">
        <v>0.58</v>
      </c>
      <c r="Z59" s="95" t="n">
        <f aca="false">AVERAGEA(AA59, Y59)</f>
        <v>3.29</v>
      </c>
      <c r="AA59" s="99" t="n">
        <v>6</v>
      </c>
      <c r="AB59" s="96" t="n">
        <v>0.58</v>
      </c>
      <c r="AC59" s="101" t="n">
        <f aca="false">AVERAGEA(AD59, AB59)</f>
        <v>3.29</v>
      </c>
      <c r="AD59" s="97" t="n">
        <v>6</v>
      </c>
      <c r="AE59" s="98" t="n">
        <v>3</v>
      </c>
      <c r="AF59" s="52" t="n">
        <f aca="false">AVERAGEA(AG59, AE59)</f>
        <v>6.5</v>
      </c>
      <c r="AG59" s="99" t="n">
        <v>10</v>
      </c>
      <c r="AH59" s="100" t="n">
        <v>6</v>
      </c>
      <c r="AI59" s="79" t="n">
        <f aca="false">AVERAGEA(AJ59, AH59)</f>
        <v>8</v>
      </c>
      <c r="AJ59" s="99" t="n">
        <v>10</v>
      </c>
      <c r="AK59" s="96" t="n">
        <v>998</v>
      </c>
      <c r="AL59" s="101" t="n">
        <f aca="false">AVERAGEA(AM59, AK59)</f>
        <v>1839</v>
      </c>
      <c r="AM59" s="97" t="n">
        <v>2680</v>
      </c>
      <c r="AN59" s="98" t="n">
        <v>26.6</v>
      </c>
      <c r="AO59" s="95" t="n">
        <f aca="false">AVERAGEA(AP59, AN59)</f>
        <v>31.8</v>
      </c>
      <c r="AP59" s="99" t="n">
        <v>37</v>
      </c>
      <c r="AQ59" s="80" t="n">
        <v>2.6</v>
      </c>
      <c r="AR59" s="55" t="n">
        <f aca="false">AVERAGEA(AS59, AQ59)</f>
        <v>6.55</v>
      </c>
      <c r="AS59" s="56" t="n">
        <v>10.5</v>
      </c>
      <c r="AT59" s="51" t="n">
        <v>3.56</v>
      </c>
      <c r="AU59" s="52" t="n">
        <f aca="false">AVERAGE(AT59,AV59)</f>
        <v>22.03</v>
      </c>
      <c r="AV59" s="53" t="n">
        <v>40.5</v>
      </c>
      <c r="AW59" s="81" t="n">
        <v>5.7</v>
      </c>
      <c r="AX59" s="55" t="n">
        <f aca="false">AVERAGE(AW59,AY59)</f>
        <v>26.85</v>
      </c>
      <c r="AY59" s="56" t="n">
        <v>48</v>
      </c>
      <c r="AZ59" s="51" t="n">
        <v>6.2</v>
      </c>
      <c r="BA59" s="52" t="n">
        <f aca="false">AVERAGE(AZ59,BB59)</f>
        <v>42.1</v>
      </c>
      <c r="BB59" s="53" t="n">
        <v>78</v>
      </c>
      <c r="BC59" s="80" t="n">
        <v>1.8</v>
      </c>
      <c r="BD59" s="55" t="n">
        <f aca="false">AVERAGEA(BE59, BC59)</f>
        <v>1.8</v>
      </c>
      <c r="BE59" s="56" t="n">
        <v>1.8</v>
      </c>
      <c r="BF59" s="51" t="n">
        <v>78</v>
      </c>
      <c r="BG59" s="52" t="n">
        <f aca="false">AVERAGEA(BF59,BH59)</f>
        <v>159</v>
      </c>
      <c r="BH59" s="53" t="n">
        <v>240</v>
      </c>
      <c r="BI59" s="81" t="n">
        <v>2</v>
      </c>
      <c r="BJ59" s="55" t="n">
        <f aca="false">AVERAGEA(BI59,BK59)</f>
        <v>3.5</v>
      </c>
      <c r="BK59" s="56" t="n">
        <v>5</v>
      </c>
      <c r="BL59" s="51" t="n">
        <v>5</v>
      </c>
      <c r="BM59" s="52" t="n">
        <f aca="false">AVERAGEA(BL59,BN59)</f>
        <v>8.9</v>
      </c>
      <c r="BN59" s="53" t="n">
        <v>12.8</v>
      </c>
    </row>
    <row r="60" customFormat="false" ht="15" hidden="false" customHeight="true" outlineLevel="0" collapsed="false">
      <c r="B60" s="43"/>
      <c r="C60" s="87"/>
      <c r="D60" s="82"/>
      <c r="E60" s="46" t="s">
        <v>47</v>
      </c>
      <c r="F60" s="83"/>
      <c r="G60" s="93" t="n">
        <v>20.4654779973505</v>
      </c>
      <c r="H60" s="73" t="n">
        <f aca="false">AVERAGE(G60,I60)</f>
        <v>23.1612820496938</v>
      </c>
      <c r="I60" s="94" t="n">
        <v>25.857086102037</v>
      </c>
      <c r="J60" s="51" t="s">
        <v>44</v>
      </c>
      <c r="K60" s="52"/>
      <c r="L60" s="53" t="s">
        <v>44</v>
      </c>
      <c r="M60" s="54" t="s">
        <v>44</v>
      </c>
      <c r="N60" s="55"/>
      <c r="O60" s="56" t="s">
        <v>44</v>
      </c>
      <c r="P60" s="54" t="s">
        <v>44</v>
      </c>
      <c r="Q60" s="55"/>
      <c r="R60" s="55" t="s">
        <v>44</v>
      </c>
      <c r="S60" s="51" t="n">
        <v>85</v>
      </c>
      <c r="T60" s="52" t="n">
        <f aca="false">AVERAGEA(U60, S60)</f>
        <v>90.15</v>
      </c>
      <c r="U60" s="53" t="n">
        <v>95.3</v>
      </c>
      <c r="V60" s="80" t="n">
        <v>60</v>
      </c>
      <c r="W60" s="101" t="n">
        <f aca="false">AVERAGEA(X60, V60)</f>
        <v>40</v>
      </c>
      <c r="X60" s="56" t="n">
        <v>20</v>
      </c>
      <c r="Y60" s="51" t="n">
        <v>0.58</v>
      </c>
      <c r="Z60" s="95" t="n">
        <f aca="false">AVERAGEA(AA60, Y60)</f>
        <v>3.29</v>
      </c>
      <c r="AA60" s="99" t="n">
        <v>6</v>
      </c>
      <c r="AB60" s="96" t="n">
        <v>0.58</v>
      </c>
      <c r="AC60" s="101" t="n">
        <f aca="false">AVERAGEA(AD60, AB60)</f>
        <v>3.29</v>
      </c>
      <c r="AD60" s="97" t="n">
        <v>6</v>
      </c>
      <c r="AE60" s="98" t="n">
        <v>3</v>
      </c>
      <c r="AF60" s="52" t="n">
        <f aca="false">AVERAGEA(AG60, AE60)</f>
        <v>6.5</v>
      </c>
      <c r="AG60" s="99" t="n">
        <v>10</v>
      </c>
      <c r="AH60" s="100" t="n">
        <v>6</v>
      </c>
      <c r="AI60" s="79" t="n">
        <f aca="false">AVERAGEA(AJ60, AH60)</f>
        <v>8</v>
      </c>
      <c r="AJ60" s="99" t="n">
        <v>10</v>
      </c>
      <c r="AK60" s="96" t="n">
        <v>998</v>
      </c>
      <c r="AL60" s="101" t="n">
        <f aca="false">AVERAGEA(AM60, AK60)</f>
        <v>1839</v>
      </c>
      <c r="AM60" s="97" t="n">
        <v>2680</v>
      </c>
      <c r="AN60" s="98" t="n">
        <v>26.6</v>
      </c>
      <c r="AO60" s="95" t="n">
        <f aca="false">AVERAGEA(AP60, AN60)</f>
        <v>31.8</v>
      </c>
      <c r="AP60" s="99" t="n">
        <v>37</v>
      </c>
      <c r="AQ60" s="80" t="n">
        <v>2.6</v>
      </c>
      <c r="AR60" s="55" t="n">
        <f aca="false">AVERAGEA(AS60, AQ60)</f>
        <v>6.55</v>
      </c>
      <c r="AS60" s="56" t="n">
        <v>10.5</v>
      </c>
      <c r="AT60" s="51" t="n">
        <v>3.56</v>
      </c>
      <c r="AU60" s="52" t="n">
        <f aca="false">AVERAGE(AT60,AV60)</f>
        <v>22.03</v>
      </c>
      <c r="AV60" s="53" t="n">
        <v>40.5</v>
      </c>
      <c r="AW60" s="81" t="n">
        <v>5.7</v>
      </c>
      <c r="AX60" s="55" t="n">
        <f aca="false">AVERAGE(AW60,AY60)</f>
        <v>26.85</v>
      </c>
      <c r="AY60" s="56" t="n">
        <v>48</v>
      </c>
      <c r="AZ60" s="51" t="n">
        <v>6.2</v>
      </c>
      <c r="BA60" s="52" t="n">
        <f aca="false">AVERAGE(AZ60,BB60)</f>
        <v>42.1</v>
      </c>
      <c r="BB60" s="53" t="n">
        <v>78</v>
      </c>
      <c r="BC60" s="80" t="n">
        <v>1.8</v>
      </c>
      <c r="BD60" s="55" t="n">
        <f aca="false">AVERAGEA(BE60, BC60)</f>
        <v>1.8</v>
      </c>
      <c r="BE60" s="56" t="n">
        <v>1.8</v>
      </c>
      <c r="BF60" s="51" t="n">
        <v>78</v>
      </c>
      <c r="BG60" s="52" t="n">
        <f aca="false">AVERAGEA(BF60,BH60)</f>
        <v>159</v>
      </c>
      <c r="BH60" s="53" t="n">
        <v>240</v>
      </c>
      <c r="BI60" s="81" t="n">
        <v>2</v>
      </c>
      <c r="BJ60" s="55" t="n">
        <f aca="false">AVERAGEA(BI60,BK60)</f>
        <v>3.5</v>
      </c>
      <c r="BK60" s="56" t="n">
        <v>5</v>
      </c>
      <c r="BL60" s="51" t="n">
        <v>5</v>
      </c>
      <c r="BM60" s="52" t="n">
        <f aca="false">AVERAGEA(BL60,BN60)</f>
        <v>8.9</v>
      </c>
      <c r="BN60" s="53" t="n">
        <v>12.8</v>
      </c>
    </row>
    <row r="61" customFormat="false" ht="15" hidden="false" customHeight="true" outlineLevel="0" collapsed="false">
      <c r="B61" s="43"/>
      <c r="C61" s="87" t="s">
        <v>55</v>
      </c>
      <c r="D61" s="82" t="s">
        <v>42</v>
      </c>
      <c r="E61" s="46" t="s">
        <v>43</v>
      </c>
      <c r="F61" s="83"/>
      <c r="G61" s="93" t="n">
        <v>40.8658372144628</v>
      </c>
      <c r="H61" s="73" t="n">
        <f aca="false">AVERAGE(G61,I61)</f>
        <v>42.0852097252407</v>
      </c>
      <c r="I61" s="94" t="n">
        <v>43.3045822360186</v>
      </c>
      <c r="J61" s="51" t="s">
        <v>44</v>
      </c>
      <c r="K61" s="52"/>
      <c r="L61" s="53" t="s">
        <v>44</v>
      </c>
      <c r="M61" s="54" t="s">
        <v>44</v>
      </c>
      <c r="N61" s="55"/>
      <c r="O61" s="56" t="s">
        <v>44</v>
      </c>
      <c r="P61" s="54" t="s">
        <v>44</v>
      </c>
      <c r="Q61" s="55"/>
      <c r="R61" s="55" t="s">
        <v>44</v>
      </c>
      <c r="S61" s="51" t="n">
        <v>85</v>
      </c>
      <c r="T61" s="52" t="n">
        <f aca="false">AVERAGEA(U61, S61)</f>
        <v>90.15</v>
      </c>
      <c r="U61" s="53" t="n">
        <v>95.3</v>
      </c>
      <c r="V61" s="80" t="n">
        <v>60</v>
      </c>
      <c r="W61" s="101" t="n">
        <f aca="false">AVERAGEA(X61, V61)</f>
        <v>40</v>
      </c>
      <c r="X61" s="56" t="n">
        <v>20</v>
      </c>
      <c r="Y61" s="51" t="n">
        <v>0.58</v>
      </c>
      <c r="Z61" s="95" t="n">
        <f aca="false">AVERAGEA(AA61, Y61)</f>
        <v>3.29</v>
      </c>
      <c r="AA61" s="99" t="n">
        <v>6</v>
      </c>
      <c r="AB61" s="96" t="n">
        <v>0.58</v>
      </c>
      <c r="AC61" s="101" t="n">
        <f aca="false">AVERAGEA(AD61, AB61)</f>
        <v>3.29</v>
      </c>
      <c r="AD61" s="97" t="n">
        <v>6</v>
      </c>
      <c r="AE61" s="98" t="n">
        <v>3</v>
      </c>
      <c r="AF61" s="52" t="n">
        <f aca="false">AVERAGEA(AG61, AE61)</f>
        <v>6.5</v>
      </c>
      <c r="AG61" s="99" t="n">
        <v>10</v>
      </c>
      <c r="AH61" s="100" t="n">
        <v>1.5</v>
      </c>
      <c r="AI61" s="79" t="n">
        <f aca="false">AVERAGEA(AJ61, AH61)</f>
        <v>2.25</v>
      </c>
      <c r="AJ61" s="99" t="n">
        <v>3</v>
      </c>
      <c r="AK61" s="96" t="n">
        <v>998</v>
      </c>
      <c r="AL61" s="101" t="n">
        <f aca="false">AVERAGEA(AM61, AK61)</f>
        <v>1839</v>
      </c>
      <c r="AM61" s="97" t="n">
        <v>2680</v>
      </c>
      <c r="AN61" s="98" t="n">
        <v>26.6</v>
      </c>
      <c r="AO61" s="95" t="n">
        <f aca="false">AVERAGEA(AP61, AN61)</f>
        <v>31.8</v>
      </c>
      <c r="AP61" s="99" t="n">
        <v>37</v>
      </c>
      <c r="AQ61" s="80" t="n">
        <v>2.6</v>
      </c>
      <c r="AR61" s="55" t="n">
        <f aca="false">AVERAGEA(AS61, AQ61)</f>
        <v>6.55</v>
      </c>
      <c r="AS61" s="56" t="n">
        <v>10.5</v>
      </c>
      <c r="AT61" s="51" t="n">
        <v>3.56</v>
      </c>
      <c r="AU61" s="52" t="n">
        <f aca="false">AVERAGE(AT61,AV61)</f>
        <v>22.03</v>
      </c>
      <c r="AV61" s="53" t="n">
        <v>40.5</v>
      </c>
      <c r="AW61" s="81" t="n">
        <v>5.7</v>
      </c>
      <c r="AX61" s="55" t="n">
        <f aca="false">AVERAGE(AW61,AY61)</f>
        <v>26.85</v>
      </c>
      <c r="AY61" s="56" t="n">
        <v>48</v>
      </c>
      <c r="AZ61" s="51" t="n">
        <v>6.2</v>
      </c>
      <c r="BA61" s="52" t="n">
        <f aca="false">AVERAGE(AZ61,BB61)</f>
        <v>42.1</v>
      </c>
      <c r="BB61" s="53" t="n">
        <v>78</v>
      </c>
      <c r="BC61" s="80" t="n">
        <v>1.8</v>
      </c>
      <c r="BD61" s="55" t="n">
        <f aca="false">AVERAGEA(BE61, BC61)</f>
        <v>1.8</v>
      </c>
      <c r="BE61" s="56" t="n">
        <v>1.8</v>
      </c>
      <c r="BF61" s="51" t="n">
        <v>78</v>
      </c>
      <c r="BG61" s="52" t="n">
        <f aca="false">AVERAGEA(BF61,BH61)</f>
        <v>159</v>
      </c>
      <c r="BH61" s="53" t="n">
        <v>240</v>
      </c>
      <c r="BI61" s="81" t="n">
        <v>2</v>
      </c>
      <c r="BJ61" s="55" t="n">
        <f aca="false">AVERAGEA(BI61,BK61)</f>
        <v>3.5</v>
      </c>
      <c r="BK61" s="56" t="n">
        <v>5</v>
      </c>
      <c r="BL61" s="51" t="n">
        <v>5</v>
      </c>
      <c r="BM61" s="52" t="n">
        <f aca="false">AVERAGEA(BL61,BN61)</f>
        <v>8.9</v>
      </c>
      <c r="BN61" s="53" t="n">
        <v>12.8</v>
      </c>
    </row>
    <row r="62" customFormat="false" ht="15" hidden="false" customHeight="true" outlineLevel="0" collapsed="false">
      <c r="B62" s="43"/>
      <c r="C62" s="87"/>
      <c r="D62" s="82"/>
      <c r="E62" s="46" t="s">
        <v>45</v>
      </c>
      <c r="F62" s="83"/>
      <c r="G62" s="93" t="n">
        <v>37.9161475741639</v>
      </c>
      <c r="H62" s="73" t="n">
        <f aca="false">AVERAGE(G62,I62)</f>
        <v>39.3872285091875</v>
      </c>
      <c r="I62" s="94" t="n">
        <v>40.8583094442112</v>
      </c>
      <c r="J62" s="51" t="s">
        <v>44</v>
      </c>
      <c r="K62" s="52"/>
      <c r="L62" s="53" t="s">
        <v>44</v>
      </c>
      <c r="M62" s="54" t="s">
        <v>44</v>
      </c>
      <c r="N62" s="55"/>
      <c r="O62" s="56" t="s">
        <v>44</v>
      </c>
      <c r="P62" s="54" t="s">
        <v>44</v>
      </c>
      <c r="Q62" s="55"/>
      <c r="R62" s="55" t="s">
        <v>44</v>
      </c>
      <c r="S62" s="51" t="n">
        <v>85</v>
      </c>
      <c r="T62" s="52" t="n">
        <f aca="false">AVERAGEA(U62, S62)</f>
        <v>90.15</v>
      </c>
      <c r="U62" s="53" t="n">
        <v>95.3</v>
      </c>
      <c r="V62" s="80" t="n">
        <v>60</v>
      </c>
      <c r="W62" s="101" t="n">
        <f aca="false">AVERAGEA(X62, V62)</f>
        <v>40</v>
      </c>
      <c r="X62" s="56" t="n">
        <v>20</v>
      </c>
      <c r="Y62" s="51" t="n">
        <v>0.58</v>
      </c>
      <c r="Z62" s="95" t="n">
        <f aca="false">AVERAGEA(AA62, Y62)</f>
        <v>3.29</v>
      </c>
      <c r="AA62" s="99" t="n">
        <v>6</v>
      </c>
      <c r="AB62" s="96" t="n">
        <v>0.58</v>
      </c>
      <c r="AC62" s="101" t="n">
        <f aca="false">AVERAGEA(AD62, AB62)</f>
        <v>3.29</v>
      </c>
      <c r="AD62" s="97" t="n">
        <v>6</v>
      </c>
      <c r="AE62" s="98" t="n">
        <v>3</v>
      </c>
      <c r="AF62" s="52" t="n">
        <f aca="false">AVERAGEA(AG62, AE62)</f>
        <v>6.5</v>
      </c>
      <c r="AG62" s="99" t="n">
        <v>10</v>
      </c>
      <c r="AH62" s="100" t="n">
        <v>1.5</v>
      </c>
      <c r="AI62" s="79" t="n">
        <f aca="false">AVERAGEA(AJ62, AH62)</f>
        <v>2.25</v>
      </c>
      <c r="AJ62" s="99" t="n">
        <v>3</v>
      </c>
      <c r="AK62" s="96" t="n">
        <v>998</v>
      </c>
      <c r="AL62" s="101" t="n">
        <f aca="false">AVERAGEA(AM62, AK62)</f>
        <v>1839</v>
      </c>
      <c r="AM62" s="97" t="n">
        <v>2680</v>
      </c>
      <c r="AN62" s="98" t="n">
        <v>26.6</v>
      </c>
      <c r="AO62" s="95" t="n">
        <f aca="false">AVERAGEA(AP62, AN62)</f>
        <v>31.8</v>
      </c>
      <c r="AP62" s="99" t="n">
        <v>37</v>
      </c>
      <c r="AQ62" s="80" t="n">
        <v>2.6</v>
      </c>
      <c r="AR62" s="55" t="n">
        <f aca="false">AVERAGEA(AS62, AQ62)</f>
        <v>6.55</v>
      </c>
      <c r="AS62" s="56" t="n">
        <v>10.5</v>
      </c>
      <c r="AT62" s="51" t="n">
        <v>3.56</v>
      </c>
      <c r="AU62" s="52" t="n">
        <f aca="false">AVERAGE(AT62,AV62)</f>
        <v>22.03</v>
      </c>
      <c r="AV62" s="53" t="n">
        <v>40.5</v>
      </c>
      <c r="AW62" s="81" t="n">
        <v>5.7</v>
      </c>
      <c r="AX62" s="55" t="n">
        <f aca="false">AVERAGE(AW62,AY62)</f>
        <v>26.85</v>
      </c>
      <c r="AY62" s="56" t="n">
        <v>48</v>
      </c>
      <c r="AZ62" s="51" t="n">
        <v>6.2</v>
      </c>
      <c r="BA62" s="52" t="n">
        <f aca="false">AVERAGE(AZ62,BB62)</f>
        <v>42.1</v>
      </c>
      <c r="BB62" s="53" t="n">
        <v>78</v>
      </c>
      <c r="BC62" s="80" t="n">
        <v>1.8</v>
      </c>
      <c r="BD62" s="55" t="n">
        <f aca="false">AVERAGEA(BE62, BC62)</f>
        <v>1.8</v>
      </c>
      <c r="BE62" s="56" t="n">
        <v>1.8</v>
      </c>
      <c r="BF62" s="51" t="n">
        <v>78</v>
      </c>
      <c r="BG62" s="52" t="n">
        <f aca="false">AVERAGEA(BF62,BH62)</f>
        <v>159</v>
      </c>
      <c r="BH62" s="53" t="n">
        <v>240</v>
      </c>
      <c r="BI62" s="81" t="n">
        <v>2</v>
      </c>
      <c r="BJ62" s="55" t="n">
        <f aca="false">AVERAGEA(BI62,BK62)</f>
        <v>3.5</v>
      </c>
      <c r="BK62" s="56" t="n">
        <v>5</v>
      </c>
      <c r="BL62" s="51" t="n">
        <v>5</v>
      </c>
      <c r="BM62" s="52" t="n">
        <f aca="false">AVERAGEA(BL62,BN62)</f>
        <v>8.9</v>
      </c>
      <c r="BN62" s="53" t="n">
        <v>12.8</v>
      </c>
    </row>
    <row r="63" customFormat="false" ht="15" hidden="false" customHeight="true" outlineLevel="0" collapsed="false">
      <c r="B63" s="43"/>
      <c r="C63" s="87"/>
      <c r="D63" s="82"/>
      <c r="E63" s="46" t="s">
        <v>46</v>
      </c>
      <c r="F63" s="83"/>
      <c r="G63" s="93" t="n">
        <v>28.9069541541286</v>
      </c>
      <c r="H63" s="73" t="n">
        <f aca="false">AVERAGE(G63,I63)</f>
        <v>33.4014928244865</v>
      </c>
      <c r="I63" s="94" t="n">
        <v>37.8960314948443</v>
      </c>
      <c r="J63" s="51" t="s">
        <v>44</v>
      </c>
      <c r="K63" s="52"/>
      <c r="L63" s="53" t="s">
        <v>44</v>
      </c>
      <c r="M63" s="54" t="s">
        <v>44</v>
      </c>
      <c r="N63" s="55"/>
      <c r="O63" s="56" t="s">
        <v>44</v>
      </c>
      <c r="P63" s="54" t="s">
        <v>44</v>
      </c>
      <c r="Q63" s="55"/>
      <c r="R63" s="55" t="s">
        <v>44</v>
      </c>
      <c r="S63" s="51" t="n">
        <v>85</v>
      </c>
      <c r="T63" s="52" t="n">
        <f aca="false">AVERAGEA(U63, S63)</f>
        <v>90.15</v>
      </c>
      <c r="U63" s="53" t="n">
        <v>95.3</v>
      </c>
      <c r="V63" s="80" t="n">
        <v>60</v>
      </c>
      <c r="W63" s="101" t="n">
        <f aca="false">AVERAGEA(X63, V63)</f>
        <v>40</v>
      </c>
      <c r="X63" s="56" t="n">
        <v>20</v>
      </c>
      <c r="Y63" s="51" t="n">
        <v>0.58</v>
      </c>
      <c r="Z63" s="95" t="n">
        <f aca="false">AVERAGEA(AA63, Y63)</f>
        <v>3.29</v>
      </c>
      <c r="AA63" s="99" t="n">
        <v>6</v>
      </c>
      <c r="AB63" s="96" t="n">
        <v>0.58</v>
      </c>
      <c r="AC63" s="101" t="n">
        <f aca="false">AVERAGEA(AD63, AB63)</f>
        <v>3.29</v>
      </c>
      <c r="AD63" s="97" t="n">
        <v>6</v>
      </c>
      <c r="AE63" s="98" t="n">
        <v>3</v>
      </c>
      <c r="AF63" s="52" t="n">
        <f aca="false">AVERAGEA(AG63, AE63)</f>
        <v>6.5</v>
      </c>
      <c r="AG63" s="99" t="n">
        <v>10</v>
      </c>
      <c r="AH63" s="100" t="n">
        <v>1.5</v>
      </c>
      <c r="AI63" s="79" t="n">
        <f aca="false">AVERAGEA(AJ63, AH63)</f>
        <v>2.25</v>
      </c>
      <c r="AJ63" s="99" t="n">
        <v>3</v>
      </c>
      <c r="AK63" s="96" t="n">
        <v>998</v>
      </c>
      <c r="AL63" s="101" t="n">
        <f aca="false">AVERAGEA(AM63, AK63)</f>
        <v>1839</v>
      </c>
      <c r="AM63" s="97" t="n">
        <v>2680</v>
      </c>
      <c r="AN63" s="98" t="n">
        <v>26.6</v>
      </c>
      <c r="AO63" s="95" t="n">
        <f aca="false">AVERAGEA(AP63, AN63)</f>
        <v>31.8</v>
      </c>
      <c r="AP63" s="99" t="n">
        <v>37</v>
      </c>
      <c r="AQ63" s="80" t="n">
        <v>2.6</v>
      </c>
      <c r="AR63" s="55" t="n">
        <f aca="false">AVERAGEA(AS63, AQ63)</f>
        <v>6.55</v>
      </c>
      <c r="AS63" s="56" t="n">
        <v>10.5</v>
      </c>
      <c r="AT63" s="51" t="n">
        <v>3.56</v>
      </c>
      <c r="AU63" s="52" t="n">
        <f aca="false">AVERAGE(AT63,AV63)</f>
        <v>22.03</v>
      </c>
      <c r="AV63" s="53" t="n">
        <v>40.5</v>
      </c>
      <c r="AW63" s="81" t="n">
        <v>5.7</v>
      </c>
      <c r="AX63" s="55" t="n">
        <f aca="false">AVERAGE(AW63,AY63)</f>
        <v>26.85</v>
      </c>
      <c r="AY63" s="56" t="n">
        <v>48</v>
      </c>
      <c r="AZ63" s="51" t="n">
        <v>6.2</v>
      </c>
      <c r="BA63" s="52" t="n">
        <f aca="false">AVERAGE(AZ63,BB63)</f>
        <v>42.1</v>
      </c>
      <c r="BB63" s="53" t="n">
        <v>78</v>
      </c>
      <c r="BC63" s="80" t="n">
        <v>1.8</v>
      </c>
      <c r="BD63" s="55" t="n">
        <f aca="false">AVERAGEA(BE63, BC63)</f>
        <v>1.8</v>
      </c>
      <c r="BE63" s="56" t="n">
        <v>1.8</v>
      </c>
      <c r="BF63" s="51" t="n">
        <v>78</v>
      </c>
      <c r="BG63" s="52" t="n">
        <f aca="false">AVERAGEA(BF63,BH63)</f>
        <v>159</v>
      </c>
      <c r="BH63" s="53" t="n">
        <v>240</v>
      </c>
      <c r="BI63" s="81" t="n">
        <v>2</v>
      </c>
      <c r="BJ63" s="55" t="n">
        <f aca="false">AVERAGEA(BI63,BK63)</f>
        <v>3.5</v>
      </c>
      <c r="BK63" s="56" t="n">
        <v>5</v>
      </c>
      <c r="BL63" s="51" t="n">
        <v>5</v>
      </c>
      <c r="BM63" s="52" t="n">
        <f aca="false">AVERAGEA(BL63,BN63)</f>
        <v>8.9</v>
      </c>
      <c r="BN63" s="53" t="n">
        <v>12.8</v>
      </c>
    </row>
    <row r="64" customFormat="false" ht="15" hidden="false" customHeight="true" outlineLevel="0" collapsed="false">
      <c r="B64" s="43"/>
      <c r="C64" s="87"/>
      <c r="D64" s="82"/>
      <c r="E64" s="46" t="s">
        <v>47</v>
      </c>
      <c r="F64" s="83"/>
      <c r="G64" s="93" t="n">
        <v>22.8474503743923</v>
      </c>
      <c r="H64" s="73" t="n">
        <f aca="false">AVERAGE(G64,I64)</f>
        <v>25.8570184535239</v>
      </c>
      <c r="I64" s="94" t="n">
        <v>28.8665865326556</v>
      </c>
      <c r="J64" s="51" t="s">
        <v>44</v>
      </c>
      <c r="K64" s="52"/>
      <c r="L64" s="53" t="s">
        <v>44</v>
      </c>
      <c r="M64" s="54" t="s">
        <v>44</v>
      </c>
      <c r="N64" s="55"/>
      <c r="O64" s="56" t="s">
        <v>44</v>
      </c>
      <c r="P64" s="54" t="s">
        <v>44</v>
      </c>
      <c r="Q64" s="55"/>
      <c r="R64" s="55" t="s">
        <v>44</v>
      </c>
      <c r="S64" s="51" t="n">
        <v>85</v>
      </c>
      <c r="T64" s="52" t="n">
        <f aca="false">AVERAGEA(U64, S64)</f>
        <v>90.15</v>
      </c>
      <c r="U64" s="53" t="n">
        <v>95.3</v>
      </c>
      <c r="V64" s="80" t="n">
        <v>60</v>
      </c>
      <c r="W64" s="101" t="n">
        <f aca="false">AVERAGEA(X64, V64)</f>
        <v>40</v>
      </c>
      <c r="X64" s="56" t="n">
        <v>20</v>
      </c>
      <c r="Y64" s="51" t="n">
        <v>0.58</v>
      </c>
      <c r="Z64" s="95" t="n">
        <f aca="false">AVERAGEA(AA64, Y64)</f>
        <v>3.29</v>
      </c>
      <c r="AA64" s="99" t="n">
        <v>6</v>
      </c>
      <c r="AB64" s="96" t="n">
        <v>0.58</v>
      </c>
      <c r="AC64" s="101" t="n">
        <f aca="false">AVERAGEA(AD64, AB64)</f>
        <v>3.29</v>
      </c>
      <c r="AD64" s="97" t="n">
        <v>6</v>
      </c>
      <c r="AE64" s="98" t="n">
        <v>3</v>
      </c>
      <c r="AF64" s="52" t="n">
        <f aca="false">AVERAGEA(AG64, AE64)</f>
        <v>6.5</v>
      </c>
      <c r="AG64" s="99" t="n">
        <v>10</v>
      </c>
      <c r="AH64" s="100" t="n">
        <v>1.5</v>
      </c>
      <c r="AI64" s="79" t="n">
        <f aca="false">AVERAGEA(AJ64, AH64)</f>
        <v>2.25</v>
      </c>
      <c r="AJ64" s="99" t="n">
        <v>3</v>
      </c>
      <c r="AK64" s="96" t="n">
        <v>998</v>
      </c>
      <c r="AL64" s="101" t="n">
        <f aca="false">AVERAGEA(AM64, AK64)</f>
        <v>1839</v>
      </c>
      <c r="AM64" s="97" t="n">
        <v>2680</v>
      </c>
      <c r="AN64" s="98" t="n">
        <v>26.6</v>
      </c>
      <c r="AO64" s="95" t="n">
        <f aca="false">AVERAGEA(AP64, AN64)</f>
        <v>31.8</v>
      </c>
      <c r="AP64" s="99" t="n">
        <v>37</v>
      </c>
      <c r="AQ64" s="80" t="n">
        <v>2.6</v>
      </c>
      <c r="AR64" s="55" t="n">
        <f aca="false">AVERAGEA(AS64, AQ64)</f>
        <v>6.55</v>
      </c>
      <c r="AS64" s="56" t="n">
        <v>10.5</v>
      </c>
      <c r="AT64" s="51" t="n">
        <v>3.56</v>
      </c>
      <c r="AU64" s="52" t="n">
        <f aca="false">AVERAGE(AT64,AV64)</f>
        <v>22.03</v>
      </c>
      <c r="AV64" s="53" t="n">
        <v>40.5</v>
      </c>
      <c r="AW64" s="81" t="n">
        <v>5.7</v>
      </c>
      <c r="AX64" s="55" t="n">
        <f aca="false">AVERAGE(AW64,AY64)</f>
        <v>26.85</v>
      </c>
      <c r="AY64" s="56" t="n">
        <v>48</v>
      </c>
      <c r="AZ64" s="51" t="n">
        <v>6.2</v>
      </c>
      <c r="BA64" s="52" t="n">
        <f aca="false">AVERAGE(AZ64,BB64)</f>
        <v>42.1</v>
      </c>
      <c r="BB64" s="53" t="n">
        <v>78</v>
      </c>
      <c r="BC64" s="80" t="n">
        <v>1.8</v>
      </c>
      <c r="BD64" s="55" t="n">
        <f aca="false">AVERAGEA(BE64, BC64)</f>
        <v>1.8</v>
      </c>
      <c r="BE64" s="56" t="n">
        <v>1.8</v>
      </c>
      <c r="BF64" s="51" t="n">
        <v>78</v>
      </c>
      <c r="BG64" s="52" t="n">
        <f aca="false">AVERAGEA(BF64,BH64)</f>
        <v>159</v>
      </c>
      <c r="BH64" s="53" t="n">
        <v>240</v>
      </c>
      <c r="BI64" s="81" t="n">
        <v>2</v>
      </c>
      <c r="BJ64" s="55" t="n">
        <f aca="false">AVERAGEA(BI64,BK64)</f>
        <v>3.5</v>
      </c>
      <c r="BK64" s="56" t="n">
        <v>5</v>
      </c>
      <c r="BL64" s="51" t="n">
        <v>5</v>
      </c>
      <c r="BM64" s="52" t="n">
        <f aca="false">AVERAGEA(BL64,BN64)</f>
        <v>8.9</v>
      </c>
      <c r="BN64" s="53" t="n">
        <v>12.8</v>
      </c>
    </row>
    <row r="65" customFormat="false" ht="15" hidden="false" customHeight="true" outlineLevel="0" collapsed="false">
      <c r="B65" s="43"/>
      <c r="C65" s="87"/>
      <c r="D65" s="82" t="s">
        <v>52</v>
      </c>
      <c r="E65" s="46" t="s">
        <v>43</v>
      </c>
      <c r="F65" s="83"/>
      <c r="G65" s="93" t="n">
        <v>40.3631267360302</v>
      </c>
      <c r="H65" s="73" t="n">
        <f aca="false">AVERAGE(G65,I65)</f>
        <v>41.5674991543087</v>
      </c>
      <c r="I65" s="94" t="n">
        <v>42.7718715725873</v>
      </c>
      <c r="J65" s="51" t="s">
        <v>44</v>
      </c>
      <c r="K65" s="52"/>
      <c r="L65" s="53" t="s">
        <v>44</v>
      </c>
      <c r="M65" s="54" t="s">
        <v>44</v>
      </c>
      <c r="N65" s="55"/>
      <c r="O65" s="56" t="s">
        <v>44</v>
      </c>
      <c r="P65" s="54" t="s">
        <v>44</v>
      </c>
      <c r="Q65" s="55"/>
      <c r="R65" s="55" t="s">
        <v>44</v>
      </c>
      <c r="S65" s="51" t="n">
        <v>85</v>
      </c>
      <c r="T65" s="52" t="n">
        <f aca="false">AVERAGEA(U65, S65)</f>
        <v>90.15</v>
      </c>
      <c r="U65" s="53" t="n">
        <v>95.3</v>
      </c>
      <c r="V65" s="80" t="n">
        <v>60</v>
      </c>
      <c r="W65" s="101" t="n">
        <f aca="false">AVERAGEA(X65, V65)</f>
        <v>40</v>
      </c>
      <c r="X65" s="56" t="n">
        <v>20</v>
      </c>
      <c r="Y65" s="51" t="n">
        <v>0.58</v>
      </c>
      <c r="Z65" s="95" t="n">
        <f aca="false">AVERAGEA(AA65, Y65)</f>
        <v>3.29</v>
      </c>
      <c r="AA65" s="99" t="n">
        <v>6</v>
      </c>
      <c r="AB65" s="96" t="n">
        <v>0.58</v>
      </c>
      <c r="AC65" s="101" t="n">
        <f aca="false">AVERAGEA(AD65, AB65)</f>
        <v>3.29</v>
      </c>
      <c r="AD65" s="97" t="n">
        <v>6</v>
      </c>
      <c r="AE65" s="98" t="n">
        <v>3</v>
      </c>
      <c r="AF65" s="52" t="n">
        <f aca="false">AVERAGEA(AG65, AE65)</f>
        <v>6.5</v>
      </c>
      <c r="AG65" s="99" t="n">
        <v>10</v>
      </c>
      <c r="AH65" s="100" t="n">
        <v>1.5</v>
      </c>
      <c r="AI65" s="79" t="n">
        <f aca="false">AVERAGEA(AJ65, AH65)</f>
        <v>2.25</v>
      </c>
      <c r="AJ65" s="99" t="n">
        <v>3</v>
      </c>
      <c r="AK65" s="96" t="n">
        <v>998</v>
      </c>
      <c r="AL65" s="101" t="n">
        <f aca="false">AVERAGEA(AM65, AK65)</f>
        <v>1839</v>
      </c>
      <c r="AM65" s="97" t="n">
        <v>2680</v>
      </c>
      <c r="AN65" s="98" t="n">
        <v>26.6</v>
      </c>
      <c r="AO65" s="95" t="n">
        <f aca="false">AVERAGEA(AP65, AN65)</f>
        <v>31.8</v>
      </c>
      <c r="AP65" s="99" t="n">
        <v>37</v>
      </c>
      <c r="AQ65" s="80" t="n">
        <v>2.6</v>
      </c>
      <c r="AR65" s="55" t="n">
        <f aca="false">AVERAGEA(AS65, AQ65)</f>
        <v>6.55</v>
      </c>
      <c r="AS65" s="56" t="n">
        <v>10.5</v>
      </c>
      <c r="AT65" s="51" t="n">
        <v>3.56</v>
      </c>
      <c r="AU65" s="52" t="n">
        <f aca="false">AVERAGE(AT65,AV65)</f>
        <v>22.03</v>
      </c>
      <c r="AV65" s="53" t="n">
        <v>40.5</v>
      </c>
      <c r="AW65" s="81" t="n">
        <v>5.7</v>
      </c>
      <c r="AX65" s="55" t="n">
        <f aca="false">AVERAGE(AW65,AY65)</f>
        <v>26.85</v>
      </c>
      <c r="AY65" s="56" t="n">
        <v>48</v>
      </c>
      <c r="AZ65" s="51" t="n">
        <v>6.2</v>
      </c>
      <c r="BA65" s="52" t="n">
        <f aca="false">AVERAGE(AZ65,BB65)</f>
        <v>42.1</v>
      </c>
      <c r="BB65" s="53" t="n">
        <v>78</v>
      </c>
      <c r="BC65" s="80" t="n">
        <v>1.8</v>
      </c>
      <c r="BD65" s="55" t="n">
        <f aca="false">AVERAGEA(BE65, BC65)</f>
        <v>1.8</v>
      </c>
      <c r="BE65" s="56" t="n">
        <v>1.8</v>
      </c>
      <c r="BF65" s="51" t="n">
        <v>78</v>
      </c>
      <c r="BG65" s="52" t="n">
        <f aca="false">AVERAGEA(BF65,BH65)</f>
        <v>159</v>
      </c>
      <c r="BH65" s="53" t="n">
        <v>240</v>
      </c>
      <c r="BI65" s="81" t="n">
        <v>2</v>
      </c>
      <c r="BJ65" s="55" t="n">
        <f aca="false">AVERAGEA(BI65,BK65)</f>
        <v>3.5</v>
      </c>
      <c r="BK65" s="56" t="n">
        <v>5</v>
      </c>
      <c r="BL65" s="51" t="n">
        <v>5</v>
      </c>
      <c r="BM65" s="52" t="n">
        <f aca="false">AVERAGEA(BL65,BN65)</f>
        <v>8.9</v>
      </c>
      <c r="BN65" s="53" t="n">
        <v>12.8</v>
      </c>
    </row>
    <row r="66" customFormat="false" ht="15" hidden="false" customHeight="true" outlineLevel="0" collapsed="false">
      <c r="B66" s="43"/>
      <c r="C66" s="87"/>
      <c r="D66" s="82"/>
      <c r="E66" s="46" t="s">
        <v>45</v>
      </c>
      <c r="F66" s="83"/>
      <c r="G66" s="93" t="n">
        <v>37.4497226582298</v>
      </c>
      <c r="H66" s="73" t="n">
        <f aca="false">AVERAGE(G66,I66)</f>
        <v>38.9027071133801</v>
      </c>
      <c r="I66" s="94" t="n">
        <v>40.3556915685305</v>
      </c>
      <c r="J66" s="51" t="s">
        <v>44</v>
      </c>
      <c r="K66" s="52"/>
      <c r="L66" s="53" t="s">
        <v>44</v>
      </c>
      <c r="M66" s="54" t="s">
        <v>44</v>
      </c>
      <c r="N66" s="55"/>
      <c r="O66" s="56" t="s">
        <v>44</v>
      </c>
      <c r="P66" s="54" t="s">
        <v>44</v>
      </c>
      <c r="Q66" s="55"/>
      <c r="R66" s="55" t="s">
        <v>44</v>
      </c>
      <c r="S66" s="51" t="n">
        <v>85</v>
      </c>
      <c r="T66" s="52" t="n">
        <f aca="false">AVERAGEA(U66, S66)</f>
        <v>90.15</v>
      </c>
      <c r="U66" s="53" t="n">
        <v>95.3</v>
      </c>
      <c r="V66" s="80" t="n">
        <v>60</v>
      </c>
      <c r="W66" s="101" t="n">
        <f aca="false">AVERAGEA(X66, V66)</f>
        <v>40</v>
      </c>
      <c r="X66" s="56" t="n">
        <v>20</v>
      </c>
      <c r="Y66" s="51" t="n">
        <v>0.58</v>
      </c>
      <c r="Z66" s="95" t="n">
        <f aca="false">AVERAGEA(AA66, Y66)</f>
        <v>3.29</v>
      </c>
      <c r="AA66" s="99" t="n">
        <v>6</v>
      </c>
      <c r="AB66" s="96" t="n">
        <v>0.58</v>
      </c>
      <c r="AC66" s="101" t="n">
        <f aca="false">AVERAGEA(AD66, AB66)</f>
        <v>3.29</v>
      </c>
      <c r="AD66" s="97" t="n">
        <v>6</v>
      </c>
      <c r="AE66" s="98" t="n">
        <v>3</v>
      </c>
      <c r="AF66" s="52" t="n">
        <f aca="false">AVERAGEA(AG66, AE66)</f>
        <v>6.5</v>
      </c>
      <c r="AG66" s="99" t="n">
        <v>10</v>
      </c>
      <c r="AH66" s="100" t="n">
        <v>1.5</v>
      </c>
      <c r="AI66" s="79" t="n">
        <f aca="false">AVERAGEA(AJ66, AH66)</f>
        <v>2.25</v>
      </c>
      <c r="AJ66" s="99" t="n">
        <v>3</v>
      </c>
      <c r="AK66" s="96" t="n">
        <v>998</v>
      </c>
      <c r="AL66" s="101" t="n">
        <f aca="false">AVERAGEA(AM66, AK66)</f>
        <v>1839</v>
      </c>
      <c r="AM66" s="97" t="n">
        <v>2680</v>
      </c>
      <c r="AN66" s="98" t="n">
        <v>26.6</v>
      </c>
      <c r="AO66" s="95" t="n">
        <f aca="false">AVERAGEA(AP66, AN66)</f>
        <v>31.8</v>
      </c>
      <c r="AP66" s="99" t="n">
        <v>37</v>
      </c>
      <c r="AQ66" s="80" t="n">
        <v>2.6</v>
      </c>
      <c r="AR66" s="55" t="n">
        <f aca="false">AVERAGEA(AS66, AQ66)</f>
        <v>6.55</v>
      </c>
      <c r="AS66" s="56" t="n">
        <v>10.5</v>
      </c>
      <c r="AT66" s="51" t="n">
        <v>3.56</v>
      </c>
      <c r="AU66" s="52" t="n">
        <f aca="false">AVERAGE(AT66,AV66)</f>
        <v>22.03</v>
      </c>
      <c r="AV66" s="53" t="n">
        <v>40.5</v>
      </c>
      <c r="AW66" s="81" t="n">
        <v>5.7</v>
      </c>
      <c r="AX66" s="55" t="n">
        <f aca="false">AVERAGE(AW66,AY66)</f>
        <v>26.85</v>
      </c>
      <c r="AY66" s="56" t="n">
        <v>48</v>
      </c>
      <c r="AZ66" s="51" t="n">
        <v>6.2</v>
      </c>
      <c r="BA66" s="52" t="n">
        <f aca="false">AVERAGE(AZ66,BB66)</f>
        <v>42.1</v>
      </c>
      <c r="BB66" s="53" t="n">
        <v>78</v>
      </c>
      <c r="BC66" s="80" t="n">
        <v>1.8</v>
      </c>
      <c r="BD66" s="55" t="n">
        <f aca="false">AVERAGEA(BE66, BC66)</f>
        <v>1.8</v>
      </c>
      <c r="BE66" s="56" t="n">
        <v>1.8</v>
      </c>
      <c r="BF66" s="51" t="n">
        <v>78</v>
      </c>
      <c r="BG66" s="52" t="n">
        <f aca="false">AVERAGEA(BF66,BH66)</f>
        <v>159</v>
      </c>
      <c r="BH66" s="53" t="n">
        <v>240</v>
      </c>
      <c r="BI66" s="81" t="n">
        <v>2</v>
      </c>
      <c r="BJ66" s="55" t="n">
        <f aca="false">AVERAGEA(BI66,BK66)</f>
        <v>3.5</v>
      </c>
      <c r="BK66" s="56" t="n">
        <v>5</v>
      </c>
      <c r="BL66" s="51" t="n">
        <v>5</v>
      </c>
      <c r="BM66" s="52" t="n">
        <f aca="false">AVERAGEA(BL66,BN66)</f>
        <v>8.9</v>
      </c>
      <c r="BN66" s="53" t="n">
        <v>12.8</v>
      </c>
    </row>
    <row r="67" customFormat="false" ht="15" hidden="false" customHeight="true" outlineLevel="0" collapsed="false">
      <c r="B67" s="43"/>
      <c r="C67" s="87"/>
      <c r="D67" s="82"/>
      <c r="E67" s="46" t="s">
        <v>46</v>
      </c>
      <c r="F67" s="83"/>
      <c r="G67" s="93" t="n">
        <v>28.5513556947947</v>
      </c>
      <c r="H67" s="73" t="n">
        <f aca="false">AVERAGE(G67,I67)</f>
        <v>32.9906048656753</v>
      </c>
      <c r="I67" s="94" t="n">
        <v>37.4298540365558</v>
      </c>
      <c r="J67" s="51" t="s">
        <v>44</v>
      </c>
      <c r="K67" s="52"/>
      <c r="L67" s="53" t="s">
        <v>44</v>
      </c>
      <c r="M67" s="54" t="s">
        <v>44</v>
      </c>
      <c r="N67" s="55"/>
      <c r="O67" s="56" t="s">
        <v>44</v>
      </c>
      <c r="P67" s="54" t="s">
        <v>44</v>
      </c>
      <c r="Q67" s="55"/>
      <c r="R67" s="55" t="s">
        <v>44</v>
      </c>
      <c r="S67" s="51" t="n">
        <v>85</v>
      </c>
      <c r="T67" s="52" t="n">
        <f aca="false">AVERAGEA(U67, S67)</f>
        <v>90.15</v>
      </c>
      <c r="U67" s="53" t="n">
        <v>95.3</v>
      </c>
      <c r="V67" s="80" t="n">
        <v>60</v>
      </c>
      <c r="W67" s="101" t="n">
        <f aca="false">AVERAGEA(X67, V67)</f>
        <v>40</v>
      </c>
      <c r="X67" s="56" t="n">
        <v>20</v>
      </c>
      <c r="Y67" s="51" t="n">
        <v>0.58</v>
      </c>
      <c r="Z67" s="95" t="n">
        <f aca="false">AVERAGEA(AA67, Y67)</f>
        <v>3.29</v>
      </c>
      <c r="AA67" s="99" t="n">
        <v>6</v>
      </c>
      <c r="AB67" s="96" t="n">
        <v>0.58</v>
      </c>
      <c r="AC67" s="101" t="n">
        <f aca="false">AVERAGEA(AD67, AB67)</f>
        <v>3.29</v>
      </c>
      <c r="AD67" s="97" t="n">
        <v>6</v>
      </c>
      <c r="AE67" s="98" t="n">
        <v>3</v>
      </c>
      <c r="AF67" s="52" t="n">
        <f aca="false">AVERAGEA(AG67, AE67)</f>
        <v>6.5</v>
      </c>
      <c r="AG67" s="99" t="n">
        <v>10</v>
      </c>
      <c r="AH67" s="100" t="n">
        <v>1.5</v>
      </c>
      <c r="AI67" s="79" t="n">
        <f aca="false">AVERAGEA(AJ67, AH67)</f>
        <v>2.25</v>
      </c>
      <c r="AJ67" s="99" t="n">
        <v>3</v>
      </c>
      <c r="AK67" s="96" t="n">
        <v>998</v>
      </c>
      <c r="AL67" s="101" t="n">
        <f aca="false">AVERAGEA(AM67, AK67)</f>
        <v>1839</v>
      </c>
      <c r="AM67" s="97" t="n">
        <v>2680</v>
      </c>
      <c r="AN67" s="98" t="n">
        <v>26.6</v>
      </c>
      <c r="AO67" s="95" t="n">
        <f aca="false">AVERAGEA(AP67, AN67)</f>
        <v>31.8</v>
      </c>
      <c r="AP67" s="99" t="n">
        <v>37</v>
      </c>
      <c r="AQ67" s="80" t="n">
        <v>2.6</v>
      </c>
      <c r="AR67" s="55" t="n">
        <f aca="false">AVERAGEA(AS67, AQ67)</f>
        <v>6.55</v>
      </c>
      <c r="AS67" s="56" t="n">
        <v>10.5</v>
      </c>
      <c r="AT67" s="51" t="n">
        <v>3.56</v>
      </c>
      <c r="AU67" s="52" t="n">
        <f aca="false">AVERAGE(AT67,AV67)</f>
        <v>22.03</v>
      </c>
      <c r="AV67" s="53" t="n">
        <v>40.5</v>
      </c>
      <c r="AW67" s="81" t="n">
        <v>5.7</v>
      </c>
      <c r="AX67" s="55" t="n">
        <f aca="false">AVERAGE(AW67,AY67)</f>
        <v>26.85</v>
      </c>
      <c r="AY67" s="56" t="n">
        <v>48</v>
      </c>
      <c r="AZ67" s="51" t="n">
        <v>6.2</v>
      </c>
      <c r="BA67" s="52" t="n">
        <f aca="false">AVERAGE(AZ67,BB67)</f>
        <v>42.1</v>
      </c>
      <c r="BB67" s="53" t="n">
        <v>78</v>
      </c>
      <c r="BC67" s="81" t="n">
        <v>1.8</v>
      </c>
      <c r="BD67" s="55" t="n">
        <f aca="false">AVERAGEA(BE67, BC67)</f>
        <v>1.8</v>
      </c>
      <c r="BE67" s="56" t="n">
        <v>1.8</v>
      </c>
      <c r="BF67" s="51" t="n">
        <v>78</v>
      </c>
      <c r="BG67" s="52" t="n">
        <f aca="false">AVERAGEA(BF67,BH67)</f>
        <v>159</v>
      </c>
      <c r="BH67" s="53" t="n">
        <v>240</v>
      </c>
      <c r="BI67" s="81" t="n">
        <v>2</v>
      </c>
      <c r="BJ67" s="55" t="n">
        <f aca="false">AVERAGEA(BI67,BK67)</f>
        <v>3.5</v>
      </c>
      <c r="BK67" s="56" t="n">
        <v>5</v>
      </c>
      <c r="BL67" s="51" t="n">
        <v>5</v>
      </c>
      <c r="BM67" s="52" t="n">
        <f aca="false">AVERAGEA(BL67,BN67)</f>
        <v>8.9</v>
      </c>
      <c r="BN67" s="53" t="n">
        <v>12.8</v>
      </c>
    </row>
    <row r="68" customFormat="false" ht="15" hidden="false" customHeight="true" outlineLevel="0" collapsed="false">
      <c r="B68" s="43"/>
      <c r="C68" s="87"/>
      <c r="D68" s="82"/>
      <c r="E68" s="46" t="s">
        <v>47</v>
      </c>
      <c r="F68" s="83"/>
      <c r="G68" s="93" t="n">
        <v>22.56639280916</v>
      </c>
      <c r="H68" s="73" t="n">
        <f aca="false">AVERAGE(G68,I68)</f>
        <v>25.5389387320833</v>
      </c>
      <c r="I68" s="94" t="n">
        <v>28.5114846550067</v>
      </c>
      <c r="J68" s="51" t="s">
        <v>44</v>
      </c>
      <c r="K68" s="52"/>
      <c r="L68" s="53" t="s">
        <v>44</v>
      </c>
      <c r="M68" s="54" t="s">
        <v>44</v>
      </c>
      <c r="N68" s="55"/>
      <c r="O68" s="56" t="s">
        <v>44</v>
      </c>
      <c r="P68" s="54" t="s">
        <v>44</v>
      </c>
      <c r="Q68" s="55"/>
      <c r="R68" s="55" t="s">
        <v>44</v>
      </c>
      <c r="S68" s="51" t="n">
        <v>85</v>
      </c>
      <c r="T68" s="52" t="n">
        <f aca="false">AVERAGEA(U68, S68)</f>
        <v>90.15</v>
      </c>
      <c r="U68" s="53" t="n">
        <v>95.3</v>
      </c>
      <c r="V68" s="80" t="n">
        <v>60</v>
      </c>
      <c r="W68" s="101" t="n">
        <f aca="false">AVERAGEA(X68, V68)</f>
        <v>40</v>
      </c>
      <c r="X68" s="56" t="n">
        <v>20</v>
      </c>
      <c r="Y68" s="51" t="n">
        <v>0.58</v>
      </c>
      <c r="Z68" s="95" t="n">
        <f aca="false">AVERAGEA(AA68, Y68)</f>
        <v>3.29</v>
      </c>
      <c r="AA68" s="99" t="n">
        <v>6</v>
      </c>
      <c r="AB68" s="96" t="n">
        <v>0.58</v>
      </c>
      <c r="AC68" s="101" t="n">
        <f aca="false">AVERAGEA(AD68, AB68)</f>
        <v>3.29</v>
      </c>
      <c r="AD68" s="97" t="n">
        <v>6</v>
      </c>
      <c r="AE68" s="98" t="n">
        <v>3</v>
      </c>
      <c r="AF68" s="52" t="n">
        <f aca="false">AVERAGEA(AG68, AE68)</f>
        <v>6.5</v>
      </c>
      <c r="AG68" s="99" t="n">
        <v>10</v>
      </c>
      <c r="AH68" s="100" t="n">
        <v>1.5</v>
      </c>
      <c r="AI68" s="79" t="n">
        <f aca="false">AVERAGEA(AJ68, AH68)</f>
        <v>2.25</v>
      </c>
      <c r="AJ68" s="99" t="n">
        <v>3</v>
      </c>
      <c r="AK68" s="96" t="n">
        <v>998</v>
      </c>
      <c r="AL68" s="101" t="n">
        <f aca="false">AVERAGEA(AM68, AK68)</f>
        <v>1839</v>
      </c>
      <c r="AM68" s="97" t="n">
        <v>2680</v>
      </c>
      <c r="AN68" s="98" t="n">
        <v>26.6</v>
      </c>
      <c r="AO68" s="95" t="n">
        <f aca="false">AVERAGEA(AP68, AN68)</f>
        <v>31.8</v>
      </c>
      <c r="AP68" s="99" t="n">
        <v>37</v>
      </c>
      <c r="AQ68" s="80" t="n">
        <v>2.6</v>
      </c>
      <c r="AR68" s="55" t="n">
        <f aca="false">AVERAGEA(AS68, AQ68)</f>
        <v>6.55</v>
      </c>
      <c r="AS68" s="56" t="n">
        <v>10.5</v>
      </c>
      <c r="AT68" s="51" t="n">
        <v>3.56</v>
      </c>
      <c r="AU68" s="52" t="n">
        <f aca="false">AVERAGE(AT68,AV68)</f>
        <v>22.03</v>
      </c>
      <c r="AV68" s="53" t="n">
        <v>40.5</v>
      </c>
      <c r="AW68" s="81" t="n">
        <v>5.7</v>
      </c>
      <c r="AX68" s="55" t="n">
        <f aca="false">AVERAGE(AW68,AY68)</f>
        <v>26.85</v>
      </c>
      <c r="AY68" s="56" t="n">
        <v>48</v>
      </c>
      <c r="AZ68" s="51" t="n">
        <v>6.2</v>
      </c>
      <c r="BA68" s="52" t="n">
        <f aca="false">AVERAGE(AZ68,BB68)</f>
        <v>42.1</v>
      </c>
      <c r="BB68" s="53" t="n">
        <v>78</v>
      </c>
      <c r="BC68" s="81" t="n">
        <v>1.8</v>
      </c>
      <c r="BD68" s="55" t="n">
        <f aca="false">AVERAGEA(BE68, BC68)</f>
        <v>1.8</v>
      </c>
      <c r="BE68" s="56" t="n">
        <v>1.8</v>
      </c>
      <c r="BF68" s="51" t="n">
        <v>78</v>
      </c>
      <c r="BG68" s="52" t="n">
        <f aca="false">AVERAGEA(BF68,BH68)</f>
        <v>159</v>
      </c>
      <c r="BH68" s="53" t="n">
        <v>240</v>
      </c>
      <c r="BI68" s="81" t="n">
        <v>2</v>
      </c>
      <c r="BJ68" s="55" t="n">
        <f aca="false">AVERAGEA(BI68,BK68)</f>
        <v>3.5</v>
      </c>
      <c r="BK68" s="56" t="n">
        <v>5</v>
      </c>
      <c r="BL68" s="51" t="n">
        <v>5</v>
      </c>
      <c r="BM68" s="52" t="n">
        <f aca="false">AVERAGEA(BL68,BN68)</f>
        <v>8.9</v>
      </c>
      <c r="BN68" s="53" t="n">
        <v>12.8</v>
      </c>
    </row>
    <row r="69" customFormat="false" ht="15" hidden="false" customHeight="true" outlineLevel="0" collapsed="false">
      <c r="B69" s="43"/>
      <c r="C69" s="88" t="s">
        <v>56</v>
      </c>
      <c r="D69" s="82"/>
      <c r="E69" s="46" t="s">
        <v>43</v>
      </c>
      <c r="F69" s="83"/>
      <c r="G69" s="96" t="n">
        <v>38.4</v>
      </c>
      <c r="H69" s="73" t="n">
        <f aca="false">AVERAGE(G69,I69)</f>
        <v>44.2</v>
      </c>
      <c r="I69" s="102" t="n">
        <v>50</v>
      </c>
      <c r="J69" s="51" t="s">
        <v>44</v>
      </c>
      <c r="K69" s="52"/>
      <c r="L69" s="53" t="s">
        <v>44</v>
      </c>
      <c r="M69" s="54" t="s">
        <v>44</v>
      </c>
      <c r="N69" s="55"/>
      <c r="O69" s="56" t="s">
        <v>44</v>
      </c>
      <c r="P69" s="54" t="s">
        <v>44</v>
      </c>
      <c r="Q69" s="55"/>
      <c r="R69" s="55" t="s">
        <v>44</v>
      </c>
      <c r="S69" s="51" t="n">
        <v>80</v>
      </c>
      <c r="T69" s="52" t="n">
        <v>80</v>
      </c>
      <c r="U69" s="53" t="n">
        <v>80</v>
      </c>
      <c r="V69" s="96" t="n">
        <v>50</v>
      </c>
      <c r="W69" s="101" t="n">
        <f aca="false">AVERAGEA(X69, V69)</f>
        <v>45</v>
      </c>
      <c r="X69" s="97" t="n">
        <v>40</v>
      </c>
      <c r="Y69" s="98" t="n">
        <v>3</v>
      </c>
      <c r="Z69" s="95" t="n">
        <f aca="false">AVERAGEA(AA69, Y69)</f>
        <v>3.5</v>
      </c>
      <c r="AA69" s="99" t="n">
        <v>4</v>
      </c>
      <c r="AB69" s="96" t="n">
        <v>3</v>
      </c>
      <c r="AC69" s="101" t="n">
        <f aca="false">AVERAGEA(AD69, AB69)</f>
        <v>3.5</v>
      </c>
      <c r="AD69" s="97" t="n">
        <v>4</v>
      </c>
      <c r="AE69" s="98" t="s">
        <v>57</v>
      </c>
      <c r="AF69" s="95"/>
      <c r="AG69" s="99" t="s">
        <v>57</v>
      </c>
      <c r="AH69" s="100" t="s">
        <v>57</v>
      </c>
      <c r="AI69" s="103"/>
      <c r="AJ69" s="99" t="s">
        <v>57</v>
      </c>
      <c r="AK69" s="96" t="n">
        <v>1400</v>
      </c>
      <c r="AL69" s="101" t="n">
        <f aca="false">AVERAGEA(AM69, AK69)</f>
        <v>2496.5</v>
      </c>
      <c r="AM69" s="97" t="n">
        <v>3593</v>
      </c>
      <c r="AN69" s="98" t="n">
        <v>40</v>
      </c>
      <c r="AO69" s="95" t="n">
        <f aca="false">AVERAGEA(AP69, AN69)</f>
        <v>51.5</v>
      </c>
      <c r="AP69" s="99" t="n">
        <v>63</v>
      </c>
      <c r="AQ69" s="96" t="n">
        <v>3</v>
      </c>
      <c r="AR69" s="101" t="n">
        <f aca="false">AVERAGEA(AS69, AQ69)</f>
        <v>6</v>
      </c>
      <c r="AS69" s="97" t="n">
        <v>9</v>
      </c>
      <c r="AT69" s="104" t="s">
        <v>57</v>
      </c>
      <c r="AU69" s="105"/>
      <c r="AV69" s="106" t="s">
        <v>57</v>
      </c>
      <c r="AW69" s="107" t="s">
        <v>58</v>
      </c>
      <c r="AX69" s="108"/>
      <c r="AY69" s="89" t="s">
        <v>58</v>
      </c>
      <c r="AZ69" s="104" t="s">
        <v>57</v>
      </c>
      <c r="BA69" s="105"/>
      <c r="BB69" s="106" t="s">
        <v>57</v>
      </c>
      <c r="BC69" s="109" t="s">
        <v>58</v>
      </c>
      <c r="BD69" s="55"/>
      <c r="BE69" s="89" t="s">
        <v>58</v>
      </c>
      <c r="BF69" s="104" t="n">
        <v>180</v>
      </c>
      <c r="BG69" s="52" t="n">
        <f aca="false">AVERAGEA(BF69,BH69)</f>
        <v>300</v>
      </c>
      <c r="BH69" s="106" t="n">
        <v>420</v>
      </c>
      <c r="BI69" s="107" t="s">
        <v>57</v>
      </c>
      <c r="BJ69" s="108"/>
      <c r="BK69" s="89" t="s">
        <v>57</v>
      </c>
      <c r="BL69" s="104" t="n">
        <v>80</v>
      </c>
      <c r="BM69" s="52" t="n">
        <f aca="false">AVERAGEA(BL69,BN69)</f>
        <v>90</v>
      </c>
      <c r="BN69" s="106" t="n">
        <v>100</v>
      </c>
    </row>
    <row r="70" customFormat="false" ht="15" hidden="false" customHeight="true" outlineLevel="0" collapsed="false">
      <c r="B70" s="43"/>
      <c r="C70" s="88"/>
      <c r="D70" s="82"/>
      <c r="E70" s="46" t="s">
        <v>45</v>
      </c>
      <c r="F70" s="83"/>
      <c r="G70" s="96" t="n">
        <v>38.4</v>
      </c>
      <c r="H70" s="73" t="n">
        <f aca="false">AVERAGE(G70,I70)</f>
        <v>44.2</v>
      </c>
      <c r="I70" s="102" t="n">
        <v>50</v>
      </c>
      <c r="J70" s="51" t="s">
        <v>44</v>
      </c>
      <c r="K70" s="52"/>
      <c r="L70" s="53" t="s">
        <v>44</v>
      </c>
      <c r="M70" s="54" t="s">
        <v>44</v>
      </c>
      <c r="N70" s="55"/>
      <c r="O70" s="56" t="s">
        <v>44</v>
      </c>
      <c r="P70" s="54" t="s">
        <v>44</v>
      </c>
      <c r="Q70" s="55"/>
      <c r="R70" s="55" t="s">
        <v>44</v>
      </c>
      <c r="S70" s="51" t="n">
        <v>80</v>
      </c>
      <c r="T70" s="52" t="n">
        <v>80</v>
      </c>
      <c r="U70" s="53" t="n">
        <v>80</v>
      </c>
      <c r="V70" s="96" t="n">
        <v>50</v>
      </c>
      <c r="W70" s="101" t="n">
        <f aca="false">AVERAGEA(X70, V70)</f>
        <v>45</v>
      </c>
      <c r="X70" s="97" t="n">
        <v>40</v>
      </c>
      <c r="Y70" s="98" t="n">
        <v>3</v>
      </c>
      <c r="Z70" s="95" t="n">
        <f aca="false">AVERAGEA(AA70, Y70)</f>
        <v>3.5</v>
      </c>
      <c r="AA70" s="99" t="n">
        <v>4</v>
      </c>
      <c r="AB70" s="96" t="n">
        <v>3</v>
      </c>
      <c r="AC70" s="101" t="n">
        <f aca="false">AVERAGEA(AD70, AB70)</f>
        <v>3.5</v>
      </c>
      <c r="AD70" s="97" t="n">
        <v>4</v>
      </c>
      <c r="AE70" s="98" t="s">
        <v>57</v>
      </c>
      <c r="AF70" s="95"/>
      <c r="AG70" s="99" t="s">
        <v>57</v>
      </c>
      <c r="AH70" s="100" t="s">
        <v>57</v>
      </c>
      <c r="AI70" s="103"/>
      <c r="AJ70" s="99" t="s">
        <v>57</v>
      </c>
      <c r="AK70" s="96" t="n">
        <v>1400</v>
      </c>
      <c r="AL70" s="101" t="n">
        <f aca="false">AVERAGEA(AM70, AK70)</f>
        <v>2496.5</v>
      </c>
      <c r="AM70" s="97" t="n">
        <v>3593</v>
      </c>
      <c r="AN70" s="98" t="n">
        <v>40</v>
      </c>
      <c r="AO70" s="95" t="n">
        <f aca="false">AVERAGEA(AP70, AN70)</f>
        <v>51.5</v>
      </c>
      <c r="AP70" s="99" t="n">
        <v>63</v>
      </c>
      <c r="AQ70" s="96" t="n">
        <v>3</v>
      </c>
      <c r="AR70" s="101" t="n">
        <f aca="false">AVERAGEA(AS70, AQ70)</f>
        <v>6</v>
      </c>
      <c r="AS70" s="97" t="n">
        <v>9</v>
      </c>
      <c r="AT70" s="104" t="s">
        <v>57</v>
      </c>
      <c r="AU70" s="105"/>
      <c r="AV70" s="106" t="s">
        <v>57</v>
      </c>
      <c r="AW70" s="107" t="s">
        <v>58</v>
      </c>
      <c r="AX70" s="108"/>
      <c r="AY70" s="89" t="s">
        <v>58</v>
      </c>
      <c r="AZ70" s="104" t="s">
        <v>57</v>
      </c>
      <c r="BA70" s="105"/>
      <c r="BB70" s="106" t="s">
        <v>57</v>
      </c>
      <c r="BC70" s="109" t="s">
        <v>58</v>
      </c>
      <c r="BD70" s="55"/>
      <c r="BE70" s="89" t="s">
        <v>58</v>
      </c>
      <c r="BF70" s="104" t="n">
        <v>180</v>
      </c>
      <c r="BG70" s="52" t="n">
        <f aca="false">AVERAGEA(BF70,BH70)</f>
        <v>300</v>
      </c>
      <c r="BH70" s="106" t="n">
        <v>420</v>
      </c>
      <c r="BI70" s="107" t="s">
        <v>57</v>
      </c>
      <c r="BJ70" s="108"/>
      <c r="BK70" s="89" t="s">
        <v>57</v>
      </c>
      <c r="BL70" s="104" t="n">
        <v>80</v>
      </c>
      <c r="BM70" s="52" t="n">
        <f aca="false">AVERAGEA(BL70,BN70)</f>
        <v>90</v>
      </c>
      <c r="BN70" s="106" t="n">
        <v>100</v>
      </c>
    </row>
    <row r="71" customFormat="false" ht="15" hidden="false" customHeight="true" outlineLevel="0" collapsed="false">
      <c r="B71" s="43"/>
      <c r="C71" s="88"/>
      <c r="D71" s="82"/>
      <c r="E71" s="46" t="s">
        <v>46</v>
      </c>
      <c r="F71" s="83"/>
      <c r="G71" s="96" t="n">
        <v>38.4</v>
      </c>
      <c r="H71" s="73" t="n">
        <f aca="false">AVERAGE(G71,I71)</f>
        <v>44.2</v>
      </c>
      <c r="I71" s="102" t="n">
        <v>50</v>
      </c>
      <c r="J71" s="51" t="s">
        <v>44</v>
      </c>
      <c r="K71" s="52"/>
      <c r="L71" s="53" t="s">
        <v>44</v>
      </c>
      <c r="M71" s="54" t="s">
        <v>44</v>
      </c>
      <c r="N71" s="55"/>
      <c r="O71" s="56" t="s">
        <v>44</v>
      </c>
      <c r="P71" s="54" t="s">
        <v>44</v>
      </c>
      <c r="Q71" s="55"/>
      <c r="R71" s="55" t="s">
        <v>44</v>
      </c>
      <c r="S71" s="51" t="n">
        <v>80</v>
      </c>
      <c r="T71" s="52" t="n">
        <v>80</v>
      </c>
      <c r="U71" s="53" t="n">
        <v>80</v>
      </c>
      <c r="V71" s="96" t="n">
        <v>50</v>
      </c>
      <c r="W71" s="101" t="n">
        <f aca="false">AVERAGEA(X71, V71)</f>
        <v>45</v>
      </c>
      <c r="X71" s="97" t="n">
        <v>40</v>
      </c>
      <c r="Y71" s="98" t="n">
        <v>3</v>
      </c>
      <c r="Z71" s="95" t="n">
        <f aca="false">AVERAGEA(AA71, Y71)</f>
        <v>3.5</v>
      </c>
      <c r="AA71" s="99" t="n">
        <v>4</v>
      </c>
      <c r="AB71" s="96" t="n">
        <v>3</v>
      </c>
      <c r="AC71" s="101" t="n">
        <f aca="false">AVERAGEA(AD71, AB71)</f>
        <v>3.5</v>
      </c>
      <c r="AD71" s="97" t="n">
        <v>4</v>
      </c>
      <c r="AE71" s="98" t="s">
        <v>57</v>
      </c>
      <c r="AF71" s="95"/>
      <c r="AG71" s="99" t="s">
        <v>57</v>
      </c>
      <c r="AH71" s="100" t="s">
        <v>57</v>
      </c>
      <c r="AI71" s="103"/>
      <c r="AJ71" s="99" t="s">
        <v>57</v>
      </c>
      <c r="AK71" s="96" t="n">
        <v>1400</v>
      </c>
      <c r="AL71" s="101" t="n">
        <f aca="false">AVERAGEA(AM71, AK71)</f>
        <v>2496.5</v>
      </c>
      <c r="AM71" s="97" t="n">
        <v>3593</v>
      </c>
      <c r="AN71" s="98" t="n">
        <v>40</v>
      </c>
      <c r="AO71" s="95" t="n">
        <f aca="false">AVERAGEA(AP71, AN71)</f>
        <v>51.5</v>
      </c>
      <c r="AP71" s="99" t="n">
        <v>63</v>
      </c>
      <c r="AQ71" s="96" t="n">
        <v>3</v>
      </c>
      <c r="AR71" s="101" t="n">
        <f aca="false">AVERAGEA(AS71, AQ71)</f>
        <v>6</v>
      </c>
      <c r="AS71" s="97" t="n">
        <v>9</v>
      </c>
      <c r="AT71" s="104" t="s">
        <v>57</v>
      </c>
      <c r="AU71" s="105"/>
      <c r="AV71" s="106" t="s">
        <v>57</v>
      </c>
      <c r="AW71" s="107" t="s">
        <v>58</v>
      </c>
      <c r="AX71" s="108"/>
      <c r="AY71" s="89" t="s">
        <v>58</v>
      </c>
      <c r="AZ71" s="104" t="s">
        <v>57</v>
      </c>
      <c r="BA71" s="105"/>
      <c r="BB71" s="106" t="s">
        <v>57</v>
      </c>
      <c r="BC71" s="109" t="s">
        <v>58</v>
      </c>
      <c r="BD71" s="55"/>
      <c r="BE71" s="89" t="s">
        <v>58</v>
      </c>
      <c r="BF71" s="104" t="n">
        <v>180</v>
      </c>
      <c r="BG71" s="52" t="n">
        <f aca="false">AVERAGEA(BF71,BH71)</f>
        <v>300</v>
      </c>
      <c r="BH71" s="106" t="n">
        <v>420</v>
      </c>
      <c r="BI71" s="107" t="s">
        <v>57</v>
      </c>
      <c r="BJ71" s="108"/>
      <c r="BK71" s="89" t="s">
        <v>57</v>
      </c>
      <c r="BL71" s="104" t="n">
        <v>80</v>
      </c>
      <c r="BM71" s="52" t="n">
        <f aca="false">AVERAGEA(BL71,BN71)</f>
        <v>90</v>
      </c>
      <c r="BN71" s="106" t="n">
        <v>100</v>
      </c>
    </row>
    <row r="72" customFormat="false" ht="15" hidden="false" customHeight="true" outlineLevel="0" collapsed="false">
      <c r="B72" s="43"/>
      <c r="C72" s="88"/>
      <c r="D72" s="82"/>
      <c r="E72" s="46" t="s">
        <v>47</v>
      </c>
      <c r="F72" s="83"/>
      <c r="G72" s="96" t="n">
        <v>38.4</v>
      </c>
      <c r="H72" s="73" t="n">
        <f aca="false">AVERAGE(G72,I72)</f>
        <v>44.2</v>
      </c>
      <c r="I72" s="102" t="n">
        <v>50</v>
      </c>
      <c r="J72" s="51" t="s">
        <v>44</v>
      </c>
      <c r="K72" s="52"/>
      <c r="L72" s="53" t="s">
        <v>44</v>
      </c>
      <c r="M72" s="54" t="s">
        <v>44</v>
      </c>
      <c r="N72" s="55"/>
      <c r="O72" s="56" t="s">
        <v>44</v>
      </c>
      <c r="P72" s="54" t="s">
        <v>44</v>
      </c>
      <c r="Q72" s="55"/>
      <c r="R72" s="55" t="s">
        <v>44</v>
      </c>
      <c r="S72" s="51" t="n">
        <v>80</v>
      </c>
      <c r="T72" s="52" t="n">
        <v>80</v>
      </c>
      <c r="U72" s="53" t="n">
        <v>80</v>
      </c>
      <c r="V72" s="96" t="n">
        <v>50</v>
      </c>
      <c r="W72" s="101" t="n">
        <f aca="false">AVERAGEA(X72, V72)</f>
        <v>45</v>
      </c>
      <c r="X72" s="97" t="n">
        <v>40</v>
      </c>
      <c r="Y72" s="98" t="n">
        <v>3</v>
      </c>
      <c r="Z72" s="95" t="n">
        <f aca="false">AVERAGEA(AA72, Y72)</f>
        <v>3.5</v>
      </c>
      <c r="AA72" s="99" t="n">
        <v>4</v>
      </c>
      <c r="AB72" s="96" t="n">
        <v>3</v>
      </c>
      <c r="AC72" s="101" t="n">
        <f aca="false">AVERAGEA(AD72, AB72)</f>
        <v>3.5</v>
      </c>
      <c r="AD72" s="97" t="n">
        <v>4</v>
      </c>
      <c r="AE72" s="98" t="s">
        <v>57</v>
      </c>
      <c r="AF72" s="95"/>
      <c r="AG72" s="99" t="s">
        <v>57</v>
      </c>
      <c r="AH72" s="100" t="s">
        <v>57</v>
      </c>
      <c r="AI72" s="103"/>
      <c r="AJ72" s="99" t="s">
        <v>57</v>
      </c>
      <c r="AK72" s="96" t="n">
        <v>1400</v>
      </c>
      <c r="AL72" s="101" t="n">
        <f aca="false">AVERAGEA(AM72, AK72)</f>
        <v>2496.5</v>
      </c>
      <c r="AM72" s="97" t="n">
        <v>3593</v>
      </c>
      <c r="AN72" s="110" t="n">
        <v>40</v>
      </c>
      <c r="AO72" s="95" t="n">
        <f aca="false">AVERAGEA(AP72, AN72)</f>
        <v>51.5</v>
      </c>
      <c r="AP72" s="99" t="n">
        <v>63</v>
      </c>
      <c r="AQ72" s="96" t="n">
        <v>3</v>
      </c>
      <c r="AR72" s="101" t="n">
        <f aca="false">AVERAGEA(AS72, AQ72)</f>
        <v>6</v>
      </c>
      <c r="AS72" s="97" t="n">
        <v>9</v>
      </c>
      <c r="AT72" s="104" t="s">
        <v>57</v>
      </c>
      <c r="AU72" s="105"/>
      <c r="AV72" s="106" t="s">
        <v>57</v>
      </c>
      <c r="AW72" s="107" t="s">
        <v>58</v>
      </c>
      <c r="AX72" s="108"/>
      <c r="AY72" s="89" t="s">
        <v>58</v>
      </c>
      <c r="AZ72" s="104" t="s">
        <v>57</v>
      </c>
      <c r="BA72" s="105"/>
      <c r="BB72" s="106" t="s">
        <v>57</v>
      </c>
      <c r="BC72" s="109" t="s">
        <v>58</v>
      </c>
      <c r="BD72" s="55"/>
      <c r="BE72" s="89" t="s">
        <v>58</v>
      </c>
      <c r="BF72" s="104" t="n">
        <v>180</v>
      </c>
      <c r="BG72" s="52" t="n">
        <f aca="false">AVERAGEA(BF72,BH72)</f>
        <v>300</v>
      </c>
      <c r="BH72" s="106" t="n">
        <v>420</v>
      </c>
      <c r="BI72" s="107" t="s">
        <v>57</v>
      </c>
      <c r="BJ72" s="108"/>
      <c r="BK72" s="89" t="s">
        <v>57</v>
      </c>
      <c r="BL72" s="104" t="n">
        <v>80</v>
      </c>
      <c r="BM72" s="52" t="n">
        <f aca="false">AVERAGEA(BL72,BN72)</f>
        <v>90</v>
      </c>
      <c r="BN72" s="106" t="n">
        <v>100</v>
      </c>
    </row>
    <row r="73" customFormat="false" ht="15" hidden="false" customHeight="true" outlineLevel="0" collapsed="false">
      <c r="B73" s="43"/>
      <c r="C73" s="87" t="s">
        <v>59</v>
      </c>
      <c r="D73" s="111"/>
      <c r="E73" s="46" t="s">
        <v>43</v>
      </c>
      <c r="F73" s="112"/>
      <c r="G73" s="96" t="s">
        <v>44</v>
      </c>
      <c r="H73" s="101"/>
      <c r="I73" s="102" t="s">
        <v>44</v>
      </c>
      <c r="J73" s="51" t="n">
        <v>15</v>
      </c>
      <c r="K73" s="52" t="n">
        <f aca="false">AVERAGEA(J73,L73)</f>
        <v>28.5</v>
      </c>
      <c r="L73" s="53" t="n">
        <v>42</v>
      </c>
      <c r="M73" s="54" t="n">
        <v>38</v>
      </c>
      <c r="N73" s="55" t="n">
        <f aca="false">AVERAGEA(M73,O73)</f>
        <v>42</v>
      </c>
      <c r="O73" s="56" t="n">
        <v>46</v>
      </c>
      <c r="P73" s="54" t="n">
        <v>53</v>
      </c>
      <c r="Q73" s="55" t="n">
        <f aca="false">AVERAGEA(P73,R73)</f>
        <v>70.5</v>
      </c>
      <c r="R73" s="56" t="n">
        <v>88</v>
      </c>
      <c r="S73" s="51" t="n">
        <v>80</v>
      </c>
      <c r="T73" s="52" t="n">
        <v>80</v>
      </c>
      <c r="U73" s="53" t="n">
        <v>80</v>
      </c>
      <c r="V73" s="96" t="n">
        <v>30</v>
      </c>
      <c r="W73" s="101" t="n">
        <f aca="false">AVERAGEA(X73, V73)</f>
        <v>30</v>
      </c>
      <c r="X73" s="97" t="n">
        <v>30</v>
      </c>
      <c r="Y73" s="98" t="n">
        <v>0.66</v>
      </c>
      <c r="Z73" s="95" t="n">
        <f aca="false">AVERAGEA(AA73, Y73)</f>
        <v>0.66</v>
      </c>
      <c r="AA73" s="99" t="n">
        <v>0.66</v>
      </c>
      <c r="AB73" s="96" t="n">
        <v>0.66</v>
      </c>
      <c r="AC73" s="101" t="n">
        <f aca="false">AVERAGEA(AD73, AB73)</f>
        <v>0.66</v>
      </c>
      <c r="AD73" s="97" t="n">
        <v>0.66</v>
      </c>
      <c r="AE73" s="98" t="s">
        <v>57</v>
      </c>
      <c r="AF73" s="95"/>
      <c r="AG73" s="99" t="s">
        <v>57</v>
      </c>
      <c r="AH73" s="100" t="s">
        <v>57</v>
      </c>
      <c r="AI73" s="103"/>
      <c r="AJ73" s="99" t="s">
        <v>57</v>
      </c>
      <c r="AK73" s="96" t="n">
        <v>2350</v>
      </c>
      <c r="AL73" s="101" t="n">
        <f aca="false">AVERAGEA(AM73, AK73)</f>
        <v>2500</v>
      </c>
      <c r="AM73" s="97" t="n">
        <v>2650</v>
      </c>
      <c r="AN73" s="98" t="n">
        <v>55.1</v>
      </c>
      <c r="AO73" s="95" t="n">
        <f aca="false">AVERAGEA(AP73, AN73)</f>
        <v>58.6</v>
      </c>
      <c r="AP73" s="99" t="n">
        <v>62.1</v>
      </c>
      <c r="AQ73" s="96" t="s">
        <v>58</v>
      </c>
      <c r="AR73" s="101"/>
      <c r="AS73" s="97" t="s">
        <v>58</v>
      </c>
      <c r="AT73" s="104" t="s">
        <v>57</v>
      </c>
      <c r="AU73" s="105"/>
      <c r="AV73" s="106" t="s">
        <v>57</v>
      </c>
      <c r="AW73" s="107" t="s">
        <v>58</v>
      </c>
      <c r="AX73" s="108"/>
      <c r="AY73" s="89" t="s">
        <v>58</v>
      </c>
      <c r="AZ73" s="104" t="s">
        <v>57</v>
      </c>
      <c r="BA73" s="105"/>
      <c r="BB73" s="106" t="s">
        <v>57</v>
      </c>
      <c r="BC73" s="109" t="s">
        <v>58</v>
      </c>
      <c r="BD73" s="55"/>
      <c r="BE73" s="89" t="s">
        <v>58</v>
      </c>
      <c r="BF73" s="104" t="s">
        <v>57</v>
      </c>
      <c r="BG73" s="105"/>
      <c r="BH73" s="106" t="s">
        <v>57</v>
      </c>
      <c r="BI73" s="107" t="s">
        <v>57</v>
      </c>
      <c r="BJ73" s="108"/>
      <c r="BK73" s="89" t="s">
        <v>57</v>
      </c>
      <c r="BL73" s="104" t="s">
        <v>57</v>
      </c>
      <c r="BM73" s="105"/>
      <c r="BN73" s="106" t="s">
        <v>57</v>
      </c>
    </row>
    <row r="74" customFormat="false" ht="15" hidden="false" customHeight="true" outlineLevel="0" collapsed="false">
      <c r="B74" s="43"/>
      <c r="C74" s="87"/>
      <c r="D74" s="111"/>
      <c r="E74" s="46" t="s">
        <v>45</v>
      </c>
      <c r="F74" s="113"/>
      <c r="G74" s="96" t="s">
        <v>44</v>
      </c>
      <c r="H74" s="101"/>
      <c r="I74" s="102" t="s">
        <v>44</v>
      </c>
      <c r="J74" s="51" t="n">
        <v>15</v>
      </c>
      <c r="K74" s="52" t="n">
        <f aca="false">AVERAGEA(J74,L74)</f>
        <v>28.5</v>
      </c>
      <c r="L74" s="53" t="n">
        <v>42</v>
      </c>
      <c r="M74" s="54" t="n">
        <v>38</v>
      </c>
      <c r="N74" s="55" t="n">
        <f aca="false">AVERAGEA(M74,O74)</f>
        <v>42</v>
      </c>
      <c r="O74" s="56" t="n">
        <v>46</v>
      </c>
      <c r="P74" s="54" t="n">
        <v>53</v>
      </c>
      <c r="Q74" s="55" t="n">
        <f aca="false">AVERAGEA(P74,R74)</f>
        <v>70.5</v>
      </c>
      <c r="R74" s="56" t="n">
        <v>88</v>
      </c>
      <c r="S74" s="51" t="n">
        <v>83.8</v>
      </c>
      <c r="T74" s="52" t="n">
        <f aca="false">AVERAGEA(U74,S74)</f>
        <v>85.05</v>
      </c>
      <c r="U74" s="53" t="n">
        <v>86.3</v>
      </c>
      <c r="V74" s="96" t="n">
        <v>30</v>
      </c>
      <c r="W74" s="101" t="n">
        <f aca="false">AVERAGEA(X74, V74)</f>
        <v>30</v>
      </c>
      <c r="X74" s="97" t="n">
        <v>30</v>
      </c>
      <c r="Y74" s="98" t="n">
        <v>0.66</v>
      </c>
      <c r="Z74" s="95" t="n">
        <f aca="false">AVERAGEA(AA74, Y74)</f>
        <v>0.66</v>
      </c>
      <c r="AA74" s="99" t="n">
        <v>0.66</v>
      </c>
      <c r="AB74" s="96" t="n">
        <v>0.66</v>
      </c>
      <c r="AC74" s="101" t="n">
        <f aca="false">AVERAGEA(AD74, AB74)</f>
        <v>0.66</v>
      </c>
      <c r="AD74" s="97" t="n">
        <v>0.66</v>
      </c>
      <c r="AE74" s="98" t="s">
        <v>57</v>
      </c>
      <c r="AF74" s="95"/>
      <c r="AG74" s="99" t="s">
        <v>57</v>
      </c>
      <c r="AH74" s="100" t="s">
        <v>57</v>
      </c>
      <c r="AI74" s="103"/>
      <c r="AJ74" s="99" t="s">
        <v>57</v>
      </c>
      <c r="AK74" s="96" t="n">
        <v>2350</v>
      </c>
      <c r="AL74" s="101" t="n">
        <f aca="false">AVERAGEA(AM74, AK74)</f>
        <v>2500</v>
      </c>
      <c r="AM74" s="97" t="n">
        <v>2650</v>
      </c>
      <c r="AN74" s="98" t="n">
        <v>55.1</v>
      </c>
      <c r="AO74" s="95" t="n">
        <f aca="false">AVERAGEA(AP74, AN74)</f>
        <v>58.6</v>
      </c>
      <c r="AP74" s="99" t="n">
        <v>62.1</v>
      </c>
      <c r="AQ74" s="96" t="s">
        <v>58</v>
      </c>
      <c r="AR74" s="101"/>
      <c r="AS74" s="97" t="s">
        <v>58</v>
      </c>
      <c r="AT74" s="104" t="s">
        <v>57</v>
      </c>
      <c r="AU74" s="105"/>
      <c r="AV74" s="106" t="s">
        <v>57</v>
      </c>
      <c r="AW74" s="107" t="s">
        <v>58</v>
      </c>
      <c r="AX74" s="108"/>
      <c r="AY74" s="89" t="s">
        <v>58</v>
      </c>
      <c r="AZ74" s="104" t="s">
        <v>57</v>
      </c>
      <c r="BA74" s="105"/>
      <c r="BB74" s="106" t="s">
        <v>57</v>
      </c>
      <c r="BC74" s="109" t="s">
        <v>58</v>
      </c>
      <c r="BD74" s="55"/>
      <c r="BE74" s="89" t="s">
        <v>58</v>
      </c>
      <c r="BF74" s="104" t="s">
        <v>57</v>
      </c>
      <c r="BG74" s="105"/>
      <c r="BH74" s="106" t="s">
        <v>57</v>
      </c>
      <c r="BI74" s="107" t="s">
        <v>57</v>
      </c>
      <c r="BJ74" s="108"/>
      <c r="BK74" s="89" t="s">
        <v>57</v>
      </c>
      <c r="BL74" s="104" t="s">
        <v>57</v>
      </c>
      <c r="BM74" s="105"/>
      <c r="BN74" s="106" t="s">
        <v>57</v>
      </c>
    </row>
    <row r="75" customFormat="false" ht="15" hidden="false" customHeight="true" outlineLevel="0" collapsed="false">
      <c r="B75" s="43"/>
      <c r="C75" s="87"/>
      <c r="D75" s="111"/>
      <c r="E75" s="46" t="s">
        <v>46</v>
      </c>
      <c r="F75" s="113"/>
      <c r="G75" s="96" t="s">
        <v>44</v>
      </c>
      <c r="H75" s="101"/>
      <c r="I75" s="102" t="s">
        <v>44</v>
      </c>
      <c r="J75" s="51" t="n">
        <v>15</v>
      </c>
      <c r="K75" s="52" t="n">
        <f aca="false">AVERAGEA(J75,L75)</f>
        <v>28.5</v>
      </c>
      <c r="L75" s="53" t="n">
        <v>42</v>
      </c>
      <c r="M75" s="54" t="n">
        <v>38</v>
      </c>
      <c r="N75" s="55" t="n">
        <f aca="false">AVERAGEA(M75,O75)</f>
        <v>42</v>
      </c>
      <c r="O75" s="56" t="n">
        <v>46</v>
      </c>
      <c r="P75" s="54" t="n">
        <v>53</v>
      </c>
      <c r="Q75" s="55" t="n">
        <f aca="false">AVERAGEA(P75,R75)</f>
        <v>70.5</v>
      </c>
      <c r="R75" s="56" t="n">
        <v>88</v>
      </c>
      <c r="S75" s="51" t="n">
        <v>83.8</v>
      </c>
      <c r="T75" s="52" t="n">
        <f aca="false">AVERAGEA(U75,S75)</f>
        <v>85.05</v>
      </c>
      <c r="U75" s="53" t="n">
        <v>86.3</v>
      </c>
      <c r="V75" s="96" t="n">
        <v>30</v>
      </c>
      <c r="W75" s="101" t="n">
        <f aca="false">AVERAGEA(X75, V75)</f>
        <v>30</v>
      </c>
      <c r="X75" s="97" t="n">
        <v>30</v>
      </c>
      <c r="Y75" s="98" t="n">
        <v>0.66</v>
      </c>
      <c r="Z75" s="95" t="n">
        <f aca="false">AVERAGEA(AA75, Y75)</f>
        <v>0.66</v>
      </c>
      <c r="AA75" s="99" t="n">
        <v>0.66</v>
      </c>
      <c r="AB75" s="96" t="n">
        <v>0.66</v>
      </c>
      <c r="AC75" s="101" t="n">
        <f aca="false">AVERAGEA(AD75, AB75)</f>
        <v>0.66</v>
      </c>
      <c r="AD75" s="97" t="n">
        <v>0.66</v>
      </c>
      <c r="AE75" s="98" t="s">
        <v>57</v>
      </c>
      <c r="AF75" s="95"/>
      <c r="AG75" s="99" t="s">
        <v>57</v>
      </c>
      <c r="AH75" s="100" t="s">
        <v>57</v>
      </c>
      <c r="AI75" s="103"/>
      <c r="AJ75" s="99" t="s">
        <v>57</v>
      </c>
      <c r="AK75" s="96" t="n">
        <v>2350</v>
      </c>
      <c r="AL75" s="101" t="n">
        <f aca="false">AVERAGEA(AM75, AK75)</f>
        <v>2500</v>
      </c>
      <c r="AM75" s="97" t="n">
        <v>2650</v>
      </c>
      <c r="AN75" s="98" t="n">
        <v>55.1</v>
      </c>
      <c r="AO75" s="95" t="n">
        <f aca="false">AVERAGEA(AP75, AN75)</f>
        <v>58.6</v>
      </c>
      <c r="AP75" s="99" t="n">
        <v>62.1</v>
      </c>
      <c r="AQ75" s="96" t="s">
        <v>58</v>
      </c>
      <c r="AR75" s="101"/>
      <c r="AS75" s="97" t="s">
        <v>58</v>
      </c>
      <c r="AT75" s="104" t="s">
        <v>57</v>
      </c>
      <c r="AU75" s="105"/>
      <c r="AV75" s="106" t="s">
        <v>57</v>
      </c>
      <c r="AW75" s="107" t="s">
        <v>58</v>
      </c>
      <c r="AX75" s="108"/>
      <c r="AY75" s="89" t="s">
        <v>58</v>
      </c>
      <c r="AZ75" s="104" t="s">
        <v>57</v>
      </c>
      <c r="BA75" s="105"/>
      <c r="BB75" s="106" t="s">
        <v>57</v>
      </c>
      <c r="BC75" s="109" t="s">
        <v>58</v>
      </c>
      <c r="BD75" s="55"/>
      <c r="BE75" s="89" t="s">
        <v>58</v>
      </c>
      <c r="BF75" s="104" t="s">
        <v>57</v>
      </c>
      <c r="BG75" s="105"/>
      <c r="BH75" s="106" t="s">
        <v>57</v>
      </c>
      <c r="BI75" s="107" t="s">
        <v>57</v>
      </c>
      <c r="BJ75" s="108"/>
      <c r="BK75" s="89" t="s">
        <v>57</v>
      </c>
      <c r="BL75" s="104" t="s">
        <v>57</v>
      </c>
      <c r="BM75" s="105"/>
      <c r="BN75" s="106" t="s">
        <v>57</v>
      </c>
    </row>
    <row r="76" customFormat="false" ht="15" hidden="false" customHeight="true" outlineLevel="0" collapsed="false">
      <c r="B76" s="43"/>
      <c r="C76" s="87"/>
      <c r="D76" s="111"/>
      <c r="E76" s="46" t="s">
        <v>47</v>
      </c>
      <c r="F76" s="113"/>
      <c r="G76" s="96" t="s">
        <v>44</v>
      </c>
      <c r="H76" s="101"/>
      <c r="I76" s="102" t="s">
        <v>44</v>
      </c>
      <c r="J76" s="51" t="n">
        <v>48</v>
      </c>
      <c r="K76" s="52" t="n">
        <f aca="false">AVERAGEA(J76,L76)</f>
        <v>52.5</v>
      </c>
      <c r="L76" s="53" t="n">
        <v>57</v>
      </c>
      <c r="M76" s="54" t="n">
        <v>34</v>
      </c>
      <c r="N76" s="55" t="n">
        <f aca="false">AVERAGEA(M76,O76)</f>
        <v>38</v>
      </c>
      <c r="O76" s="56" t="n">
        <v>42</v>
      </c>
      <c r="P76" s="54" t="n">
        <v>90</v>
      </c>
      <c r="Q76" s="55" t="n">
        <f aca="false">AVERAGEA(P76,R76)</f>
        <v>90.5</v>
      </c>
      <c r="R76" s="56" t="n">
        <v>91</v>
      </c>
      <c r="S76" s="51" t="n">
        <v>83.8</v>
      </c>
      <c r="T76" s="52" t="n">
        <f aca="false">AVERAGEA(U76,S76)</f>
        <v>85.05</v>
      </c>
      <c r="U76" s="53" t="n">
        <v>86.3</v>
      </c>
      <c r="V76" s="96" t="n">
        <v>30</v>
      </c>
      <c r="W76" s="101" t="n">
        <f aca="false">AVERAGEA(X76, V76)</f>
        <v>30</v>
      </c>
      <c r="X76" s="97" t="n">
        <v>30</v>
      </c>
      <c r="Y76" s="98" t="n">
        <v>0.66</v>
      </c>
      <c r="Z76" s="95" t="n">
        <f aca="false">AVERAGEA(AA76, Y76)</f>
        <v>0.66</v>
      </c>
      <c r="AA76" s="99" t="n">
        <v>0.66</v>
      </c>
      <c r="AB76" s="96" t="n">
        <v>0.66</v>
      </c>
      <c r="AC76" s="101" t="n">
        <f aca="false">AVERAGEA(AD76, AB76)</f>
        <v>0.66</v>
      </c>
      <c r="AD76" s="97" t="n">
        <v>0.66</v>
      </c>
      <c r="AE76" s="98" t="s">
        <v>57</v>
      </c>
      <c r="AF76" s="95"/>
      <c r="AG76" s="99" t="s">
        <v>57</v>
      </c>
      <c r="AH76" s="100" t="s">
        <v>57</v>
      </c>
      <c r="AI76" s="103"/>
      <c r="AJ76" s="99" t="s">
        <v>57</v>
      </c>
      <c r="AK76" s="96" t="n">
        <v>2350</v>
      </c>
      <c r="AL76" s="101" t="n">
        <f aca="false">AVERAGEA(AM76, AK76)</f>
        <v>2500</v>
      </c>
      <c r="AM76" s="97" t="n">
        <v>2650</v>
      </c>
      <c r="AN76" s="98" t="n">
        <v>55.1</v>
      </c>
      <c r="AO76" s="95" t="n">
        <f aca="false">AVERAGEA(AP76, AN76)</f>
        <v>58.6</v>
      </c>
      <c r="AP76" s="99" t="n">
        <v>62.1</v>
      </c>
      <c r="AQ76" s="96" t="s">
        <v>58</v>
      </c>
      <c r="AR76" s="101"/>
      <c r="AS76" s="97" t="s">
        <v>58</v>
      </c>
      <c r="AT76" s="104" t="s">
        <v>57</v>
      </c>
      <c r="AU76" s="105"/>
      <c r="AV76" s="106" t="s">
        <v>57</v>
      </c>
      <c r="AW76" s="107" t="s">
        <v>58</v>
      </c>
      <c r="AX76" s="108"/>
      <c r="AY76" s="89" t="s">
        <v>58</v>
      </c>
      <c r="AZ76" s="104" t="s">
        <v>57</v>
      </c>
      <c r="BA76" s="105"/>
      <c r="BB76" s="106" t="s">
        <v>57</v>
      </c>
      <c r="BC76" s="109" t="s">
        <v>58</v>
      </c>
      <c r="BD76" s="55"/>
      <c r="BE76" s="89" t="s">
        <v>58</v>
      </c>
      <c r="BF76" s="104" t="s">
        <v>57</v>
      </c>
      <c r="BG76" s="105"/>
      <c r="BH76" s="106" t="s">
        <v>57</v>
      </c>
      <c r="BI76" s="107" t="s">
        <v>57</v>
      </c>
      <c r="BJ76" s="108"/>
      <c r="BK76" s="89" t="s">
        <v>57</v>
      </c>
      <c r="BL76" s="104" t="s">
        <v>57</v>
      </c>
      <c r="BM76" s="105"/>
      <c r="BN76" s="106" t="s">
        <v>57</v>
      </c>
    </row>
    <row r="77" customFormat="false" ht="15" hidden="false" customHeight="true" outlineLevel="0" collapsed="false">
      <c r="B77" s="43"/>
      <c r="C77" s="114" t="s">
        <v>60</v>
      </c>
      <c r="D77" s="115"/>
      <c r="E77" s="116" t="s">
        <v>43</v>
      </c>
      <c r="F77" s="113"/>
      <c r="G77" s="96" t="s">
        <v>44</v>
      </c>
      <c r="H77" s="101"/>
      <c r="I77" s="102" t="s">
        <v>44</v>
      </c>
      <c r="J77" s="51" t="n">
        <v>15</v>
      </c>
      <c r="K77" s="52" t="n">
        <f aca="false">AVERAGEA(J77,L77)</f>
        <v>28.5</v>
      </c>
      <c r="L77" s="53" t="n">
        <v>42</v>
      </c>
      <c r="M77" s="54" t="n">
        <v>38</v>
      </c>
      <c r="N77" s="55" t="n">
        <f aca="false">AVERAGEA(M77,O77)</f>
        <v>42</v>
      </c>
      <c r="O77" s="56" t="n">
        <v>46</v>
      </c>
      <c r="P77" s="54" t="n">
        <v>53</v>
      </c>
      <c r="Q77" s="55" t="n">
        <f aca="false">AVERAGEA(P77,R77)</f>
        <v>70.5</v>
      </c>
      <c r="R77" s="56" t="n">
        <v>88</v>
      </c>
      <c r="S77" s="51" t="n">
        <v>83.8</v>
      </c>
      <c r="T77" s="52" t="n">
        <f aca="false">AVERAGEA(U77,S77)</f>
        <v>85.05</v>
      </c>
      <c r="U77" s="53" t="n">
        <v>86.3</v>
      </c>
      <c r="V77" s="96" t="n">
        <v>30</v>
      </c>
      <c r="W77" s="101" t="n">
        <f aca="false">AVERAGEA(X77, V77)</f>
        <v>30</v>
      </c>
      <c r="X77" s="97" t="n">
        <v>30</v>
      </c>
      <c r="Y77" s="98" t="n">
        <v>0.66</v>
      </c>
      <c r="Z77" s="95" t="n">
        <f aca="false">AVERAGEA(AA77, Y77)</f>
        <v>0.66</v>
      </c>
      <c r="AA77" s="99" t="n">
        <v>0.66</v>
      </c>
      <c r="AB77" s="96" t="n">
        <v>0.66</v>
      </c>
      <c r="AC77" s="101" t="n">
        <f aca="false">AVERAGEA(AD77, AB77)</f>
        <v>0.66</v>
      </c>
      <c r="AD77" s="97" t="n">
        <v>0.66</v>
      </c>
      <c r="AE77" s="98" t="s">
        <v>57</v>
      </c>
      <c r="AF77" s="95"/>
      <c r="AG77" s="99" t="s">
        <v>57</v>
      </c>
      <c r="AH77" s="100" t="s">
        <v>57</v>
      </c>
      <c r="AI77" s="103"/>
      <c r="AJ77" s="99" t="s">
        <v>57</v>
      </c>
      <c r="AK77" s="96" t="n">
        <v>2350</v>
      </c>
      <c r="AL77" s="101" t="n">
        <f aca="false">AVERAGEA(AM77, AK77)</f>
        <v>2500</v>
      </c>
      <c r="AM77" s="97" t="n">
        <v>2650</v>
      </c>
      <c r="AN77" s="98" t="n">
        <v>55.1</v>
      </c>
      <c r="AO77" s="95" t="n">
        <f aca="false">AVERAGEA(AP77, AN77)</f>
        <v>58.6</v>
      </c>
      <c r="AP77" s="99" t="n">
        <v>62.1</v>
      </c>
      <c r="AQ77" s="96" t="s">
        <v>58</v>
      </c>
      <c r="AR77" s="101"/>
      <c r="AS77" s="97" t="s">
        <v>58</v>
      </c>
      <c r="AT77" s="104" t="s">
        <v>57</v>
      </c>
      <c r="AU77" s="105"/>
      <c r="AV77" s="106" t="s">
        <v>57</v>
      </c>
      <c r="AW77" s="107" t="s">
        <v>58</v>
      </c>
      <c r="AX77" s="108"/>
      <c r="AY77" s="89" t="s">
        <v>58</v>
      </c>
      <c r="AZ77" s="104" t="s">
        <v>57</v>
      </c>
      <c r="BA77" s="105"/>
      <c r="BB77" s="106" t="s">
        <v>57</v>
      </c>
      <c r="BC77" s="109" t="s">
        <v>58</v>
      </c>
      <c r="BD77" s="55"/>
      <c r="BE77" s="89" t="s">
        <v>58</v>
      </c>
      <c r="BF77" s="104" t="s">
        <v>57</v>
      </c>
      <c r="BG77" s="105"/>
      <c r="BH77" s="106" t="s">
        <v>57</v>
      </c>
      <c r="BI77" s="107" t="s">
        <v>57</v>
      </c>
      <c r="BJ77" s="108"/>
      <c r="BK77" s="89" t="s">
        <v>57</v>
      </c>
      <c r="BL77" s="104" t="s">
        <v>57</v>
      </c>
      <c r="BM77" s="105"/>
      <c r="BN77" s="106" t="s">
        <v>57</v>
      </c>
    </row>
    <row r="78" customFormat="false" ht="15" hidden="false" customHeight="true" outlineLevel="0" collapsed="false">
      <c r="B78" s="43"/>
      <c r="C78" s="114"/>
      <c r="D78" s="117"/>
      <c r="E78" s="116" t="s">
        <v>45</v>
      </c>
      <c r="F78" s="113"/>
      <c r="G78" s="96" t="s">
        <v>44</v>
      </c>
      <c r="H78" s="101"/>
      <c r="I78" s="102" t="s">
        <v>44</v>
      </c>
      <c r="J78" s="51" t="n">
        <v>15</v>
      </c>
      <c r="K78" s="52" t="n">
        <f aca="false">AVERAGEA(J78,L78)</f>
        <v>28.5</v>
      </c>
      <c r="L78" s="53" t="n">
        <v>42</v>
      </c>
      <c r="M78" s="54" t="n">
        <v>38</v>
      </c>
      <c r="N78" s="55" t="n">
        <f aca="false">AVERAGEA(M78,O78)</f>
        <v>42</v>
      </c>
      <c r="O78" s="56" t="n">
        <v>46</v>
      </c>
      <c r="P78" s="54" t="n">
        <v>53</v>
      </c>
      <c r="Q78" s="55" t="n">
        <f aca="false">AVERAGEA(P78,R78)</f>
        <v>70.5</v>
      </c>
      <c r="R78" s="56" t="n">
        <v>88</v>
      </c>
      <c r="S78" s="51" t="n">
        <v>83.8</v>
      </c>
      <c r="T78" s="52" t="n">
        <f aca="false">AVERAGEA(U78,S78)</f>
        <v>85.05</v>
      </c>
      <c r="U78" s="53" t="n">
        <v>86.3</v>
      </c>
      <c r="V78" s="96" t="n">
        <v>30</v>
      </c>
      <c r="W78" s="101" t="n">
        <f aca="false">AVERAGEA(X78, V78)</f>
        <v>30</v>
      </c>
      <c r="X78" s="97" t="n">
        <v>30</v>
      </c>
      <c r="Y78" s="98" t="n">
        <v>0.66</v>
      </c>
      <c r="Z78" s="95" t="n">
        <f aca="false">AVERAGEA(AA78, Y78)</f>
        <v>0.66</v>
      </c>
      <c r="AA78" s="99" t="n">
        <v>0.66</v>
      </c>
      <c r="AB78" s="96" t="n">
        <v>0.66</v>
      </c>
      <c r="AC78" s="101" t="n">
        <f aca="false">AVERAGEA(AD78, AB78)</f>
        <v>0.66</v>
      </c>
      <c r="AD78" s="97" t="n">
        <v>0.66</v>
      </c>
      <c r="AE78" s="98" t="s">
        <v>57</v>
      </c>
      <c r="AF78" s="95"/>
      <c r="AG78" s="99" t="s">
        <v>57</v>
      </c>
      <c r="AH78" s="100" t="s">
        <v>57</v>
      </c>
      <c r="AI78" s="103"/>
      <c r="AJ78" s="99" t="s">
        <v>57</v>
      </c>
      <c r="AK78" s="96" t="n">
        <v>2350</v>
      </c>
      <c r="AL78" s="101" t="n">
        <f aca="false">AVERAGEA(AM78, AK78)</f>
        <v>2500</v>
      </c>
      <c r="AM78" s="97" t="n">
        <v>2650</v>
      </c>
      <c r="AN78" s="98" t="n">
        <v>55.1</v>
      </c>
      <c r="AO78" s="95" t="n">
        <f aca="false">AVERAGEA(AP78, AN78)</f>
        <v>58.6</v>
      </c>
      <c r="AP78" s="99" t="n">
        <v>62.1</v>
      </c>
      <c r="AQ78" s="96" t="s">
        <v>58</v>
      </c>
      <c r="AR78" s="101"/>
      <c r="AS78" s="97" t="s">
        <v>58</v>
      </c>
      <c r="AT78" s="104" t="s">
        <v>57</v>
      </c>
      <c r="AU78" s="105"/>
      <c r="AV78" s="106" t="s">
        <v>57</v>
      </c>
      <c r="AW78" s="107" t="s">
        <v>58</v>
      </c>
      <c r="AX78" s="108"/>
      <c r="AY78" s="89" t="s">
        <v>58</v>
      </c>
      <c r="AZ78" s="104" t="s">
        <v>57</v>
      </c>
      <c r="BA78" s="105"/>
      <c r="BB78" s="106" t="s">
        <v>57</v>
      </c>
      <c r="BC78" s="109" t="s">
        <v>58</v>
      </c>
      <c r="BD78" s="55"/>
      <c r="BE78" s="89" t="s">
        <v>58</v>
      </c>
      <c r="BF78" s="104" t="s">
        <v>57</v>
      </c>
      <c r="BG78" s="105"/>
      <c r="BH78" s="106" t="s">
        <v>57</v>
      </c>
      <c r="BI78" s="107" t="s">
        <v>57</v>
      </c>
      <c r="BJ78" s="108"/>
      <c r="BK78" s="89" t="s">
        <v>57</v>
      </c>
      <c r="BL78" s="104" t="s">
        <v>57</v>
      </c>
      <c r="BM78" s="105"/>
      <c r="BN78" s="106" t="s">
        <v>57</v>
      </c>
    </row>
    <row r="79" customFormat="false" ht="15" hidden="false" customHeight="true" outlineLevel="0" collapsed="false">
      <c r="B79" s="43"/>
      <c r="C79" s="114"/>
      <c r="D79" s="117"/>
      <c r="E79" s="116" t="s">
        <v>46</v>
      </c>
      <c r="F79" s="113"/>
      <c r="G79" s="96" t="s">
        <v>44</v>
      </c>
      <c r="H79" s="101"/>
      <c r="I79" s="102" t="s">
        <v>44</v>
      </c>
      <c r="J79" s="51" t="n">
        <v>15</v>
      </c>
      <c r="K79" s="52" t="n">
        <f aca="false">AVERAGEA(J79,L79)</f>
        <v>28.5</v>
      </c>
      <c r="L79" s="53" t="n">
        <v>42</v>
      </c>
      <c r="M79" s="54" t="n">
        <v>38</v>
      </c>
      <c r="N79" s="55" t="n">
        <f aca="false">AVERAGEA(M79,O79)</f>
        <v>42</v>
      </c>
      <c r="O79" s="56" t="n">
        <v>46</v>
      </c>
      <c r="P79" s="54" t="n">
        <v>53</v>
      </c>
      <c r="Q79" s="55" t="n">
        <f aca="false">AVERAGEA(P79,R79)</f>
        <v>70.5</v>
      </c>
      <c r="R79" s="56" t="n">
        <v>88</v>
      </c>
      <c r="S79" s="51" t="n">
        <v>83.8</v>
      </c>
      <c r="T79" s="52" t="n">
        <f aca="false">AVERAGEA(U79,S79)</f>
        <v>85.05</v>
      </c>
      <c r="U79" s="53" t="n">
        <v>86.3</v>
      </c>
      <c r="V79" s="96" t="n">
        <v>30</v>
      </c>
      <c r="W79" s="101" t="n">
        <f aca="false">AVERAGEA(X79, V79)</f>
        <v>30</v>
      </c>
      <c r="X79" s="97" t="n">
        <v>30</v>
      </c>
      <c r="Y79" s="98" t="n">
        <v>0.66</v>
      </c>
      <c r="Z79" s="95" t="n">
        <f aca="false">AVERAGEA(AA79, Y79)</f>
        <v>0.66</v>
      </c>
      <c r="AA79" s="99" t="n">
        <v>0.66</v>
      </c>
      <c r="AB79" s="96" t="n">
        <v>0.66</v>
      </c>
      <c r="AC79" s="101" t="n">
        <f aca="false">AVERAGEA(AD79, AB79)</f>
        <v>0.66</v>
      </c>
      <c r="AD79" s="97" t="n">
        <v>0.66</v>
      </c>
      <c r="AE79" s="98" t="s">
        <v>57</v>
      </c>
      <c r="AF79" s="95"/>
      <c r="AG79" s="99" t="s">
        <v>57</v>
      </c>
      <c r="AH79" s="100" t="s">
        <v>57</v>
      </c>
      <c r="AI79" s="103"/>
      <c r="AJ79" s="99" t="s">
        <v>57</v>
      </c>
      <c r="AK79" s="96" t="n">
        <v>2350</v>
      </c>
      <c r="AL79" s="101" t="n">
        <f aca="false">AVERAGEA(AM79, AK79)</f>
        <v>2500</v>
      </c>
      <c r="AM79" s="97" t="n">
        <v>2650</v>
      </c>
      <c r="AN79" s="98" t="n">
        <v>55.1</v>
      </c>
      <c r="AO79" s="95" t="n">
        <f aca="false">AVERAGEA(AP79, AN79)</f>
        <v>58.6</v>
      </c>
      <c r="AP79" s="99" t="n">
        <v>62.1</v>
      </c>
      <c r="AQ79" s="96" t="s">
        <v>58</v>
      </c>
      <c r="AR79" s="101"/>
      <c r="AS79" s="97" t="s">
        <v>58</v>
      </c>
      <c r="AT79" s="104" t="s">
        <v>57</v>
      </c>
      <c r="AU79" s="105"/>
      <c r="AV79" s="106" t="s">
        <v>57</v>
      </c>
      <c r="AW79" s="107" t="s">
        <v>58</v>
      </c>
      <c r="AX79" s="108"/>
      <c r="AY79" s="89" t="s">
        <v>58</v>
      </c>
      <c r="AZ79" s="104" t="s">
        <v>57</v>
      </c>
      <c r="BA79" s="105"/>
      <c r="BB79" s="106" t="s">
        <v>57</v>
      </c>
      <c r="BC79" s="109" t="s">
        <v>58</v>
      </c>
      <c r="BD79" s="55"/>
      <c r="BE79" s="89" t="s">
        <v>58</v>
      </c>
      <c r="BF79" s="104" t="s">
        <v>57</v>
      </c>
      <c r="BG79" s="105"/>
      <c r="BH79" s="106" t="s">
        <v>57</v>
      </c>
      <c r="BI79" s="107" t="s">
        <v>57</v>
      </c>
      <c r="BJ79" s="108"/>
      <c r="BK79" s="89" t="s">
        <v>57</v>
      </c>
      <c r="BL79" s="104" t="s">
        <v>57</v>
      </c>
      <c r="BM79" s="105"/>
      <c r="BN79" s="106" t="s">
        <v>57</v>
      </c>
    </row>
    <row r="80" customFormat="false" ht="15" hidden="false" customHeight="true" outlineLevel="0" collapsed="false">
      <c r="B80" s="43"/>
      <c r="C80" s="114"/>
      <c r="D80" s="117"/>
      <c r="E80" s="116" t="s">
        <v>47</v>
      </c>
      <c r="F80" s="113"/>
      <c r="G80" s="96" t="s">
        <v>44</v>
      </c>
      <c r="H80" s="101"/>
      <c r="I80" s="118" t="s">
        <v>44</v>
      </c>
      <c r="J80" s="119" t="n">
        <v>48</v>
      </c>
      <c r="K80" s="120" t="n">
        <f aca="false">AVERAGEA(J80,L80)</f>
        <v>52.5</v>
      </c>
      <c r="L80" s="121" t="n">
        <v>57</v>
      </c>
      <c r="M80" s="122" t="n">
        <v>34</v>
      </c>
      <c r="N80" s="123" t="n">
        <f aca="false">AVERAGEA(M80,O80)</f>
        <v>38</v>
      </c>
      <c r="O80" s="124" t="n">
        <v>42</v>
      </c>
      <c r="P80" s="122" t="n">
        <v>90</v>
      </c>
      <c r="Q80" s="123" t="n">
        <f aca="false">AVERAGEA(P80,R80)</f>
        <v>90.5</v>
      </c>
      <c r="R80" s="124" t="n">
        <v>91</v>
      </c>
      <c r="S80" s="119" t="n">
        <v>83.8</v>
      </c>
      <c r="T80" s="120" t="n">
        <f aca="false">AVERAGEA(U80,S80)</f>
        <v>85.05</v>
      </c>
      <c r="U80" s="121" t="n">
        <v>86.3</v>
      </c>
      <c r="V80" s="96" t="n">
        <v>30</v>
      </c>
      <c r="W80" s="101" t="n">
        <f aca="false">AVERAGEA(X80, V80)</f>
        <v>30</v>
      </c>
      <c r="X80" s="97" t="n">
        <v>30</v>
      </c>
      <c r="Y80" s="98" t="n">
        <v>0.66</v>
      </c>
      <c r="Z80" s="95" t="n">
        <f aca="false">AVERAGEA(AA80, Y80)</f>
        <v>0.66</v>
      </c>
      <c r="AA80" s="99" t="n">
        <v>0.66</v>
      </c>
      <c r="AB80" s="96" t="n">
        <v>0.66</v>
      </c>
      <c r="AC80" s="101" t="n">
        <f aca="false">AVERAGEA(AD80, AB80)</f>
        <v>0.66</v>
      </c>
      <c r="AD80" s="97" t="n">
        <v>0.66</v>
      </c>
      <c r="AE80" s="98" t="s">
        <v>57</v>
      </c>
      <c r="AF80" s="95"/>
      <c r="AG80" s="99" t="s">
        <v>57</v>
      </c>
      <c r="AH80" s="100" t="s">
        <v>57</v>
      </c>
      <c r="AI80" s="103"/>
      <c r="AJ80" s="99" t="s">
        <v>57</v>
      </c>
      <c r="AK80" s="96" t="n">
        <v>2350</v>
      </c>
      <c r="AL80" s="101" t="n">
        <f aca="false">AVERAGEA(AM80, AK80)</f>
        <v>2500</v>
      </c>
      <c r="AM80" s="97" t="n">
        <v>2650</v>
      </c>
      <c r="AN80" s="98" t="n">
        <v>55.1</v>
      </c>
      <c r="AO80" s="95" t="n">
        <f aca="false">AVERAGEA(AP80, AN80)</f>
        <v>58.6</v>
      </c>
      <c r="AP80" s="99" t="n">
        <v>62.1</v>
      </c>
      <c r="AQ80" s="96" t="s">
        <v>58</v>
      </c>
      <c r="AR80" s="101"/>
      <c r="AS80" s="97" t="s">
        <v>58</v>
      </c>
      <c r="AT80" s="125" t="s">
        <v>57</v>
      </c>
      <c r="AU80" s="126"/>
      <c r="AV80" s="127" t="s">
        <v>57</v>
      </c>
      <c r="AW80" s="128" t="s">
        <v>58</v>
      </c>
      <c r="AX80" s="129"/>
      <c r="AY80" s="130" t="s">
        <v>58</v>
      </c>
      <c r="AZ80" s="125" t="s">
        <v>57</v>
      </c>
      <c r="BA80" s="126"/>
      <c r="BB80" s="127" t="s">
        <v>57</v>
      </c>
      <c r="BC80" s="131" t="s">
        <v>58</v>
      </c>
      <c r="BD80" s="123"/>
      <c r="BE80" s="130" t="s">
        <v>58</v>
      </c>
      <c r="BF80" s="125" t="s">
        <v>57</v>
      </c>
      <c r="BG80" s="126"/>
      <c r="BH80" s="127" t="s">
        <v>57</v>
      </c>
      <c r="BI80" s="128" t="s">
        <v>57</v>
      </c>
      <c r="BJ80" s="129"/>
      <c r="BK80" s="130" t="s">
        <v>57</v>
      </c>
      <c r="BL80" s="125" t="s">
        <v>57</v>
      </c>
      <c r="BM80" s="126"/>
      <c r="BN80" s="127" t="s">
        <v>57</v>
      </c>
    </row>
    <row r="81" customFormat="false" ht="15" hidden="false" customHeight="true" outlineLevel="0" collapsed="false">
      <c r="B81" s="132" t="s">
        <v>61</v>
      </c>
      <c r="C81" s="133" t="s">
        <v>62</v>
      </c>
      <c r="D81" s="134"/>
      <c r="E81" s="135" t="s">
        <v>63</v>
      </c>
      <c r="F81" s="136"/>
      <c r="G81" s="48" t="n">
        <v>55.38</v>
      </c>
      <c r="H81" s="73" t="n">
        <f aca="false">AVERAGE(G81,I81)</f>
        <v>58.63</v>
      </c>
      <c r="I81" s="74" t="n">
        <v>61.88</v>
      </c>
      <c r="J81" s="57" t="s">
        <v>44</v>
      </c>
      <c r="K81" s="58"/>
      <c r="L81" s="59" t="s">
        <v>44</v>
      </c>
      <c r="M81" s="137" t="s">
        <v>44</v>
      </c>
      <c r="N81" s="76"/>
      <c r="O81" s="77" t="s">
        <v>44</v>
      </c>
      <c r="P81" s="137" t="s">
        <v>44</v>
      </c>
      <c r="Q81" s="76"/>
      <c r="R81" s="76" t="s">
        <v>44</v>
      </c>
      <c r="S81" s="57" t="n">
        <v>84</v>
      </c>
      <c r="T81" s="58" t="n">
        <f aca="false">AVERAGEA(U81,S81)</f>
        <v>87.7</v>
      </c>
      <c r="U81" s="59" t="n">
        <v>91.4</v>
      </c>
      <c r="V81" s="60" t="n">
        <v>50</v>
      </c>
      <c r="W81" s="138" t="n">
        <f aca="false">AVERAGEA(X81, V81)</f>
        <v>32.5</v>
      </c>
      <c r="X81" s="62" t="n">
        <v>15</v>
      </c>
      <c r="Y81" s="63" t="n">
        <v>0.83</v>
      </c>
      <c r="Z81" s="64" t="n">
        <f aca="false">AVERAGEA(AA81, Y81)</f>
        <v>6.415</v>
      </c>
      <c r="AA81" s="65" t="n">
        <v>12</v>
      </c>
      <c r="AB81" s="60" t="n">
        <v>0.83</v>
      </c>
      <c r="AC81" s="138" t="n">
        <f aca="false">AVERAGEA(AD81, AB81)</f>
        <v>6.415</v>
      </c>
      <c r="AD81" s="62" t="n">
        <v>12</v>
      </c>
      <c r="AE81" s="63" t="n">
        <v>0.25</v>
      </c>
      <c r="AF81" s="68" t="n">
        <f aca="false">AVERAGEA(AG81, AE81)</f>
        <v>3.125</v>
      </c>
      <c r="AG81" s="65" t="n">
        <v>6</v>
      </c>
      <c r="AH81" s="67" t="n">
        <v>0.5</v>
      </c>
      <c r="AI81" s="68" t="n">
        <f aca="false">AVERAGEA(AJ81, AH81)</f>
        <v>3.25</v>
      </c>
      <c r="AJ81" s="65" t="n">
        <v>6</v>
      </c>
      <c r="AK81" s="60" t="n">
        <v>590</v>
      </c>
      <c r="AL81" s="61" t="n">
        <f aca="false">AVERAGEA(AM81, AK81)</f>
        <v>900</v>
      </c>
      <c r="AM81" s="62" t="n">
        <v>1210</v>
      </c>
      <c r="AN81" s="63" t="n">
        <v>17</v>
      </c>
      <c r="AO81" s="64" t="n">
        <f aca="false">AVERAGEA(AP81, AN81)</f>
        <v>18.5</v>
      </c>
      <c r="AP81" s="65" t="n">
        <v>20</v>
      </c>
      <c r="AQ81" s="60" t="n">
        <v>1.3</v>
      </c>
      <c r="AR81" s="61" t="n">
        <f aca="false">AVERAGEA(AS81, AQ81)</f>
        <v>3.15</v>
      </c>
      <c r="AS81" s="62" t="n">
        <v>5</v>
      </c>
      <c r="AT81" s="57" t="n">
        <v>1.5</v>
      </c>
      <c r="AU81" s="58" t="n">
        <f aca="false">AVERAGEA(AT81,AV81)</f>
        <v>13.85</v>
      </c>
      <c r="AV81" s="59" t="n">
        <v>26.2</v>
      </c>
      <c r="AW81" s="75" t="n">
        <v>1.5</v>
      </c>
      <c r="AX81" s="76" t="n">
        <f aca="false">AVERAGEA(AW81,AY81)</f>
        <v>21.4</v>
      </c>
      <c r="AY81" s="77" t="n">
        <v>41.3</v>
      </c>
      <c r="AZ81" s="57" t="n">
        <v>3.5</v>
      </c>
      <c r="BA81" s="58" t="n">
        <f aca="false">AVERAGEA(AZ81,BB81)</f>
        <v>39.725</v>
      </c>
      <c r="BB81" s="59" t="n">
        <v>75.95</v>
      </c>
      <c r="BC81" s="139" t="n">
        <v>0.25</v>
      </c>
      <c r="BD81" s="76" t="n">
        <f aca="false">AVERAGEA(BE81, BC81)</f>
        <v>0.375</v>
      </c>
      <c r="BE81" s="77" t="n">
        <v>0.5</v>
      </c>
      <c r="BF81" s="57" t="s">
        <v>57</v>
      </c>
      <c r="BG81" s="58"/>
      <c r="BH81" s="59" t="s">
        <v>57</v>
      </c>
      <c r="BI81" s="75" t="s">
        <v>57</v>
      </c>
      <c r="BJ81" s="76"/>
      <c r="BK81" s="77" t="s">
        <v>57</v>
      </c>
      <c r="BL81" s="57" t="s">
        <v>57</v>
      </c>
      <c r="BM81" s="58"/>
      <c r="BN81" s="59" t="s">
        <v>57</v>
      </c>
    </row>
    <row r="82" customFormat="false" ht="15" hidden="false" customHeight="true" outlineLevel="0" collapsed="false">
      <c r="B82" s="132"/>
      <c r="C82" s="133"/>
      <c r="D82" s="134"/>
      <c r="E82" s="140" t="s">
        <v>64</v>
      </c>
      <c r="F82" s="136"/>
      <c r="G82" s="72" t="n">
        <v>52.88</v>
      </c>
      <c r="H82" s="73" t="n">
        <f aca="false">AVERAGE(G82,I82)</f>
        <v>54.125</v>
      </c>
      <c r="I82" s="74" t="n">
        <v>55.37</v>
      </c>
      <c r="J82" s="51" t="s">
        <v>44</v>
      </c>
      <c r="K82" s="52"/>
      <c r="L82" s="53" t="s">
        <v>44</v>
      </c>
      <c r="M82" s="54" t="s">
        <v>44</v>
      </c>
      <c r="N82" s="55"/>
      <c r="O82" s="56" t="s">
        <v>44</v>
      </c>
      <c r="P82" s="54" t="s">
        <v>44</v>
      </c>
      <c r="Q82" s="55"/>
      <c r="R82" s="55" t="s">
        <v>44</v>
      </c>
      <c r="S82" s="51" t="n">
        <v>84</v>
      </c>
      <c r="T82" s="52" t="n">
        <f aca="false">AVERAGEA(U82,S82)</f>
        <v>87.7</v>
      </c>
      <c r="U82" s="53" t="n">
        <v>91.4</v>
      </c>
      <c r="V82" s="96" t="n">
        <v>50</v>
      </c>
      <c r="W82" s="101" t="n">
        <f aca="false">AVERAGEA(X82, V82)</f>
        <v>32.5</v>
      </c>
      <c r="X82" s="56" t="n">
        <v>15</v>
      </c>
      <c r="Y82" s="141" t="n">
        <v>0.83</v>
      </c>
      <c r="Z82" s="58" t="n">
        <f aca="false">AVERAGEA(AA82, Y82)</f>
        <v>6.415</v>
      </c>
      <c r="AA82" s="59" t="n">
        <v>12</v>
      </c>
      <c r="AB82" s="75" t="n">
        <v>0.83</v>
      </c>
      <c r="AC82" s="101" t="n">
        <f aca="false">AVERAGEA(AD82, AB82)</f>
        <v>6.415</v>
      </c>
      <c r="AD82" s="77" t="n">
        <v>12</v>
      </c>
      <c r="AE82" s="57" t="n">
        <v>0.25</v>
      </c>
      <c r="AF82" s="79" t="n">
        <f aca="false">AVERAGEA(AG82, AE82)</f>
        <v>3.125</v>
      </c>
      <c r="AG82" s="59" t="n">
        <v>6</v>
      </c>
      <c r="AH82" s="78" t="n">
        <v>0.5</v>
      </c>
      <c r="AI82" s="79" t="n">
        <f aca="false">AVERAGEA(AJ82, AH82)</f>
        <v>3.25</v>
      </c>
      <c r="AJ82" s="59" t="n">
        <v>6</v>
      </c>
      <c r="AK82" s="75" t="n">
        <v>590</v>
      </c>
      <c r="AL82" s="76" t="n">
        <f aca="false">AVERAGEA(AM82, AK82)</f>
        <v>900</v>
      </c>
      <c r="AM82" s="77" t="n">
        <v>1210</v>
      </c>
      <c r="AN82" s="57" t="n">
        <v>17</v>
      </c>
      <c r="AO82" s="58" t="n">
        <f aca="false">AVERAGEA(AP82, AN82)</f>
        <v>18.5</v>
      </c>
      <c r="AP82" s="59" t="n">
        <v>20</v>
      </c>
      <c r="AQ82" s="75" t="n">
        <v>1.3</v>
      </c>
      <c r="AR82" s="76" t="n">
        <f aca="false">AVERAGEA(AS82, AQ82)</f>
        <v>3.15</v>
      </c>
      <c r="AS82" s="77" t="n">
        <v>5</v>
      </c>
      <c r="AT82" s="51" t="n">
        <v>1.5</v>
      </c>
      <c r="AU82" s="52" t="n">
        <f aca="false">AVERAGEA(AT82,AV82)</f>
        <v>13.85</v>
      </c>
      <c r="AV82" s="53" t="n">
        <v>26.2</v>
      </c>
      <c r="AW82" s="80" t="n">
        <v>1.5</v>
      </c>
      <c r="AX82" s="55" t="n">
        <f aca="false">AVERAGEA(AW82,AY82)</f>
        <v>21.4</v>
      </c>
      <c r="AY82" s="56" t="n">
        <v>41.3</v>
      </c>
      <c r="AZ82" s="51" t="n">
        <v>3.5</v>
      </c>
      <c r="BA82" s="52" t="n">
        <f aca="false">AVERAGEA(AZ82,BB82)</f>
        <v>39.725</v>
      </c>
      <c r="BB82" s="53" t="n">
        <v>75.95</v>
      </c>
      <c r="BC82" s="80" t="n">
        <v>0.25</v>
      </c>
      <c r="BD82" s="55" t="n">
        <f aca="false">AVERAGEA(BE82, BC82)</f>
        <v>0.375</v>
      </c>
      <c r="BE82" s="56" t="n">
        <v>0.5</v>
      </c>
      <c r="BF82" s="51" t="s">
        <v>57</v>
      </c>
      <c r="BG82" s="52"/>
      <c r="BH82" s="53" t="s">
        <v>57</v>
      </c>
      <c r="BI82" s="80" t="s">
        <v>57</v>
      </c>
      <c r="BJ82" s="55"/>
      <c r="BK82" s="56" t="s">
        <v>57</v>
      </c>
      <c r="BL82" s="51" t="s">
        <v>57</v>
      </c>
      <c r="BM82" s="52"/>
      <c r="BN82" s="53" t="s">
        <v>57</v>
      </c>
    </row>
    <row r="83" customFormat="false" ht="15" hidden="false" customHeight="true" outlineLevel="0" collapsed="false">
      <c r="B83" s="132"/>
      <c r="C83" s="133"/>
      <c r="D83" s="134"/>
      <c r="E83" s="140" t="s">
        <v>65</v>
      </c>
      <c r="F83" s="136"/>
      <c r="G83" s="72" t="n">
        <v>51.97</v>
      </c>
      <c r="H83" s="73" t="n">
        <f aca="false">AVERAGE(G83,I83)</f>
        <v>52.42</v>
      </c>
      <c r="I83" s="74" t="n">
        <v>52.87</v>
      </c>
      <c r="J83" s="51" t="s">
        <v>44</v>
      </c>
      <c r="K83" s="52"/>
      <c r="L83" s="53" t="s">
        <v>44</v>
      </c>
      <c r="M83" s="54" t="s">
        <v>44</v>
      </c>
      <c r="N83" s="55"/>
      <c r="O83" s="56" t="s">
        <v>44</v>
      </c>
      <c r="P83" s="54" t="s">
        <v>44</v>
      </c>
      <c r="Q83" s="55"/>
      <c r="R83" s="55" t="s">
        <v>44</v>
      </c>
      <c r="S83" s="51" t="n">
        <v>84</v>
      </c>
      <c r="T83" s="52" t="n">
        <f aca="false">AVERAGEA(U83,S83)</f>
        <v>87.7</v>
      </c>
      <c r="U83" s="53" t="n">
        <v>91.4</v>
      </c>
      <c r="V83" s="96" t="n">
        <v>50</v>
      </c>
      <c r="W83" s="101" t="n">
        <f aca="false">AVERAGEA(X83, V83)</f>
        <v>32.5</v>
      </c>
      <c r="X83" s="56" t="n">
        <v>15</v>
      </c>
      <c r="Y83" s="141" t="n">
        <v>0.83</v>
      </c>
      <c r="Z83" s="58" t="n">
        <f aca="false">AVERAGEA(AA83, Y83)</f>
        <v>6.415</v>
      </c>
      <c r="AA83" s="59" t="n">
        <v>12</v>
      </c>
      <c r="AB83" s="75" t="n">
        <v>0.83</v>
      </c>
      <c r="AC83" s="101" t="n">
        <f aca="false">AVERAGEA(AD83, AB83)</f>
        <v>6.415</v>
      </c>
      <c r="AD83" s="77" t="n">
        <v>12</v>
      </c>
      <c r="AE83" s="57" t="n">
        <v>0.25</v>
      </c>
      <c r="AF83" s="79" t="n">
        <f aca="false">AVERAGEA(AG83, AE83)</f>
        <v>3.125</v>
      </c>
      <c r="AG83" s="59" t="n">
        <v>6</v>
      </c>
      <c r="AH83" s="78" t="n">
        <v>0.5</v>
      </c>
      <c r="AI83" s="79" t="n">
        <f aca="false">AVERAGEA(AJ83, AH83)</f>
        <v>3.25</v>
      </c>
      <c r="AJ83" s="59" t="n">
        <v>6</v>
      </c>
      <c r="AK83" s="75" t="n">
        <v>590</v>
      </c>
      <c r="AL83" s="76" t="n">
        <f aca="false">AVERAGEA(AM83, AK83)</f>
        <v>900</v>
      </c>
      <c r="AM83" s="77" t="n">
        <v>1210</v>
      </c>
      <c r="AN83" s="57" t="n">
        <v>17</v>
      </c>
      <c r="AO83" s="58" t="n">
        <f aca="false">AVERAGEA(AP83, AN83)</f>
        <v>18.5</v>
      </c>
      <c r="AP83" s="59" t="n">
        <v>20</v>
      </c>
      <c r="AQ83" s="75" t="n">
        <v>1.3</v>
      </c>
      <c r="AR83" s="76" t="n">
        <f aca="false">AVERAGEA(AS83, AQ83)</f>
        <v>3.15</v>
      </c>
      <c r="AS83" s="77" t="n">
        <v>5</v>
      </c>
      <c r="AT83" s="51" t="n">
        <v>1.5</v>
      </c>
      <c r="AU83" s="52" t="n">
        <f aca="false">AVERAGEA(AT83,AV83)</f>
        <v>13.85</v>
      </c>
      <c r="AV83" s="53" t="n">
        <v>26.2</v>
      </c>
      <c r="AW83" s="80" t="n">
        <v>1.5</v>
      </c>
      <c r="AX83" s="55" t="n">
        <f aca="false">AVERAGEA(AW83,AY83)</f>
        <v>21.4</v>
      </c>
      <c r="AY83" s="56" t="n">
        <v>41.3</v>
      </c>
      <c r="AZ83" s="51" t="n">
        <v>3.5</v>
      </c>
      <c r="BA83" s="52" t="n">
        <f aca="false">AVERAGEA(AZ83,BB83)</f>
        <v>39.725</v>
      </c>
      <c r="BB83" s="53" t="n">
        <v>75.95</v>
      </c>
      <c r="BC83" s="80" t="n">
        <v>0.25</v>
      </c>
      <c r="BD83" s="55" t="n">
        <f aca="false">AVERAGEA(BE83, BC83)</f>
        <v>0.375</v>
      </c>
      <c r="BE83" s="56" t="n">
        <v>0.5</v>
      </c>
      <c r="BF83" s="51" t="s">
        <v>57</v>
      </c>
      <c r="BG83" s="52"/>
      <c r="BH83" s="53" t="s">
        <v>57</v>
      </c>
      <c r="BI83" s="80" t="s">
        <v>57</v>
      </c>
      <c r="BJ83" s="55"/>
      <c r="BK83" s="56" t="s">
        <v>57</v>
      </c>
      <c r="BL83" s="51" t="s">
        <v>57</v>
      </c>
      <c r="BM83" s="52"/>
      <c r="BN83" s="53" t="s">
        <v>57</v>
      </c>
    </row>
    <row r="84" customFormat="false" ht="15" hidden="false" customHeight="true" outlineLevel="0" collapsed="false">
      <c r="B84" s="132"/>
      <c r="C84" s="133"/>
      <c r="D84" s="134"/>
      <c r="E84" s="140" t="s">
        <v>66</v>
      </c>
      <c r="F84" s="136"/>
      <c r="G84" s="72" t="n">
        <v>51.89</v>
      </c>
      <c r="H84" s="73" t="n">
        <f aca="false">AVERAGE(G84,I84)</f>
        <v>51.925</v>
      </c>
      <c r="I84" s="74" t="n">
        <v>51.96</v>
      </c>
      <c r="J84" s="51" t="s">
        <v>44</v>
      </c>
      <c r="K84" s="52"/>
      <c r="L84" s="53" t="s">
        <v>44</v>
      </c>
      <c r="M84" s="54" t="s">
        <v>44</v>
      </c>
      <c r="N84" s="55"/>
      <c r="O84" s="56" t="s">
        <v>44</v>
      </c>
      <c r="P84" s="54" t="s">
        <v>44</v>
      </c>
      <c r="Q84" s="55"/>
      <c r="R84" s="55" t="s">
        <v>44</v>
      </c>
      <c r="S84" s="51" t="n">
        <v>84</v>
      </c>
      <c r="T84" s="52" t="n">
        <f aca="false">AVERAGEA(U84,S84)</f>
        <v>87.7</v>
      </c>
      <c r="U84" s="53" t="n">
        <v>91.4</v>
      </c>
      <c r="V84" s="96" t="n">
        <v>50</v>
      </c>
      <c r="W84" s="101" t="n">
        <f aca="false">AVERAGEA(X84, V84)</f>
        <v>32.5</v>
      </c>
      <c r="X84" s="56" t="n">
        <v>15</v>
      </c>
      <c r="Y84" s="141" t="n">
        <v>0.83</v>
      </c>
      <c r="Z84" s="58" t="n">
        <f aca="false">AVERAGEA(AA84, Y84)</f>
        <v>6.415</v>
      </c>
      <c r="AA84" s="59" t="n">
        <v>12</v>
      </c>
      <c r="AB84" s="75" t="n">
        <v>0.83</v>
      </c>
      <c r="AC84" s="101" t="n">
        <f aca="false">AVERAGEA(AD84, AB84)</f>
        <v>6.415</v>
      </c>
      <c r="AD84" s="77" t="n">
        <v>12</v>
      </c>
      <c r="AE84" s="57" t="n">
        <v>0.25</v>
      </c>
      <c r="AF84" s="79" t="n">
        <f aca="false">AVERAGEA(AG84, AE84)</f>
        <v>3.125</v>
      </c>
      <c r="AG84" s="59" t="n">
        <v>6</v>
      </c>
      <c r="AH84" s="78" t="n">
        <v>0.5</v>
      </c>
      <c r="AI84" s="79" t="n">
        <f aca="false">AVERAGEA(AJ84, AH84)</f>
        <v>3.25</v>
      </c>
      <c r="AJ84" s="59" t="n">
        <v>6</v>
      </c>
      <c r="AK84" s="75" t="n">
        <v>590</v>
      </c>
      <c r="AL84" s="76" t="n">
        <f aca="false">AVERAGEA(AM84, AK84)</f>
        <v>900</v>
      </c>
      <c r="AM84" s="77" t="n">
        <v>1210</v>
      </c>
      <c r="AN84" s="57" t="n">
        <v>17</v>
      </c>
      <c r="AO84" s="58" t="n">
        <f aca="false">AVERAGEA(AP84, AN84)</f>
        <v>18.5</v>
      </c>
      <c r="AP84" s="59" t="n">
        <v>20</v>
      </c>
      <c r="AQ84" s="75" t="n">
        <v>1.3</v>
      </c>
      <c r="AR84" s="76" t="n">
        <f aca="false">AVERAGEA(AS84, AQ84)</f>
        <v>3.15</v>
      </c>
      <c r="AS84" s="77" t="n">
        <v>5</v>
      </c>
      <c r="AT84" s="51" t="n">
        <v>1.5</v>
      </c>
      <c r="AU84" s="52" t="n">
        <f aca="false">AVERAGEA(AT84,AV84)</f>
        <v>13.85</v>
      </c>
      <c r="AV84" s="53" t="n">
        <v>26.2</v>
      </c>
      <c r="AW84" s="80" t="n">
        <v>1.5</v>
      </c>
      <c r="AX84" s="55" t="n">
        <f aca="false">AVERAGEA(AW84,AY84)</f>
        <v>21.4</v>
      </c>
      <c r="AY84" s="56" t="n">
        <v>41.3</v>
      </c>
      <c r="AZ84" s="51" t="n">
        <v>3.5</v>
      </c>
      <c r="BA84" s="52" t="n">
        <f aca="false">AVERAGEA(AZ84,BB84)</f>
        <v>39.725</v>
      </c>
      <c r="BB84" s="53" t="n">
        <v>75.95</v>
      </c>
      <c r="BC84" s="80" t="n">
        <v>0.25</v>
      </c>
      <c r="BD84" s="55" t="n">
        <f aca="false">AVERAGEA(BE84, BC84)</f>
        <v>0.375</v>
      </c>
      <c r="BE84" s="56" t="n">
        <v>0.5</v>
      </c>
      <c r="BF84" s="51" t="s">
        <v>57</v>
      </c>
      <c r="BG84" s="52"/>
      <c r="BH84" s="53" t="s">
        <v>57</v>
      </c>
      <c r="BI84" s="80" t="s">
        <v>57</v>
      </c>
      <c r="BJ84" s="55"/>
      <c r="BK84" s="56" t="s">
        <v>57</v>
      </c>
      <c r="BL84" s="51" t="s">
        <v>57</v>
      </c>
      <c r="BM84" s="52"/>
      <c r="BN84" s="53" t="s">
        <v>57</v>
      </c>
    </row>
    <row r="85" customFormat="false" ht="15" hidden="false" customHeight="true" outlineLevel="0" collapsed="false">
      <c r="B85" s="132"/>
      <c r="C85" s="142" t="s">
        <v>67</v>
      </c>
      <c r="D85" s="143" t="s">
        <v>68</v>
      </c>
      <c r="E85" s="144" t="s">
        <v>63</v>
      </c>
      <c r="F85" s="145" t="s">
        <v>69</v>
      </c>
      <c r="G85" s="84" t="n">
        <v>53.39</v>
      </c>
      <c r="H85" s="73" t="n">
        <f aca="false">AVERAGE(G85,I85)</f>
        <v>55.34</v>
      </c>
      <c r="I85" s="85" t="n">
        <v>57.29</v>
      </c>
      <c r="J85" s="51" t="s">
        <v>44</v>
      </c>
      <c r="K85" s="52"/>
      <c r="L85" s="53" t="s">
        <v>44</v>
      </c>
      <c r="M85" s="54" t="s">
        <v>44</v>
      </c>
      <c r="N85" s="55"/>
      <c r="O85" s="56" t="s">
        <v>44</v>
      </c>
      <c r="P85" s="54" t="s">
        <v>44</v>
      </c>
      <c r="Q85" s="55"/>
      <c r="R85" s="55" t="s">
        <v>44</v>
      </c>
      <c r="S85" s="51" t="n">
        <v>84</v>
      </c>
      <c r="T85" s="52" t="n">
        <f aca="false">AVERAGEA(U85,S85)</f>
        <v>87.7</v>
      </c>
      <c r="U85" s="53" t="n">
        <v>91.4</v>
      </c>
      <c r="V85" s="96" t="n">
        <v>60</v>
      </c>
      <c r="W85" s="101" t="n">
        <f aca="false">AVERAGEA(X85, V85)</f>
        <v>37.5</v>
      </c>
      <c r="X85" s="56" t="n">
        <v>15</v>
      </c>
      <c r="Y85" s="146" t="n">
        <v>0.83</v>
      </c>
      <c r="Z85" s="52" t="n">
        <f aca="false">AVERAGEA(AA85, Y85)</f>
        <v>6.415</v>
      </c>
      <c r="AA85" s="59" t="n">
        <v>12</v>
      </c>
      <c r="AB85" s="80" t="n">
        <v>0.83</v>
      </c>
      <c r="AC85" s="101" t="n">
        <f aca="false">AVERAGEA(AD85, AB85)</f>
        <v>6.415</v>
      </c>
      <c r="AD85" s="56" t="n">
        <v>12</v>
      </c>
      <c r="AE85" s="51" t="n">
        <v>0.25</v>
      </c>
      <c r="AF85" s="79" t="n">
        <f aca="false">AVERAGEA(AG85, AE85)</f>
        <v>2.125</v>
      </c>
      <c r="AG85" s="53" t="n">
        <v>4</v>
      </c>
      <c r="AH85" s="86" t="n">
        <v>0.5</v>
      </c>
      <c r="AI85" s="79" t="n">
        <f aca="false">AVERAGEA(AJ85, AH85)</f>
        <v>3.25</v>
      </c>
      <c r="AJ85" s="53" t="n">
        <v>6</v>
      </c>
      <c r="AK85" s="80" t="n">
        <v>590</v>
      </c>
      <c r="AL85" s="55" t="n">
        <f aca="false">AVERAGEA(AM85, AK85)</f>
        <v>781</v>
      </c>
      <c r="AM85" s="56" t="n">
        <v>972</v>
      </c>
      <c r="AN85" s="51" t="n">
        <v>15.6</v>
      </c>
      <c r="AO85" s="52" t="n">
        <f aca="false">AVERAGEA(AP85, AN85)</f>
        <v>15.6</v>
      </c>
      <c r="AP85" s="53" t="n">
        <v>15.6</v>
      </c>
      <c r="AQ85" s="80" t="n">
        <v>2.1</v>
      </c>
      <c r="AR85" s="55" t="n">
        <f aca="false">AVERAGEA(AS85, AQ85)</f>
        <v>3.55</v>
      </c>
      <c r="AS85" s="56" t="n">
        <v>5</v>
      </c>
      <c r="AT85" s="51" t="n">
        <v>1.5</v>
      </c>
      <c r="AU85" s="52" t="n">
        <f aca="false">AVERAGEA(AT85,AV85)</f>
        <v>13.85</v>
      </c>
      <c r="AV85" s="53" t="n">
        <v>26.2</v>
      </c>
      <c r="AW85" s="80" t="n">
        <v>1.5</v>
      </c>
      <c r="AX85" s="55" t="n">
        <f aca="false">AVERAGEA(AW85,AY85)</f>
        <v>21.4</v>
      </c>
      <c r="AY85" s="56" t="n">
        <v>41.3</v>
      </c>
      <c r="AZ85" s="51" t="n">
        <v>3.5</v>
      </c>
      <c r="BA85" s="52" t="n">
        <f aca="false">AVERAGEA(AZ85,BB85)</f>
        <v>39.725</v>
      </c>
      <c r="BB85" s="53" t="n">
        <v>75.95</v>
      </c>
      <c r="BC85" s="80" t="n">
        <v>0.25</v>
      </c>
      <c r="BD85" s="55" t="n">
        <f aca="false">AVERAGEA(BE85, BC85)</f>
        <v>0.375</v>
      </c>
      <c r="BE85" s="56" t="n">
        <v>0.5</v>
      </c>
      <c r="BF85" s="51" t="n">
        <v>30</v>
      </c>
      <c r="BG85" s="52" t="n">
        <f aca="false">AVERAGEA(BF85,BH85)</f>
        <v>60</v>
      </c>
      <c r="BH85" s="53" t="n">
        <v>90</v>
      </c>
      <c r="BI85" s="80" t="n">
        <v>1</v>
      </c>
      <c r="BJ85" s="55" t="n">
        <f aca="false">AVERAGEA(BI85,BK85)</f>
        <v>2.5</v>
      </c>
      <c r="BK85" s="56" t="n">
        <v>4</v>
      </c>
      <c r="BL85" s="51" t="n">
        <v>2</v>
      </c>
      <c r="BM85" s="52" t="n">
        <f aca="false">AVERAGEA(BL85,BN85)</f>
        <v>3.5</v>
      </c>
      <c r="BN85" s="53" t="n">
        <v>5</v>
      </c>
    </row>
    <row r="86" customFormat="false" ht="15" hidden="false" customHeight="true" outlineLevel="0" collapsed="false">
      <c r="B86" s="132"/>
      <c r="C86" s="142"/>
      <c r="D86" s="143"/>
      <c r="E86" s="144" t="s">
        <v>64</v>
      </c>
      <c r="F86" s="145"/>
      <c r="G86" s="84" t="n">
        <v>51.89</v>
      </c>
      <c r="H86" s="73" t="n">
        <f aca="false">AVERAGE(G86,I86)</f>
        <v>52.637</v>
      </c>
      <c r="I86" s="85" t="n">
        <v>53.384</v>
      </c>
      <c r="J86" s="51" t="s">
        <v>44</v>
      </c>
      <c r="K86" s="52"/>
      <c r="L86" s="53" t="s">
        <v>44</v>
      </c>
      <c r="M86" s="54" t="s">
        <v>44</v>
      </c>
      <c r="N86" s="55"/>
      <c r="O86" s="56" t="s">
        <v>44</v>
      </c>
      <c r="P86" s="54" t="s">
        <v>44</v>
      </c>
      <c r="Q86" s="55"/>
      <c r="R86" s="55" t="s">
        <v>44</v>
      </c>
      <c r="S86" s="51" t="n">
        <v>84</v>
      </c>
      <c r="T86" s="52" t="n">
        <f aca="false">AVERAGEA(U86,S86)</f>
        <v>87.7</v>
      </c>
      <c r="U86" s="53" t="n">
        <v>91.4</v>
      </c>
      <c r="V86" s="96" t="n">
        <v>60</v>
      </c>
      <c r="W86" s="101" t="n">
        <f aca="false">AVERAGEA(X86, V86)</f>
        <v>37.5</v>
      </c>
      <c r="X86" s="56" t="n">
        <v>15</v>
      </c>
      <c r="Y86" s="146" t="n">
        <v>0.83</v>
      </c>
      <c r="Z86" s="52" t="n">
        <f aca="false">AVERAGEA(AA86, Y86)</f>
        <v>6.415</v>
      </c>
      <c r="AA86" s="59" t="n">
        <v>12</v>
      </c>
      <c r="AB86" s="80" t="n">
        <v>0.83</v>
      </c>
      <c r="AC86" s="101" t="n">
        <f aca="false">AVERAGEA(AD86, AB86)</f>
        <v>6.415</v>
      </c>
      <c r="AD86" s="56" t="n">
        <v>12</v>
      </c>
      <c r="AE86" s="51" t="n">
        <v>0.25</v>
      </c>
      <c r="AF86" s="79" t="n">
        <f aca="false">AVERAGEA(AG86, AE86)</f>
        <v>2.125</v>
      </c>
      <c r="AG86" s="53" t="n">
        <v>4</v>
      </c>
      <c r="AH86" s="86" t="n">
        <v>0.5</v>
      </c>
      <c r="AI86" s="79" t="n">
        <f aca="false">AVERAGEA(AJ86, AH86)</f>
        <v>3.25</v>
      </c>
      <c r="AJ86" s="53" t="n">
        <v>6</v>
      </c>
      <c r="AK86" s="80" t="n">
        <v>590</v>
      </c>
      <c r="AL86" s="55" t="n">
        <f aca="false">AVERAGEA(AM86, AK86)</f>
        <v>781</v>
      </c>
      <c r="AM86" s="56" t="n">
        <v>972</v>
      </c>
      <c r="AN86" s="51" t="n">
        <v>15.6</v>
      </c>
      <c r="AO86" s="52" t="n">
        <f aca="false">AVERAGEA(AP86, AN86)</f>
        <v>15.6</v>
      </c>
      <c r="AP86" s="53" t="n">
        <v>15.6</v>
      </c>
      <c r="AQ86" s="80" t="n">
        <v>2.1</v>
      </c>
      <c r="AR86" s="55" t="n">
        <f aca="false">AVERAGEA(AS86, AQ86)</f>
        <v>3.55</v>
      </c>
      <c r="AS86" s="56" t="n">
        <v>5</v>
      </c>
      <c r="AT86" s="51" t="n">
        <v>1.5</v>
      </c>
      <c r="AU86" s="52" t="n">
        <f aca="false">AVERAGEA(AT86,AV86)</f>
        <v>13.85</v>
      </c>
      <c r="AV86" s="53" t="n">
        <v>26.2</v>
      </c>
      <c r="AW86" s="80" t="n">
        <v>1.5</v>
      </c>
      <c r="AX86" s="55" t="n">
        <f aca="false">AVERAGEA(AW86,AY86)</f>
        <v>21.4</v>
      </c>
      <c r="AY86" s="56" t="n">
        <v>41.3</v>
      </c>
      <c r="AZ86" s="51" t="n">
        <v>3.5</v>
      </c>
      <c r="BA86" s="52" t="n">
        <f aca="false">AVERAGEA(AZ86,BB86)</f>
        <v>39.725</v>
      </c>
      <c r="BB86" s="53" t="n">
        <v>75.95</v>
      </c>
      <c r="BC86" s="80" t="n">
        <v>0.25</v>
      </c>
      <c r="BD86" s="55" t="n">
        <f aca="false">AVERAGEA(BE86, BC86)</f>
        <v>0.375</v>
      </c>
      <c r="BE86" s="56" t="n">
        <v>0.5</v>
      </c>
      <c r="BF86" s="51" t="n">
        <v>30</v>
      </c>
      <c r="BG86" s="52" t="n">
        <f aca="false">AVERAGEA(BF86,BH86)</f>
        <v>60</v>
      </c>
      <c r="BH86" s="53" t="n">
        <v>90</v>
      </c>
      <c r="BI86" s="80" t="n">
        <v>1</v>
      </c>
      <c r="BJ86" s="55" t="n">
        <f aca="false">AVERAGEA(BI86,BK86)</f>
        <v>2.5</v>
      </c>
      <c r="BK86" s="56" t="n">
        <v>4</v>
      </c>
      <c r="BL86" s="51" t="n">
        <v>2</v>
      </c>
      <c r="BM86" s="52" t="n">
        <f aca="false">AVERAGEA(BL86,BN86)</f>
        <v>3.5</v>
      </c>
      <c r="BN86" s="53" t="n">
        <v>5</v>
      </c>
    </row>
    <row r="87" customFormat="false" ht="15" hidden="false" customHeight="true" outlineLevel="0" collapsed="false">
      <c r="B87" s="132"/>
      <c r="C87" s="142"/>
      <c r="D87" s="143"/>
      <c r="E87" s="144" t="s">
        <v>65</v>
      </c>
      <c r="F87" s="145"/>
      <c r="G87" s="84" t="n">
        <v>51.344</v>
      </c>
      <c r="H87" s="73" t="n">
        <f aca="false">AVERAGE(G87,I87)</f>
        <v>51.614</v>
      </c>
      <c r="I87" s="85" t="n">
        <v>51.884</v>
      </c>
      <c r="J87" s="51" t="s">
        <v>44</v>
      </c>
      <c r="K87" s="52"/>
      <c r="L87" s="53" t="s">
        <v>44</v>
      </c>
      <c r="M87" s="54" t="s">
        <v>44</v>
      </c>
      <c r="N87" s="55"/>
      <c r="O87" s="56" t="s">
        <v>44</v>
      </c>
      <c r="P87" s="54" t="s">
        <v>44</v>
      </c>
      <c r="Q87" s="55"/>
      <c r="R87" s="55" t="s">
        <v>44</v>
      </c>
      <c r="S87" s="51" t="n">
        <v>84</v>
      </c>
      <c r="T87" s="52" t="n">
        <f aca="false">AVERAGEA(U87,S87)</f>
        <v>87.7</v>
      </c>
      <c r="U87" s="53" t="n">
        <v>91.4</v>
      </c>
      <c r="V87" s="96" t="n">
        <v>60</v>
      </c>
      <c r="W87" s="101" t="n">
        <f aca="false">AVERAGEA(X87, V87)</f>
        <v>37.5</v>
      </c>
      <c r="X87" s="56" t="n">
        <v>15</v>
      </c>
      <c r="Y87" s="146" t="n">
        <v>0.83</v>
      </c>
      <c r="Z87" s="52" t="n">
        <f aca="false">AVERAGEA(AA87, Y87)</f>
        <v>6.415</v>
      </c>
      <c r="AA87" s="59" t="n">
        <v>12</v>
      </c>
      <c r="AB87" s="80" t="n">
        <v>0.83</v>
      </c>
      <c r="AC87" s="101" t="n">
        <f aca="false">AVERAGEA(AD87, AB87)</f>
        <v>6.415</v>
      </c>
      <c r="AD87" s="56" t="n">
        <v>12</v>
      </c>
      <c r="AE87" s="51" t="n">
        <v>0.25</v>
      </c>
      <c r="AF87" s="79" t="n">
        <f aca="false">AVERAGEA(AG87, AE87)</f>
        <v>2.125</v>
      </c>
      <c r="AG87" s="53" t="n">
        <v>4</v>
      </c>
      <c r="AH87" s="86" t="n">
        <v>0.5</v>
      </c>
      <c r="AI87" s="79" t="n">
        <f aca="false">AVERAGEA(AJ87, AH87)</f>
        <v>3.25</v>
      </c>
      <c r="AJ87" s="53" t="n">
        <v>6</v>
      </c>
      <c r="AK87" s="80" t="n">
        <v>590</v>
      </c>
      <c r="AL87" s="55" t="n">
        <f aca="false">AVERAGEA(AM87, AK87)</f>
        <v>781</v>
      </c>
      <c r="AM87" s="56" t="n">
        <v>972</v>
      </c>
      <c r="AN87" s="51" t="n">
        <v>15.6</v>
      </c>
      <c r="AO87" s="52" t="n">
        <f aca="false">AVERAGEA(AP87, AN87)</f>
        <v>15.6</v>
      </c>
      <c r="AP87" s="53" t="n">
        <v>15.6</v>
      </c>
      <c r="AQ87" s="80" t="n">
        <v>2.1</v>
      </c>
      <c r="AR87" s="55" t="n">
        <f aca="false">AVERAGEA(AS87, AQ87)</f>
        <v>3.55</v>
      </c>
      <c r="AS87" s="56" t="n">
        <v>5</v>
      </c>
      <c r="AT87" s="51" t="n">
        <v>1.5</v>
      </c>
      <c r="AU87" s="52" t="n">
        <f aca="false">AVERAGEA(AT87,AV87)</f>
        <v>13.85</v>
      </c>
      <c r="AV87" s="53" t="n">
        <v>26.2</v>
      </c>
      <c r="AW87" s="80" t="n">
        <v>1.5</v>
      </c>
      <c r="AX87" s="55" t="n">
        <f aca="false">AVERAGEA(AW87,AY87)</f>
        <v>21.4</v>
      </c>
      <c r="AY87" s="56" t="n">
        <v>41.3</v>
      </c>
      <c r="AZ87" s="51" t="n">
        <v>3.5</v>
      </c>
      <c r="BA87" s="52" t="n">
        <f aca="false">AVERAGEA(AZ87,BB87)</f>
        <v>39.725</v>
      </c>
      <c r="BB87" s="53" t="n">
        <v>75.95</v>
      </c>
      <c r="BC87" s="80" t="n">
        <v>0.25</v>
      </c>
      <c r="BD87" s="55" t="n">
        <f aca="false">AVERAGEA(BE87, BC87)</f>
        <v>0.375</v>
      </c>
      <c r="BE87" s="56" t="n">
        <v>0.5</v>
      </c>
      <c r="BF87" s="51" t="n">
        <v>30</v>
      </c>
      <c r="BG87" s="52" t="n">
        <f aca="false">AVERAGEA(BF87,BH87)</f>
        <v>60</v>
      </c>
      <c r="BH87" s="53" t="n">
        <v>90</v>
      </c>
      <c r="BI87" s="80" t="n">
        <v>1</v>
      </c>
      <c r="BJ87" s="55" t="n">
        <f aca="false">AVERAGEA(BI87,BK87)</f>
        <v>2.5</v>
      </c>
      <c r="BK87" s="56" t="n">
        <v>4</v>
      </c>
      <c r="BL87" s="51" t="n">
        <v>2</v>
      </c>
      <c r="BM87" s="52" t="n">
        <f aca="false">AVERAGEA(BL87,BN87)</f>
        <v>3.5</v>
      </c>
      <c r="BN87" s="53" t="n">
        <v>5</v>
      </c>
    </row>
    <row r="88" customFormat="false" ht="15" hidden="false" customHeight="true" outlineLevel="0" collapsed="false">
      <c r="B88" s="132"/>
      <c r="C88" s="142"/>
      <c r="D88" s="143"/>
      <c r="E88" s="144" t="s">
        <v>66</v>
      </c>
      <c r="F88" s="145"/>
      <c r="G88" s="84" t="n">
        <v>51.296</v>
      </c>
      <c r="H88" s="73" t="n">
        <f aca="false">AVERAGE(G88,I88)</f>
        <v>51.317</v>
      </c>
      <c r="I88" s="85" t="n">
        <v>51.338</v>
      </c>
      <c r="J88" s="51" t="s">
        <v>44</v>
      </c>
      <c r="K88" s="52"/>
      <c r="L88" s="53" t="s">
        <v>44</v>
      </c>
      <c r="M88" s="54" t="s">
        <v>44</v>
      </c>
      <c r="N88" s="55"/>
      <c r="O88" s="56" t="s">
        <v>44</v>
      </c>
      <c r="P88" s="54" t="s">
        <v>44</v>
      </c>
      <c r="Q88" s="55"/>
      <c r="R88" s="55" t="s">
        <v>44</v>
      </c>
      <c r="S88" s="51" t="n">
        <v>84</v>
      </c>
      <c r="T88" s="52" t="n">
        <f aca="false">AVERAGEA(U88,S88)</f>
        <v>87.7</v>
      </c>
      <c r="U88" s="53" t="n">
        <v>91.4</v>
      </c>
      <c r="V88" s="96" t="n">
        <v>60</v>
      </c>
      <c r="W88" s="101" t="n">
        <f aca="false">AVERAGEA(X88, V88)</f>
        <v>37.5</v>
      </c>
      <c r="X88" s="56" t="n">
        <v>15</v>
      </c>
      <c r="Y88" s="146" t="n">
        <v>0.83</v>
      </c>
      <c r="Z88" s="52" t="n">
        <f aca="false">AVERAGEA(AA88, Y88)</f>
        <v>6.415</v>
      </c>
      <c r="AA88" s="59" t="n">
        <v>12</v>
      </c>
      <c r="AB88" s="80" t="n">
        <v>0.83</v>
      </c>
      <c r="AC88" s="101" t="n">
        <f aca="false">AVERAGEA(AD88, AB88)</f>
        <v>6.415</v>
      </c>
      <c r="AD88" s="56" t="n">
        <v>12</v>
      </c>
      <c r="AE88" s="51" t="n">
        <v>0.25</v>
      </c>
      <c r="AF88" s="79" t="n">
        <f aca="false">AVERAGEA(AG88, AE88)</f>
        <v>2.125</v>
      </c>
      <c r="AG88" s="53" t="n">
        <v>4</v>
      </c>
      <c r="AH88" s="86" t="n">
        <v>0.5</v>
      </c>
      <c r="AI88" s="79" t="n">
        <f aca="false">AVERAGEA(AJ88, AH88)</f>
        <v>3.25</v>
      </c>
      <c r="AJ88" s="53" t="n">
        <v>6</v>
      </c>
      <c r="AK88" s="80" t="n">
        <v>590</v>
      </c>
      <c r="AL88" s="55" t="n">
        <f aca="false">AVERAGEA(AM88, AK88)</f>
        <v>781</v>
      </c>
      <c r="AM88" s="56" t="n">
        <v>972</v>
      </c>
      <c r="AN88" s="51" t="n">
        <v>15.6</v>
      </c>
      <c r="AO88" s="52" t="n">
        <f aca="false">AVERAGEA(AP88, AN88)</f>
        <v>15.6</v>
      </c>
      <c r="AP88" s="53" t="n">
        <v>15.6</v>
      </c>
      <c r="AQ88" s="80" t="n">
        <v>2.1</v>
      </c>
      <c r="AR88" s="55" t="n">
        <f aca="false">AVERAGEA(AS88, AQ88)</f>
        <v>3.55</v>
      </c>
      <c r="AS88" s="56" t="n">
        <v>5</v>
      </c>
      <c r="AT88" s="51" t="n">
        <v>1.5</v>
      </c>
      <c r="AU88" s="52" t="n">
        <f aca="false">AVERAGEA(AT88,AV88)</f>
        <v>13.85</v>
      </c>
      <c r="AV88" s="53" t="n">
        <v>26.2</v>
      </c>
      <c r="AW88" s="80" t="n">
        <v>1.5</v>
      </c>
      <c r="AX88" s="55" t="n">
        <f aca="false">AVERAGEA(AW88,AY88)</f>
        <v>21.4</v>
      </c>
      <c r="AY88" s="56" t="n">
        <v>41.3</v>
      </c>
      <c r="AZ88" s="51" t="n">
        <v>3.5</v>
      </c>
      <c r="BA88" s="52" t="n">
        <f aca="false">AVERAGEA(AZ88,BB88)</f>
        <v>39.725</v>
      </c>
      <c r="BB88" s="53" t="n">
        <v>75.95</v>
      </c>
      <c r="BC88" s="80" t="n">
        <v>0.25</v>
      </c>
      <c r="BD88" s="55" t="n">
        <f aca="false">AVERAGEA(BE88, BC88)</f>
        <v>0.375</v>
      </c>
      <c r="BE88" s="56" t="n">
        <v>0.5</v>
      </c>
      <c r="BF88" s="51" t="n">
        <v>30</v>
      </c>
      <c r="BG88" s="52" t="n">
        <f aca="false">AVERAGEA(BF88,BH88)</f>
        <v>60</v>
      </c>
      <c r="BH88" s="53" t="n">
        <v>90</v>
      </c>
      <c r="BI88" s="80" t="n">
        <v>1</v>
      </c>
      <c r="BJ88" s="55" t="n">
        <f aca="false">AVERAGEA(BI88,BK88)</f>
        <v>2.5</v>
      </c>
      <c r="BK88" s="56" t="n">
        <v>4</v>
      </c>
      <c r="BL88" s="51" t="n">
        <v>2</v>
      </c>
      <c r="BM88" s="52" t="n">
        <f aca="false">AVERAGEA(BL88,BN88)</f>
        <v>3.5</v>
      </c>
      <c r="BN88" s="53" t="n">
        <v>5</v>
      </c>
    </row>
    <row r="89" customFormat="false" ht="15" hidden="false" customHeight="true" outlineLevel="0" collapsed="false">
      <c r="B89" s="132"/>
      <c r="C89" s="142"/>
      <c r="D89" s="143" t="s">
        <v>70</v>
      </c>
      <c r="E89" s="144" t="s">
        <v>63</v>
      </c>
      <c r="F89" s="145" t="s">
        <v>71</v>
      </c>
      <c r="G89" s="84" t="n">
        <v>58.0513857997815</v>
      </c>
      <c r="H89" s="73" t="n">
        <f aca="false">AVERAGE(G89,I89)</f>
        <v>59.3502843515189</v>
      </c>
      <c r="I89" s="85" t="n">
        <v>60.6491829032563</v>
      </c>
      <c r="J89" s="51" t="s">
        <v>44</v>
      </c>
      <c r="K89" s="52"/>
      <c r="L89" s="53" t="s">
        <v>44</v>
      </c>
      <c r="M89" s="54" t="s">
        <v>44</v>
      </c>
      <c r="N89" s="55"/>
      <c r="O89" s="56" t="s">
        <v>44</v>
      </c>
      <c r="P89" s="54" t="s">
        <v>44</v>
      </c>
      <c r="Q89" s="55"/>
      <c r="R89" s="55" t="s">
        <v>44</v>
      </c>
      <c r="S89" s="51" t="n">
        <v>84</v>
      </c>
      <c r="T89" s="52" t="n">
        <f aca="false">AVERAGEA(U89,S89)</f>
        <v>87.7</v>
      </c>
      <c r="U89" s="53" t="n">
        <v>91.4</v>
      </c>
      <c r="V89" s="96" t="n">
        <v>60</v>
      </c>
      <c r="W89" s="101" t="n">
        <f aca="false">AVERAGEA(X89, V89)</f>
        <v>37.5</v>
      </c>
      <c r="X89" s="56" t="n">
        <v>15</v>
      </c>
      <c r="Y89" s="146" t="n">
        <v>0.83</v>
      </c>
      <c r="Z89" s="52" t="n">
        <f aca="false">AVERAGEA(AA89, Y89)</f>
        <v>6.415</v>
      </c>
      <c r="AA89" s="59" t="n">
        <v>12</v>
      </c>
      <c r="AB89" s="80" t="n">
        <v>0.83</v>
      </c>
      <c r="AC89" s="101" t="n">
        <f aca="false">AVERAGEA(AD89, AB89)</f>
        <v>6.415</v>
      </c>
      <c r="AD89" s="56" t="n">
        <v>12</v>
      </c>
      <c r="AE89" s="51" t="n">
        <v>0.25</v>
      </c>
      <c r="AF89" s="79" t="n">
        <f aca="false">AVERAGEA(AG89, AE89)</f>
        <v>1.625</v>
      </c>
      <c r="AG89" s="53" t="n">
        <v>3</v>
      </c>
      <c r="AH89" s="86" t="n">
        <v>0.5</v>
      </c>
      <c r="AI89" s="79" t="n">
        <f aca="false">AVERAGEA(AJ89, AH89)</f>
        <v>1.75</v>
      </c>
      <c r="AJ89" s="53" t="n">
        <v>3</v>
      </c>
      <c r="AK89" s="80" t="n">
        <v>590</v>
      </c>
      <c r="AL89" s="55" t="n">
        <f aca="false">AVERAGEA(AM89, AK89)</f>
        <v>781</v>
      </c>
      <c r="AM89" s="56" t="n">
        <v>972</v>
      </c>
      <c r="AN89" s="51" t="n">
        <v>15.6</v>
      </c>
      <c r="AO89" s="52" t="n">
        <f aca="false">AVERAGEA(AP89, AN89)</f>
        <v>15.6</v>
      </c>
      <c r="AP89" s="53" t="n">
        <v>15.6</v>
      </c>
      <c r="AQ89" s="80" t="n">
        <v>2.1</v>
      </c>
      <c r="AR89" s="55" t="n">
        <f aca="false">AVERAGEA(AS89, AQ89)</f>
        <v>3.55</v>
      </c>
      <c r="AS89" s="56" t="n">
        <v>5</v>
      </c>
      <c r="AT89" s="51" t="n">
        <v>1.5</v>
      </c>
      <c r="AU89" s="52" t="n">
        <f aca="false">AVERAGEA(AT89,AV89)</f>
        <v>13.85</v>
      </c>
      <c r="AV89" s="53" t="n">
        <v>26.2</v>
      </c>
      <c r="AW89" s="80" t="n">
        <v>1.5</v>
      </c>
      <c r="AX89" s="55" t="n">
        <f aca="false">AVERAGEA(AW89,AY89)</f>
        <v>21.4</v>
      </c>
      <c r="AY89" s="56" t="n">
        <v>41.3</v>
      </c>
      <c r="AZ89" s="51" t="n">
        <v>3.5</v>
      </c>
      <c r="BA89" s="52" t="n">
        <f aca="false">AVERAGEA(AZ89,BB89)</f>
        <v>39.725</v>
      </c>
      <c r="BB89" s="53" t="n">
        <v>75.95</v>
      </c>
      <c r="BC89" s="80" t="n">
        <v>0.25</v>
      </c>
      <c r="BD89" s="55" t="n">
        <f aca="false">AVERAGEA(BE89, BC89)</f>
        <v>0.375</v>
      </c>
      <c r="BE89" s="56" t="n">
        <v>0.5</v>
      </c>
      <c r="BF89" s="51" t="n">
        <v>30</v>
      </c>
      <c r="BG89" s="52"/>
      <c r="BH89" s="53" t="n">
        <v>60</v>
      </c>
      <c r="BI89" s="80" t="n">
        <v>1</v>
      </c>
      <c r="BJ89" s="55"/>
      <c r="BK89" s="56" t="n">
        <v>1.5</v>
      </c>
      <c r="BL89" s="51" t="n">
        <v>2</v>
      </c>
      <c r="BM89" s="52" t="n">
        <f aca="false">AVERAGEA(BL89,BN89)</f>
        <v>2.5</v>
      </c>
      <c r="BN89" s="53" t="n">
        <v>3</v>
      </c>
    </row>
    <row r="90" customFormat="false" ht="15" hidden="false" customHeight="true" outlineLevel="0" collapsed="false">
      <c r="B90" s="132"/>
      <c r="C90" s="142"/>
      <c r="D90" s="143"/>
      <c r="E90" s="144" t="s">
        <v>64</v>
      </c>
      <c r="F90" s="145"/>
      <c r="G90" s="84" t="n">
        <v>55.0966196323963</v>
      </c>
      <c r="H90" s="73" t="n">
        <f aca="false">AVERAGE(G90,I90)</f>
        <v>56.5705397689767</v>
      </c>
      <c r="I90" s="85" t="n">
        <v>58.044459905557</v>
      </c>
      <c r="J90" s="51" t="s">
        <v>44</v>
      </c>
      <c r="K90" s="52"/>
      <c r="L90" s="53" t="s">
        <v>44</v>
      </c>
      <c r="M90" s="54" t="s">
        <v>44</v>
      </c>
      <c r="N90" s="55"/>
      <c r="O90" s="56" t="s">
        <v>44</v>
      </c>
      <c r="P90" s="54" t="s">
        <v>44</v>
      </c>
      <c r="Q90" s="55"/>
      <c r="R90" s="55" t="s">
        <v>44</v>
      </c>
      <c r="S90" s="51" t="n">
        <v>84</v>
      </c>
      <c r="T90" s="52" t="n">
        <f aca="false">AVERAGEA(U90,S90)</f>
        <v>87.7</v>
      </c>
      <c r="U90" s="53" t="n">
        <v>91.4</v>
      </c>
      <c r="V90" s="96" t="n">
        <v>60</v>
      </c>
      <c r="W90" s="101" t="n">
        <f aca="false">AVERAGEA(X90, V90)</f>
        <v>37.5</v>
      </c>
      <c r="X90" s="56" t="n">
        <v>15</v>
      </c>
      <c r="Y90" s="146" t="n">
        <v>0.83</v>
      </c>
      <c r="Z90" s="52" t="n">
        <f aca="false">AVERAGEA(AA90, Y90)</f>
        <v>6.415</v>
      </c>
      <c r="AA90" s="59" t="n">
        <v>12</v>
      </c>
      <c r="AB90" s="80" t="n">
        <v>0.83</v>
      </c>
      <c r="AC90" s="101" t="n">
        <f aca="false">AVERAGEA(AD90, AB90)</f>
        <v>6.415</v>
      </c>
      <c r="AD90" s="56" t="n">
        <v>12</v>
      </c>
      <c r="AE90" s="51" t="n">
        <v>0.25</v>
      </c>
      <c r="AF90" s="79" t="n">
        <f aca="false">AVERAGEA(AG90, AE90)</f>
        <v>1.625</v>
      </c>
      <c r="AG90" s="53" t="n">
        <v>3</v>
      </c>
      <c r="AH90" s="86" t="n">
        <v>0.5</v>
      </c>
      <c r="AI90" s="79" t="n">
        <f aca="false">AVERAGEA(AJ90, AH90)</f>
        <v>1.75</v>
      </c>
      <c r="AJ90" s="53" t="n">
        <v>3</v>
      </c>
      <c r="AK90" s="80" t="n">
        <v>590</v>
      </c>
      <c r="AL90" s="55" t="n">
        <f aca="false">AVERAGEA(AM90, AK90)</f>
        <v>781</v>
      </c>
      <c r="AM90" s="56" t="n">
        <v>972</v>
      </c>
      <c r="AN90" s="51" t="n">
        <v>15.6</v>
      </c>
      <c r="AO90" s="52" t="n">
        <f aca="false">AVERAGEA(AP90, AN90)</f>
        <v>15.6</v>
      </c>
      <c r="AP90" s="53" t="n">
        <v>15.6</v>
      </c>
      <c r="AQ90" s="80" t="n">
        <v>2.1</v>
      </c>
      <c r="AR90" s="55" t="n">
        <f aca="false">AVERAGEA(AS90, AQ90)</f>
        <v>3.55</v>
      </c>
      <c r="AS90" s="56" t="n">
        <v>5</v>
      </c>
      <c r="AT90" s="51" t="n">
        <v>1.5</v>
      </c>
      <c r="AU90" s="52" t="n">
        <f aca="false">AVERAGEA(AT90,AV90)</f>
        <v>13.85</v>
      </c>
      <c r="AV90" s="53" t="n">
        <v>26.2</v>
      </c>
      <c r="AW90" s="80" t="n">
        <v>1.5</v>
      </c>
      <c r="AX90" s="55" t="n">
        <f aca="false">AVERAGEA(AW90,AY90)</f>
        <v>21.4</v>
      </c>
      <c r="AY90" s="56" t="n">
        <v>41.3</v>
      </c>
      <c r="AZ90" s="51" t="n">
        <v>3.5</v>
      </c>
      <c r="BA90" s="52" t="n">
        <f aca="false">AVERAGEA(AZ90,BB90)</f>
        <v>39.725</v>
      </c>
      <c r="BB90" s="53" t="n">
        <v>75.95</v>
      </c>
      <c r="BC90" s="80" t="n">
        <v>0.25</v>
      </c>
      <c r="BD90" s="55" t="n">
        <f aca="false">AVERAGEA(BE90, BC90)</f>
        <v>0.375</v>
      </c>
      <c r="BE90" s="56" t="n">
        <v>0.5</v>
      </c>
      <c r="BF90" s="51" t="n">
        <v>30</v>
      </c>
      <c r="BG90" s="52"/>
      <c r="BH90" s="53" t="n">
        <v>60</v>
      </c>
      <c r="BI90" s="80" t="n">
        <v>1</v>
      </c>
      <c r="BJ90" s="55"/>
      <c r="BK90" s="56" t="n">
        <v>1.5</v>
      </c>
      <c r="BL90" s="51" t="n">
        <v>2</v>
      </c>
      <c r="BM90" s="52" t="n">
        <f aca="false">AVERAGEA(BL90,BN90)</f>
        <v>2.5</v>
      </c>
      <c r="BN90" s="53" t="n">
        <v>3</v>
      </c>
    </row>
    <row r="91" customFormat="false" ht="15" hidden="false" customHeight="true" outlineLevel="0" collapsed="false">
      <c r="B91" s="132"/>
      <c r="C91" s="142"/>
      <c r="D91" s="143"/>
      <c r="E91" s="144" t="s">
        <v>65</v>
      </c>
      <c r="F91" s="145"/>
      <c r="G91" s="84" t="n">
        <v>49.8329809406148</v>
      </c>
      <c r="H91" s="73" t="n">
        <f aca="false">AVERAGE(G91,I91)</f>
        <v>52.4532572362791</v>
      </c>
      <c r="I91" s="85" t="n">
        <v>55.0735335319433</v>
      </c>
      <c r="J91" s="51" t="s">
        <v>44</v>
      </c>
      <c r="K91" s="52"/>
      <c r="L91" s="53" t="s">
        <v>44</v>
      </c>
      <c r="M91" s="54" t="s">
        <v>44</v>
      </c>
      <c r="N91" s="55"/>
      <c r="O91" s="56" t="s">
        <v>44</v>
      </c>
      <c r="P91" s="54" t="s">
        <v>44</v>
      </c>
      <c r="Q91" s="55"/>
      <c r="R91" s="55" t="s">
        <v>44</v>
      </c>
      <c r="S91" s="51" t="n">
        <v>84</v>
      </c>
      <c r="T91" s="52" t="n">
        <f aca="false">AVERAGEA(U91,S91)</f>
        <v>87.7</v>
      </c>
      <c r="U91" s="53" t="n">
        <v>91.4</v>
      </c>
      <c r="V91" s="96" t="n">
        <v>60</v>
      </c>
      <c r="W91" s="101" t="n">
        <f aca="false">AVERAGEA(X91, V91)</f>
        <v>37.5</v>
      </c>
      <c r="X91" s="56" t="n">
        <v>15</v>
      </c>
      <c r="Y91" s="146" t="n">
        <v>0.83</v>
      </c>
      <c r="Z91" s="52" t="n">
        <f aca="false">AVERAGEA(AA91, Y91)</f>
        <v>6.415</v>
      </c>
      <c r="AA91" s="59" t="n">
        <v>12</v>
      </c>
      <c r="AB91" s="80" t="n">
        <v>0.83</v>
      </c>
      <c r="AC91" s="101" t="n">
        <f aca="false">AVERAGEA(AD91, AB91)</f>
        <v>6.415</v>
      </c>
      <c r="AD91" s="56" t="n">
        <v>12</v>
      </c>
      <c r="AE91" s="51" t="n">
        <v>0.25</v>
      </c>
      <c r="AF91" s="79" t="n">
        <f aca="false">AVERAGEA(AG91, AE91)</f>
        <v>1.625</v>
      </c>
      <c r="AG91" s="53" t="n">
        <v>3</v>
      </c>
      <c r="AH91" s="86" t="n">
        <v>0.5</v>
      </c>
      <c r="AI91" s="79" t="n">
        <f aca="false">AVERAGEA(AJ91, AH91)</f>
        <v>1.75</v>
      </c>
      <c r="AJ91" s="53" t="n">
        <v>3</v>
      </c>
      <c r="AK91" s="80" t="n">
        <v>590</v>
      </c>
      <c r="AL91" s="55" t="n">
        <f aca="false">AVERAGEA(AM91, AK91)</f>
        <v>781</v>
      </c>
      <c r="AM91" s="56" t="n">
        <v>972</v>
      </c>
      <c r="AN91" s="51" t="n">
        <v>15.6</v>
      </c>
      <c r="AO91" s="52" t="n">
        <f aca="false">AVERAGEA(AP91, AN91)</f>
        <v>15.6</v>
      </c>
      <c r="AP91" s="53" t="n">
        <v>15.6</v>
      </c>
      <c r="AQ91" s="80" t="n">
        <v>2.1</v>
      </c>
      <c r="AR91" s="55" t="n">
        <f aca="false">AVERAGEA(AS91, AQ91)</f>
        <v>3.55</v>
      </c>
      <c r="AS91" s="56" t="n">
        <v>5</v>
      </c>
      <c r="AT91" s="51" t="n">
        <v>1.5</v>
      </c>
      <c r="AU91" s="52" t="n">
        <f aca="false">AVERAGEA(AT91,AV91)</f>
        <v>13.85</v>
      </c>
      <c r="AV91" s="53" t="n">
        <v>26.2</v>
      </c>
      <c r="AW91" s="80" t="n">
        <v>1.5</v>
      </c>
      <c r="AX91" s="55" t="n">
        <f aca="false">AVERAGEA(AW91,AY91)</f>
        <v>21.4</v>
      </c>
      <c r="AY91" s="56" t="n">
        <v>41.3</v>
      </c>
      <c r="AZ91" s="51" t="n">
        <v>3.5</v>
      </c>
      <c r="BA91" s="52" t="n">
        <f aca="false">AVERAGEA(AZ91,BB91)</f>
        <v>39.725</v>
      </c>
      <c r="BB91" s="53" t="n">
        <v>75.95</v>
      </c>
      <c r="BC91" s="80" t="n">
        <v>0.25</v>
      </c>
      <c r="BD91" s="55" t="n">
        <f aca="false">AVERAGEA(BE91, BC91)</f>
        <v>0.375</v>
      </c>
      <c r="BE91" s="56" t="n">
        <v>0.5</v>
      </c>
      <c r="BF91" s="51" t="n">
        <v>30</v>
      </c>
      <c r="BG91" s="52"/>
      <c r="BH91" s="53" t="n">
        <v>60</v>
      </c>
      <c r="BI91" s="80" t="n">
        <v>1</v>
      </c>
      <c r="BJ91" s="55"/>
      <c r="BK91" s="56" t="n">
        <v>1.5</v>
      </c>
      <c r="BL91" s="51" t="n">
        <v>2</v>
      </c>
      <c r="BM91" s="52" t="n">
        <f aca="false">AVERAGEA(BL91,BN91)</f>
        <v>2.5</v>
      </c>
      <c r="BN91" s="53" t="n">
        <v>3</v>
      </c>
    </row>
    <row r="92" customFormat="false" ht="15" hidden="false" customHeight="true" outlineLevel="0" collapsed="false">
      <c r="B92" s="132"/>
      <c r="C92" s="142"/>
      <c r="D92" s="143"/>
      <c r="E92" s="144" t="s">
        <v>66</v>
      </c>
      <c r="F92" s="145"/>
      <c r="G92" s="84" t="n">
        <v>45.47</v>
      </c>
      <c r="H92" s="73" t="n">
        <f aca="false">AVERAGE(G92,I92)</f>
        <v>47.5294118602507</v>
      </c>
      <c r="I92" s="85" t="n">
        <v>49.5888237205014</v>
      </c>
      <c r="J92" s="51" t="s">
        <v>44</v>
      </c>
      <c r="K92" s="52"/>
      <c r="L92" s="53" t="s">
        <v>44</v>
      </c>
      <c r="M92" s="54" t="s">
        <v>44</v>
      </c>
      <c r="N92" s="55"/>
      <c r="O92" s="56" t="s">
        <v>44</v>
      </c>
      <c r="P92" s="54" t="s">
        <v>44</v>
      </c>
      <c r="Q92" s="55"/>
      <c r="R92" s="55" t="s">
        <v>44</v>
      </c>
      <c r="S92" s="51" t="n">
        <v>84</v>
      </c>
      <c r="T92" s="52" t="n">
        <f aca="false">AVERAGEA(U92,S92)</f>
        <v>87.7</v>
      </c>
      <c r="U92" s="53" t="n">
        <v>91.4</v>
      </c>
      <c r="V92" s="96" t="n">
        <v>60</v>
      </c>
      <c r="W92" s="101" t="n">
        <f aca="false">AVERAGEA(X92, V92)</f>
        <v>37.5</v>
      </c>
      <c r="X92" s="56" t="n">
        <v>15</v>
      </c>
      <c r="Y92" s="146" t="n">
        <v>0.83</v>
      </c>
      <c r="Z92" s="52" t="n">
        <f aca="false">AVERAGEA(AA92, Y92)</f>
        <v>6.415</v>
      </c>
      <c r="AA92" s="59" t="n">
        <v>12</v>
      </c>
      <c r="AB92" s="80" t="n">
        <v>0.83</v>
      </c>
      <c r="AC92" s="101" t="n">
        <f aca="false">AVERAGEA(AD92, AB92)</f>
        <v>6.415</v>
      </c>
      <c r="AD92" s="56" t="n">
        <v>12</v>
      </c>
      <c r="AE92" s="51" t="n">
        <v>0.25</v>
      </c>
      <c r="AF92" s="79" t="n">
        <f aca="false">AVERAGEA(AG92, AE92)</f>
        <v>1.625</v>
      </c>
      <c r="AG92" s="53" t="n">
        <v>3</v>
      </c>
      <c r="AH92" s="86" t="n">
        <v>0.5</v>
      </c>
      <c r="AI92" s="79" t="n">
        <f aca="false">AVERAGEA(AJ92, AH92)</f>
        <v>1.75</v>
      </c>
      <c r="AJ92" s="53" t="n">
        <v>3</v>
      </c>
      <c r="AK92" s="80" t="n">
        <v>590</v>
      </c>
      <c r="AL92" s="55" t="n">
        <f aca="false">AVERAGEA(AM92, AK92)</f>
        <v>781</v>
      </c>
      <c r="AM92" s="56" t="n">
        <v>972</v>
      </c>
      <c r="AN92" s="51" t="n">
        <v>15.6</v>
      </c>
      <c r="AO92" s="52" t="n">
        <f aca="false">AVERAGEA(AP92, AN92)</f>
        <v>15.6</v>
      </c>
      <c r="AP92" s="53" t="n">
        <v>15.6</v>
      </c>
      <c r="AQ92" s="80" t="n">
        <v>2.1</v>
      </c>
      <c r="AR92" s="55" t="n">
        <f aca="false">AVERAGEA(AS92, AQ92)</f>
        <v>3.55</v>
      </c>
      <c r="AS92" s="56" t="n">
        <v>5</v>
      </c>
      <c r="AT92" s="51" t="n">
        <v>1.5</v>
      </c>
      <c r="AU92" s="52" t="n">
        <f aca="false">AVERAGEA(AT92,AV92)</f>
        <v>13.85</v>
      </c>
      <c r="AV92" s="53" t="n">
        <v>26.2</v>
      </c>
      <c r="AW92" s="80" t="n">
        <v>1.5</v>
      </c>
      <c r="AX92" s="55" t="n">
        <f aca="false">AVERAGEA(AW92,AY92)</f>
        <v>21.4</v>
      </c>
      <c r="AY92" s="56" t="n">
        <v>41.3</v>
      </c>
      <c r="AZ92" s="51" t="n">
        <v>3.5</v>
      </c>
      <c r="BA92" s="52" t="n">
        <f aca="false">AVERAGEA(AZ92,BB92)</f>
        <v>39.725</v>
      </c>
      <c r="BB92" s="53" t="n">
        <v>75.95</v>
      </c>
      <c r="BC92" s="80" t="n">
        <v>0.25</v>
      </c>
      <c r="BD92" s="55" t="n">
        <f aca="false">AVERAGEA(BE92, BC92)</f>
        <v>0.375</v>
      </c>
      <c r="BE92" s="56" t="n">
        <v>0.5</v>
      </c>
      <c r="BF92" s="51" t="n">
        <v>30</v>
      </c>
      <c r="BG92" s="52"/>
      <c r="BH92" s="53" t="n">
        <v>60</v>
      </c>
      <c r="BI92" s="80" t="n">
        <v>1</v>
      </c>
      <c r="BJ92" s="55"/>
      <c r="BK92" s="56" t="n">
        <v>1.5</v>
      </c>
      <c r="BL92" s="51" t="n">
        <v>2</v>
      </c>
      <c r="BM92" s="52" t="n">
        <f aca="false">AVERAGEA(BL92,BN92)</f>
        <v>2.5</v>
      </c>
      <c r="BN92" s="53" t="n">
        <v>3</v>
      </c>
    </row>
    <row r="93" customFormat="false" ht="15" hidden="false" customHeight="true" outlineLevel="0" collapsed="false">
      <c r="B93" s="132"/>
      <c r="C93" s="142"/>
      <c r="D93" s="143" t="s">
        <v>72</v>
      </c>
      <c r="E93" s="144" t="s">
        <v>63</v>
      </c>
      <c r="F93" s="145" t="s">
        <v>73</v>
      </c>
      <c r="G93" s="84" t="n">
        <v>60.505</v>
      </c>
      <c r="H93" s="73" t="n">
        <f aca="false">AVERAGE(G93,I93)</f>
        <v>60.7975</v>
      </c>
      <c r="I93" s="85" t="n">
        <v>61.09</v>
      </c>
      <c r="J93" s="51" t="s">
        <v>44</v>
      </c>
      <c r="K93" s="52"/>
      <c r="L93" s="53" t="s">
        <v>44</v>
      </c>
      <c r="M93" s="54" t="s">
        <v>44</v>
      </c>
      <c r="N93" s="55"/>
      <c r="O93" s="56" t="s">
        <v>44</v>
      </c>
      <c r="P93" s="54" t="s">
        <v>44</v>
      </c>
      <c r="Q93" s="55"/>
      <c r="R93" s="55" t="s">
        <v>44</v>
      </c>
      <c r="S93" s="51" t="n">
        <v>84</v>
      </c>
      <c r="T93" s="52" t="n">
        <f aca="false">AVERAGEA(U93,S93)</f>
        <v>87.7</v>
      </c>
      <c r="U93" s="53" t="n">
        <v>91.4</v>
      </c>
      <c r="V93" s="80" t="n">
        <v>50</v>
      </c>
      <c r="W93" s="101" t="n">
        <f aca="false">AVERAGEA(X93, V93)</f>
        <v>32.5</v>
      </c>
      <c r="X93" s="56" t="n">
        <v>15</v>
      </c>
      <c r="Y93" s="146" t="n">
        <v>0.83</v>
      </c>
      <c r="Z93" s="52" t="n">
        <f aca="false">AVERAGEA(AA93, Y93)</f>
        <v>6.415</v>
      </c>
      <c r="AA93" s="59" t="n">
        <v>12</v>
      </c>
      <c r="AB93" s="80" t="n">
        <v>0.83</v>
      </c>
      <c r="AC93" s="101" t="n">
        <f aca="false">AVERAGEA(AD93, AB93)</f>
        <v>6.415</v>
      </c>
      <c r="AD93" s="56" t="n">
        <v>12</v>
      </c>
      <c r="AE93" s="51" t="n">
        <v>0.25</v>
      </c>
      <c r="AF93" s="79" t="n">
        <f aca="false">AVERAGEA(AG93, AE93)</f>
        <v>1.125</v>
      </c>
      <c r="AG93" s="53" t="n">
        <v>2</v>
      </c>
      <c r="AH93" s="86" t="n">
        <v>0.5</v>
      </c>
      <c r="AI93" s="79" t="n">
        <f aca="false">AVERAGEA(AJ93, AH93)</f>
        <v>1.25</v>
      </c>
      <c r="AJ93" s="53" t="n">
        <v>2</v>
      </c>
      <c r="AK93" s="80" t="n">
        <v>590</v>
      </c>
      <c r="AL93" s="55" t="n">
        <f aca="false">AVERAGEA(AM93, AK93)</f>
        <v>900</v>
      </c>
      <c r="AM93" s="56" t="n">
        <v>1210</v>
      </c>
      <c r="AN93" s="51" t="n">
        <v>17</v>
      </c>
      <c r="AO93" s="52" t="n">
        <f aca="false">AVERAGEA(AP93, AN93)</f>
        <v>18.5</v>
      </c>
      <c r="AP93" s="53" t="n">
        <v>20</v>
      </c>
      <c r="AQ93" s="75" t="n">
        <v>1.3</v>
      </c>
      <c r="AR93" s="76" t="n">
        <f aca="false">AVERAGEA(AS93, AQ93)</f>
        <v>3.15</v>
      </c>
      <c r="AS93" s="77" t="n">
        <v>5</v>
      </c>
      <c r="AT93" s="51" t="n">
        <v>1.5</v>
      </c>
      <c r="AU93" s="52" t="n">
        <f aca="false">AVERAGEA(AT93,AV93)</f>
        <v>13.85</v>
      </c>
      <c r="AV93" s="53" t="n">
        <v>26.2</v>
      </c>
      <c r="AW93" s="80" t="n">
        <v>1.5</v>
      </c>
      <c r="AX93" s="55" t="n">
        <f aca="false">AVERAGEA(AW93,AY93)</f>
        <v>21.4</v>
      </c>
      <c r="AY93" s="56" t="n">
        <v>41.3</v>
      </c>
      <c r="AZ93" s="51" t="n">
        <v>3.5</v>
      </c>
      <c r="BA93" s="52" t="n">
        <f aca="false">AVERAGEA(AZ93,BB93)</f>
        <v>39.725</v>
      </c>
      <c r="BB93" s="53" t="n">
        <v>75.95</v>
      </c>
      <c r="BC93" s="80" t="n">
        <v>0.25</v>
      </c>
      <c r="BD93" s="55" t="n">
        <f aca="false">AVERAGEA(BE93, BC93)</f>
        <v>0.375</v>
      </c>
      <c r="BE93" s="56" t="n">
        <v>0.5</v>
      </c>
      <c r="BF93" s="51" t="n">
        <v>30</v>
      </c>
      <c r="BG93" s="52"/>
      <c r="BH93" s="53" t="n">
        <v>60</v>
      </c>
      <c r="BI93" s="80" t="n">
        <v>1</v>
      </c>
      <c r="BJ93" s="55"/>
      <c r="BK93" s="56" t="n">
        <v>1.5</v>
      </c>
      <c r="BL93" s="51" t="n">
        <v>2</v>
      </c>
      <c r="BM93" s="52" t="n">
        <f aca="false">AVERAGEA(BL93,BN93)</f>
        <v>2.5</v>
      </c>
      <c r="BN93" s="53" t="n">
        <v>3</v>
      </c>
    </row>
    <row r="94" customFormat="false" ht="15" hidden="false" customHeight="true" outlineLevel="0" collapsed="false">
      <c r="B94" s="132"/>
      <c r="C94" s="142"/>
      <c r="D94" s="143"/>
      <c r="E94" s="144" t="s">
        <v>64</v>
      </c>
      <c r="F94" s="145"/>
      <c r="G94" s="84" t="n">
        <v>60.28</v>
      </c>
      <c r="H94" s="73" t="n">
        <f aca="false">AVERAGE(G94,I94)</f>
        <v>60.39205</v>
      </c>
      <c r="I94" s="85" t="n">
        <v>60.5041</v>
      </c>
      <c r="J94" s="51" t="s">
        <v>44</v>
      </c>
      <c r="K94" s="52"/>
      <c r="L94" s="53" t="s">
        <v>44</v>
      </c>
      <c r="M94" s="54" t="s">
        <v>44</v>
      </c>
      <c r="N94" s="55"/>
      <c r="O94" s="56" t="s">
        <v>44</v>
      </c>
      <c r="P94" s="54" t="s">
        <v>44</v>
      </c>
      <c r="Q94" s="55"/>
      <c r="R94" s="55" t="s">
        <v>44</v>
      </c>
      <c r="S94" s="51" t="n">
        <v>84</v>
      </c>
      <c r="T94" s="52" t="n">
        <f aca="false">AVERAGEA(U94,S94)</f>
        <v>87.7</v>
      </c>
      <c r="U94" s="53" t="n">
        <v>91.4</v>
      </c>
      <c r="V94" s="80" t="n">
        <v>50</v>
      </c>
      <c r="W94" s="101" t="n">
        <f aca="false">AVERAGEA(X94, V94)</f>
        <v>32.5</v>
      </c>
      <c r="X94" s="56" t="n">
        <v>15</v>
      </c>
      <c r="Y94" s="146" t="n">
        <v>0.83</v>
      </c>
      <c r="Z94" s="52" t="n">
        <f aca="false">AVERAGEA(AA94, Y94)</f>
        <v>6.415</v>
      </c>
      <c r="AA94" s="59" t="n">
        <v>12</v>
      </c>
      <c r="AB94" s="80" t="n">
        <v>0.83</v>
      </c>
      <c r="AC94" s="101" t="n">
        <f aca="false">AVERAGEA(AD94, AB94)</f>
        <v>6.415</v>
      </c>
      <c r="AD94" s="56" t="n">
        <v>12</v>
      </c>
      <c r="AE94" s="51" t="n">
        <v>0.25</v>
      </c>
      <c r="AF94" s="79" t="n">
        <f aca="false">AVERAGEA(AG94, AE94)</f>
        <v>1.125</v>
      </c>
      <c r="AG94" s="53" t="n">
        <v>2</v>
      </c>
      <c r="AH94" s="86" t="n">
        <v>0.5</v>
      </c>
      <c r="AI94" s="79" t="n">
        <f aca="false">AVERAGEA(AJ94, AH94)</f>
        <v>1.25</v>
      </c>
      <c r="AJ94" s="53" t="n">
        <v>2</v>
      </c>
      <c r="AK94" s="80" t="n">
        <v>590</v>
      </c>
      <c r="AL94" s="55" t="n">
        <f aca="false">AVERAGEA(AM94, AK94)</f>
        <v>900</v>
      </c>
      <c r="AM94" s="56" t="n">
        <v>1210</v>
      </c>
      <c r="AN94" s="51" t="n">
        <v>17</v>
      </c>
      <c r="AO94" s="52" t="n">
        <f aca="false">AVERAGEA(AP94, AN94)</f>
        <v>18.5</v>
      </c>
      <c r="AP94" s="53" t="n">
        <v>20</v>
      </c>
      <c r="AQ94" s="75" t="n">
        <v>1.3</v>
      </c>
      <c r="AR94" s="76" t="n">
        <f aca="false">AVERAGEA(AS94, AQ94)</f>
        <v>3.15</v>
      </c>
      <c r="AS94" s="77" t="n">
        <v>5</v>
      </c>
      <c r="AT94" s="51" t="n">
        <v>1.5</v>
      </c>
      <c r="AU94" s="52" t="n">
        <f aca="false">AVERAGEA(AT94,AV94)</f>
        <v>13.85</v>
      </c>
      <c r="AV94" s="53" t="n">
        <v>26.2</v>
      </c>
      <c r="AW94" s="54" t="n">
        <v>1.5</v>
      </c>
      <c r="AX94" s="55" t="n">
        <f aca="false">AVERAGEA(AW94,AY94)</f>
        <v>21.4</v>
      </c>
      <c r="AY94" s="56" t="n">
        <v>41.3</v>
      </c>
      <c r="AZ94" s="51" t="n">
        <v>3.5</v>
      </c>
      <c r="BA94" s="52" t="n">
        <f aca="false">AVERAGEA(AZ94,BB94)</f>
        <v>39.725</v>
      </c>
      <c r="BB94" s="53" t="n">
        <v>75.95</v>
      </c>
      <c r="BC94" s="80" t="n">
        <v>0.25</v>
      </c>
      <c r="BD94" s="55" t="n">
        <f aca="false">AVERAGEA(BE94, BC94)</f>
        <v>0.375</v>
      </c>
      <c r="BE94" s="56" t="n">
        <v>0.5</v>
      </c>
      <c r="BF94" s="51" t="n">
        <v>30</v>
      </c>
      <c r="BG94" s="52"/>
      <c r="BH94" s="53" t="n">
        <v>60</v>
      </c>
      <c r="BI94" s="80" t="n">
        <v>1</v>
      </c>
      <c r="BJ94" s="55"/>
      <c r="BK94" s="56" t="n">
        <v>1.5</v>
      </c>
      <c r="BL94" s="51" t="n">
        <v>2</v>
      </c>
      <c r="BM94" s="52" t="n">
        <f aca="false">AVERAGEA(BL94,BN94)</f>
        <v>2.5</v>
      </c>
      <c r="BN94" s="53" t="n">
        <v>3</v>
      </c>
    </row>
    <row r="95" customFormat="false" ht="15" hidden="false" customHeight="true" outlineLevel="0" collapsed="false">
      <c r="B95" s="132"/>
      <c r="C95" s="142"/>
      <c r="D95" s="143"/>
      <c r="E95" s="144" t="s">
        <v>65</v>
      </c>
      <c r="F95" s="145"/>
      <c r="G95" s="84" t="n">
        <v>60.1981</v>
      </c>
      <c r="H95" s="73" t="n">
        <f aca="false">AVERAGE(G95,I95)</f>
        <v>60.2386</v>
      </c>
      <c r="I95" s="85" t="n">
        <v>60.2791</v>
      </c>
      <c r="J95" s="51" t="s">
        <v>44</v>
      </c>
      <c r="K95" s="52"/>
      <c r="L95" s="53" t="s">
        <v>44</v>
      </c>
      <c r="M95" s="54" t="s">
        <v>44</v>
      </c>
      <c r="N95" s="55"/>
      <c r="O95" s="56" t="s">
        <v>44</v>
      </c>
      <c r="P95" s="54" t="s">
        <v>44</v>
      </c>
      <c r="Q95" s="55"/>
      <c r="R95" s="55" t="s">
        <v>44</v>
      </c>
      <c r="S95" s="51" t="n">
        <v>84</v>
      </c>
      <c r="T95" s="52" t="n">
        <f aca="false">AVERAGEA(U95,S95)</f>
        <v>87.7</v>
      </c>
      <c r="U95" s="53" t="n">
        <v>91.4</v>
      </c>
      <c r="V95" s="80" t="n">
        <v>50</v>
      </c>
      <c r="W95" s="101" t="n">
        <f aca="false">AVERAGEA(X95, V95)</f>
        <v>32.5</v>
      </c>
      <c r="X95" s="56" t="n">
        <v>15</v>
      </c>
      <c r="Y95" s="146" t="n">
        <v>0.83</v>
      </c>
      <c r="Z95" s="52" t="n">
        <f aca="false">AVERAGEA(AA95, Y95)</f>
        <v>6.415</v>
      </c>
      <c r="AA95" s="59" t="n">
        <v>12</v>
      </c>
      <c r="AB95" s="80" t="n">
        <v>0.83</v>
      </c>
      <c r="AC95" s="101" t="n">
        <f aca="false">AVERAGEA(AD95, AB95)</f>
        <v>6.415</v>
      </c>
      <c r="AD95" s="56" t="n">
        <v>12</v>
      </c>
      <c r="AE95" s="51" t="n">
        <v>0.25</v>
      </c>
      <c r="AF95" s="79" t="n">
        <f aca="false">AVERAGEA(AG95, AE95)</f>
        <v>1.125</v>
      </c>
      <c r="AG95" s="53" t="n">
        <v>2</v>
      </c>
      <c r="AH95" s="86" t="n">
        <v>0.5</v>
      </c>
      <c r="AI95" s="79" t="n">
        <f aca="false">AVERAGEA(AJ95, AH95)</f>
        <v>1.25</v>
      </c>
      <c r="AJ95" s="53" t="n">
        <v>2</v>
      </c>
      <c r="AK95" s="80" t="n">
        <v>590</v>
      </c>
      <c r="AL95" s="55" t="n">
        <f aca="false">AVERAGEA(AM95, AK95)</f>
        <v>900</v>
      </c>
      <c r="AM95" s="56" t="n">
        <v>1210</v>
      </c>
      <c r="AN95" s="51" t="n">
        <v>17</v>
      </c>
      <c r="AO95" s="52" t="n">
        <f aca="false">AVERAGEA(AP95, AN95)</f>
        <v>18.5</v>
      </c>
      <c r="AP95" s="53" t="n">
        <v>20</v>
      </c>
      <c r="AQ95" s="75" t="n">
        <v>1.3</v>
      </c>
      <c r="AR95" s="76" t="n">
        <f aca="false">AVERAGEA(AS95, AQ95)</f>
        <v>3.15</v>
      </c>
      <c r="AS95" s="77" t="n">
        <v>5</v>
      </c>
      <c r="AT95" s="51" t="n">
        <v>1.5</v>
      </c>
      <c r="AU95" s="52" t="n">
        <f aca="false">AVERAGEA(AT95,AV95)</f>
        <v>13.85</v>
      </c>
      <c r="AV95" s="53" t="n">
        <v>26.2</v>
      </c>
      <c r="AW95" s="54" t="n">
        <v>1.5</v>
      </c>
      <c r="AX95" s="55" t="n">
        <f aca="false">AVERAGEA(AW95,AY95)</f>
        <v>21.4</v>
      </c>
      <c r="AY95" s="56" t="n">
        <v>41.3</v>
      </c>
      <c r="AZ95" s="51" t="n">
        <v>3.5</v>
      </c>
      <c r="BA95" s="52" t="n">
        <f aca="false">AVERAGEA(AZ95,BB95)</f>
        <v>39.725</v>
      </c>
      <c r="BB95" s="53" t="n">
        <v>75.95</v>
      </c>
      <c r="BC95" s="80" t="n">
        <v>0.25</v>
      </c>
      <c r="BD95" s="55" t="n">
        <f aca="false">AVERAGEA(BE95, BC95)</f>
        <v>0.375</v>
      </c>
      <c r="BE95" s="56" t="n">
        <v>0.5</v>
      </c>
      <c r="BF95" s="51" t="n">
        <v>30</v>
      </c>
      <c r="BG95" s="52"/>
      <c r="BH95" s="53" t="n">
        <v>60</v>
      </c>
      <c r="BI95" s="80" t="n">
        <v>1</v>
      </c>
      <c r="BJ95" s="55"/>
      <c r="BK95" s="56" t="n">
        <v>1.5</v>
      </c>
      <c r="BL95" s="51" t="n">
        <v>2</v>
      </c>
      <c r="BM95" s="52" t="n">
        <f aca="false">AVERAGEA(BL95,BN95)</f>
        <v>2.5</v>
      </c>
      <c r="BN95" s="53" t="n">
        <v>3</v>
      </c>
    </row>
    <row r="96" customFormat="false" ht="15" hidden="false" customHeight="true" outlineLevel="0" collapsed="false">
      <c r="B96" s="132"/>
      <c r="C96" s="142"/>
      <c r="D96" s="143"/>
      <c r="E96" s="144" t="s">
        <v>66</v>
      </c>
      <c r="F96" s="145"/>
      <c r="G96" s="84" t="n">
        <v>60.1909</v>
      </c>
      <c r="H96" s="73" t="n">
        <f aca="false">AVERAGE(G96,I96)</f>
        <v>60.19405</v>
      </c>
      <c r="I96" s="85" t="n">
        <v>60.1972</v>
      </c>
      <c r="J96" s="51" t="s">
        <v>44</v>
      </c>
      <c r="K96" s="52"/>
      <c r="L96" s="53" t="s">
        <v>44</v>
      </c>
      <c r="M96" s="54" t="s">
        <v>44</v>
      </c>
      <c r="N96" s="55"/>
      <c r="O96" s="56" t="s">
        <v>44</v>
      </c>
      <c r="P96" s="54" t="s">
        <v>44</v>
      </c>
      <c r="Q96" s="55"/>
      <c r="R96" s="55" t="s">
        <v>44</v>
      </c>
      <c r="S96" s="51" t="n">
        <v>84</v>
      </c>
      <c r="T96" s="52" t="n">
        <f aca="false">AVERAGEA(U96,S96)</f>
        <v>87.7</v>
      </c>
      <c r="U96" s="53" t="n">
        <v>91.4</v>
      </c>
      <c r="V96" s="80" t="n">
        <v>50</v>
      </c>
      <c r="W96" s="101" t="n">
        <f aca="false">AVERAGEA(X96, V96)</f>
        <v>32.5</v>
      </c>
      <c r="X96" s="56" t="n">
        <v>15</v>
      </c>
      <c r="Y96" s="146" t="n">
        <v>0.83</v>
      </c>
      <c r="Z96" s="52" t="n">
        <f aca="false">AVERAGEA(AA96, Y96)</f>
        <v>6.415</v>
      </c>
      <c r="AA96" s="59" t="n">
        <v>12</v>
      </c>
      <c r="AB96" s="80" t="n">
        <v>0.83</v>
      </c>
      <c r="AC96" s="101" t="n">
        <f aca="false">AVERAGEA(AD96, AB96)</f>
        <v>6.415</v>
      </c>
      <c r="AD96" s="56" t="n">
        <v>12</v>
      </c>
      <c r="AE96" s="51" t="n">
        <v>0.25</v>
      </c>
      <c r="AF96" s="79" t="n">
        <f aca="false">AVERAGEA(AG96, AE96)</f>
        <v>1.125</v>
      </c>
      <c r="AG96" s="53" t="n">
        <v>2</v>
      </c>
      <c r="AH96" s="86" t="n">
        <v>0.5</v>
      </c>
      <c r="AI96" s="79" t="n">
        <f aca="false">AVERAGEA(AJ96, AH96)</f>
        <v>1.25</v>
      </c>
      <c r="AJ96" s="53" t="n">
        <v>2</v>
      </c>
      <c r="AK96" s="80" t="n">
        <v>590</v>
      </c>
      <c r="AL96" s="55" t="n">
        <f aca="false">AVERAGEA(AM96, AK96)</f>
        <v>900</v>
      </c>
      <c r="AM96" s="56" t="n">
        <v>1210</v>
      </c>
      <c r="AN96" s="51" t="n">
        <v>17</v>
      </c>
      <c r="AO96" s="52" t="n">
        <f aca="false">AVERAGEA(AP96, AN96)</f>
        <v>18.5</v>
      </c>
      <c r="AP96" s="53" t="n">
        <v>20</v>
      </c>
      <c r="AQ96" s="75" t="n">
        <v>1.3</v>
      </c>
      <c r="AR96" s="76" t="n">
        <f aca="false">AVERAGEA(AS96, AQ96)</f>
        <v>3.15</v>
      </c>
      <c r="AS96" s="77" t="n">
        <v>5</v>
      </c>
      <c r="AT96" s="51" t="n">
        <v>1.5</v>
      </c>
      <c r="AU96" s="52" t="n">
        <f aca="false">AVERAGEA(AT96,AV96)</f>
        <v>13.85</v>
      </c>
      <c r="AV96" s="53" t="n">
        <v>26.2</v>
      </c>
      <c r="AW96" s="54" t="n">
        <v>1.5</v>
      </c>
      <c r="AX96" s="55" t="n">
        <f aca="false">AVERAGEA(AW96,AY96)</f>
        <v>21.4</v>
      </c>
      <c r="AY96" s="56" t="n">
        <v>41.3</v>
      </c>
      <c r="AZ96" s="51" t="n">
        <v>3.5</v>
      </c>
      <c r="BA96" s="52" t="n">
        <f aca="false">AVERAGEA(AZ96,BB96)</f>
        <v>39.725</v>
      </c>
      <c r="BB96" s="53" t="n">
        <v>75.95</v>
      </c>
      <c r="BC96" s="80" t="n">
        <v>0.25</v>
      </c>
      <c r="BD96" s="55" t="n">
        <f aca="false">AVERAGEA(BE96, BC96)</f>
        <v>0.375</v>
      </c>
      <c r="BE96" s="56" t="n">
        <v>0.5</v>
      </c>
      <c r="BF96" s="51" t="n">
        <v>30</v>
      </c>
      <c r="BG96" s="52"/>
      <c r="BH96" s="53" t="n">
        <v>60</v>
      </c>
      <c r="BI96" s="80" t="n">
        <v>1</v>
      </c>
      <c r="BJ96" s="55"/>
      <c r="BK96" s="56" t="n">
        <v>1.5</v>
      </c>
      <c r="BL96" s="51" t="n">
        <v>2</v>
      </c>
      <c r="BM96" s="52" t="n">
        <f aca="false">AVERAGEA(BL96,BN96)</f>
        <v>2.5</v>
      </c>
      <c r="BN96" s="53" t="n">
        <v>3</v>
      </c>
    </row>
    <row r="97" customFormat="false" ht="15" hidden="false" customHeight="true" outlineLevel="0" collapsed="false">
      <c r="B97" s="132"/>
      <c r="C97" s="142"/>
      <c r="D97" s="143" t="s">
        <v>74</v>
      </c>
      <c r="E97" s="144" t="s">
        <v>63</v>
      </c>
      <c r="F97" s="145" t="s">
        <v>75</v>
      </c>
      <c r="G97" s="84" t="n">
        <v>61.26</v>
      </c>
      <c r="H97" s="73" t="n">
        <f aca="false">AVERAGE(G97,I97)</f>
        <v>61.91</v>
      </c>
      <c r="I97" s="85" t="n">
        <v>62.56</v>
      </c>
      <c r="J97" s="51" t="s">
        <v>44</v>
      </c>
      <c r="K97" s="52"/>
      <c r="L97" s="53" t="s">
        <v>44</v>
      </c>
      <c r="M97" s="54" t="s">
        <v>44</v>
      </c>
      <c r="N97" s="55"/>
      <c r="O97" s="56" t="s">
        <v>44</v>
      </c>
      <c r="P97" s="54" t="s">
        <v>44</v>
      </c>
      <c r="Q97" s="55"/>
      <c r="R97" s="55" t="s">
        <v>44</v>
      </c>
      <c r="S97" s="51" t="n">
        <v>84</v>
      </c>
      <c r="T97" s="52" t="n">
        <f aca="false">AVERAGEA(U97,S97)</f>
        <v>87.7</v>
      </c>
      <c r="U97" s="53" t="n">
        <v>91.4</v>
      </c>
      <c r="V97" s="80" t="n">
        <v>50</v>
      </c>
      <c r="W97" s="101" t="n">
        <f aca="false">AVERAGEA(X97, V97)</f>
        <v>32.5</v>
      </c>
      <c r="X97" s="56" t="n">
        <v>15</v>
      </c>
      <c r="Y97" s="146" t="n">
        <v>0.83</v>
      </c>
      <c r="Z97" s="52" t="n">
        <f aca="false">AVERAGEA(AA97, Y97)</f>
        <v>6.415</v>
      </c>
      <c r="AA97" s="59" t="n">
        <v>12</v>
      </c>
      <c r="AB97" s="80" t="n">
        <v>0.83</v>
      </c>
      <c r="AC97" s="101" t="n">
        <f aca="false">AVERAGEA(AD97, AB97)</f>
        <v>6.415</v>
      </c>
      <c r="AD97" s="56" t="n">
        <v>12</v>
      </c>
      <c r="AE97" s="51" t="n">
        <v>0.25</v>
      </c>
      <c r="AF97" s="79" t="n">
        <f aca="false">AVERAGEA(AG97, AE97)</f>
        <v>1.125</v>
      </c>
      <c r="AG97" s="53" t="n">
        <v>2</v>
      </c>
      <c r="AH97" s="86" t="n">
        <v>0.5</v>
      </c>
      <c r="AI97" s="79" t="n">
        <f aca="false">AVERAGEA(AJ97, AH97)</f>
        <v>1.25</v>
      </c>
      <c r="AJ97" s="53" t="n">
        <v>2</v>
      </c>
      <c r="AK97" s="80" t="n">
        <v>590</v>
      </c>
      <c r="AL97" s="55" t="n">
        <f aca="false">AVERAGEA(AM97, AK97)</f>
        <v>900</v>
      </c>
      <c r="AM97" s="56" t="n">
        <v>1210</v>
      </c>
      <c r="AN97" s="51" t="n">
        <v>17</v>
      </c>
      <c r="AO97" s="52" t="n">
        <f aca="false">AVERAGEA(AP97, AN97)</f>
        <v>18.5</v>
      </c>
      <c r="AP97" s="53" t="n">
        <v>20</v>
      </c>
      <c r="AQ97" s="75" t="n">
        <v>1.3</v>
      </c>
      <c r="AR97" s="76" t="n">
        <f aca="false">AVERAGEA(AS97, AQ97)</f>
        <v>3.15</v>
      </c>
      <c r="AS97" s="77" t="n">
        <v>5</v>
      </c>
      <c r="AT97" s="51" t="n">
        <v>1.5</v>
      </c>
      <c r="AU97" s="52" t="n">
        <f aca="false">AVERAGEA(AT97,AV97)</f>
        <v>13.85</v>
      </c>
      <c r="AV97" s="53" t="n">
        <v>26.2</v>
      </c>
      <c r="AW97" s="54" t="n">
        <v>1.5</v>
      </c>
      <c r="AX97" s="55" t="n">
        <f aca="false">AVERAGEA(AW97,AY97)</f>
        <v>21.4</v>
      </c>
      <c r="AY97" s="56" t="n">
        <v>41.3</v>
      </c>
      <c r="AZ97" s="51" t="n">
        <v>3.5</v>
      </c>
      <c r="BA97" s="52" t="n">
        <f aca="false">AVERAGEA(AZ97,BB97)</f>
        <v>39.725</v>
      </c>
      <c r="BB97" s="53" t="n">
        <v>75.95</v>
      </c>
      <c r="BC97" s="80" t="n">
        <v>0.25</v>
      </c>
      <c r="BD97" s="55" t="n">
        <f aca="false">AVERAGEA(BE97, BC97)</f>
        <v>0.375</v>
      </c>
      <c r="BE97" s="56" t="n">
        <v>0.5</v>
      </c>
      <c r="BF97" s="51" t="n">
        <v>30</v>
      </c>
      <c r="BG97" s="52"/>
      <c r="BH97" s="53" t="n">
        <v>60</v>
      </c>
      <c r="BI97" s="80" t="n">
        <v>1</v>
      </c>
      <c r="BJ97" s="55"/>
      <c r="BK97" s="56" t="n">
        <v>1.5</v>
      </c>
      <c r="BL97" s="51" t="n">
        <v>2</v>
      </c>
      <c r="BM97" s="52" t="n">
        <f aca="false">AVERAGEA(BL97,BN97)</f>
        <v>2.5</v>
      </c>
      <c r="BN97" s="53" t="n">
        <v>3</v>
      </c>
    </row>
    <row r="98" customFormat="false" ht="15" hidden="false" customHeight="true" outlineLevel="0" collapsed="false">
      <c r="B98" s="132"/>
      <c r="C98" s="142"/>
      <c r="D98" s="143"/>
      <c r="E98" s="144" t="s">
        <v>64</v>
      </c>
      <c r="F98" s="145"/>
      <c r="G98" s="84" t="n">
        <v>60.76</v>
      </c>
      <c r="H98" s="73" t="n">
        <f aca="false">AVERAGE(G98,I98)</f>
        <v>61.009</v>
      </c>
      <c r="I98" s="85" t="n">
        <v>61.258</v>
      </c>
      <c r="J98" s="51" t="s">
        <v>44</v>
      </c>
      <c r="K98" s="52"/>
      <c r="L98" s="53" t="s">
        <v>44</v>
      </c>
      <c r="M98" s="54" t="s">
        <v>44</v>
      </c>
      <c r="N98" s="55"/>
      <c r="O98" s="56" t="s">
        <v>44</v>
      </c>
      <c r="P98" s="54" t="s">
        <v>44</v>
      </c>
      <c r="Q98" s="55"/>
      <c r="R98" s="55" t="s">
        <v>44</v>
      </c>
      <c r="S98" s="51" t="n">
        <v>84</v>
      </c>
      <c r="T98" s="52" t="n">
        <f aca="false">AVERAGEA(U98,S98)</f>
        <v>87.7</v>
      </c>
      <c r="U98" s="53" t="n">
        <v>91.4</v>
      </c>
      <c r="V98" s="80" t="n">
        <v>50</v>
      </c>
      <c r="W98" s="101" t="n">
        <f aca="false">AVERAGEA(X98, V98)</f>
        <v>32.5</v>
      </c>
      <c r="X98" s="56" t="n">
        <v>15</v>
      </c>
      <c r="Y98" s="146" t="n">
        <v>0.83</v>
      </c>
      <c r="Z98" s="52" t="n">
        <f aca="false">AVERAGEA(AA98, Y98)</f>
        <v>6.415</v>
      </c>
      <c r="AA98" s="59" t="n">
        <v>12</v>
      </c>
      <c r="AB98" s="80" t="n">
        <v>0.83</v>
      </c>
      <c r="AC98" s="101" t="n">
        <f aca="false">AVERAGEA(AD98, AB98)</f>
        <v>6.415</v>
      </c>
      <c r="AD98" s="56" t="n">
        <v>12</v>
      </c>
      <c r="AE98" s="51" t="n">
        <v>0.25</v>
      </c>
      <c r="AF98" s="79" t="n">
        <f aca="false">AVERAGEA(AG98, AE98)</f>
        <v>1.125</v>
      </c>
      <c r="AG98" s="53" t="n">
        <v>2</v>
      </c>
      <c r="AH98" s="86" t="n">
        <v>0.5</v>
      </c>
      <c r="AI98" s="79" t="n">
        <f aca="false">AVERAGEA(AJ98, AH98)</f>
        <v>1.25</v>
      </c>
      <c r="AJ98" s="53" t="n">
        <v>2</v>
      </c>
      <c r="AK98" s="80" t="n">
        <v>590</v>
      </c>
      <c r="AL98" s="55" t="n">
        <f aca="false">AVERAGEA(AM98, AK98)</f>
        <v>900</v>
      </c>
      <c r="AM98" s="56" t="n">
        <v>1210</v>
      </c>
      <c r="AN98" s="51" t="n">
        <v>17</v>
      </c>
      <c r="AO98" s="52" t="n">
        <f aca="false">AVERAGEA(AP98, AN98)</f>
        <v>18.5</v>
      </c>
      <c r="AP98" s="53" t="n">
        <v>20</v>
      </c>
      <c r="AQ98" s="75" t="n">
        <v>1.3</v>
      </c>
      <c r="AR98" s="76" t="n">
        <f aca="false">AVERAGEA(AS98, AQ98)</f>
        <v>3.15</v>
      </c>
      <c r="AS98" s="77" t="n">
        <v>5</v>
      </c>
      <c r="AT98" s="51" t="n">
        <v>1.5</v>
      </c>
      <c r="AU98" s="52" t="n">
        <f aca="false">AVERAGEA(AT98,AV98)</f>
        <v>13.85</v>
      </c>
      <c r="AV98" s="53" t="n">
        <v>26.2</v>
      </c>
      <c r="AW98" s="54" t="n">
        <v>1.5</v>
      </c>
      <c r="AX98" s="55" t="n">
        <f aca="false">AVERAGEA(AW98,AY98)</f>
        <v>21.4</v>
      </c>
      <c r="AY98" s="56" t="n">
        <v>41.3</v>
      </c>
      <c r="AZ98" s="51" t="n">
        <v>3.5</v>
      </c>
      <c r="BA98" s="52" t="n">
        <f aca="false">AVERAGEA(AZ98,BB98)</f>
        <v>39.725</v>
      </c>
      <c r="BB98" s="53" t="n">
        <v>75.95</v>
      </c>
      <c r="BC98" s="80" t="n">
        <v>0.25</v>
      </c>
      <c r="BD98" s="55" t="n">
        <f aca="false">AVERAGEA(BE98, BC98)</f>
        <v>0.375</v>
      </c>
      <c r="BE98" s="56" t="n">
        <v>0.5</v>
      </c>
      <c r="BF98" s="51" t="n">
        <v>30</v>
      </c>
      <c r="BG98" s="52"/>
      <c r="BH98" s="53" t="n">
        <v>60</v>
      </c>
      <c r="BI98" s="80" t="n">
        <v>1</v>
      </c>
      <c r="BJ98" s="55"/>
      <c r="BK98" s="56" t="n">
        <v>1.5</v>
      </c>
      <c r="BL98" s="51" t="n">
        <v>2</v>
      </c>
      <c r="BM98" s="52" t="n">
        <f aca="false">AVERAGEA(BL98,BN98)</f>
        <v>2.5</v>
      </c>
      <c r="BN98" s="53" t="n">
        <v>3</v>
      </c>
    </row>
    <row r="99" customFormat="false" ht="15" hidden="false" customHeight="true" outlineLevel="0" collapsed="false">
      <c r="B99" s="132"/>
      <c r="C99" s="142"/>
      <c r="D99" s="143"/>
      <c r="E99" s="144" t="s">
        <v>65</v>
      </c>
      <c r="F99" s="145"/>
      <c r="G99" s="84" t="n">
        <v>60.578</v>
      </c>
      <c r="H99" s="73" t="n">
        <f aca="false">AVERAGE(G99,I99)</f>
        <v>60.668</v>
      </c>
      <c r="I99" s="85" t="n">
        <v>60.758</v>
      </c>
      <c r="J99" s="51" t="s">
        <v>44</v>
      </c>
      <c r="K99" s="52"/>
      <c r="L99" s="53" t="s">
        <v>44</v>
      </c>
      <c r="M99" s="54" t="s">
        <v>44</v>
      </c>
      <c r="N99" s="55"/>
      <c r="O99" s="56" t="s">
        <v>44</v>
      </c>
      <c r="P99" s="54" t="s">
        <v>44</v>
      </c>
      <c r="Q99" s="55"/>
      <c r="R99" s="55" t="s">
        <v>44</v>
      </c>
      <c r="S99" s="51" t="n">
        <v>84</v>
      </c>
      <c r="T99" s="52" t="n">
        <f aca="false">AVERAGEA(U99,S99)</f>
        <v>87.7</v>
      </c>
      <c r="U99" s="53" t="n">
        <v>91.4</v>
      </c>
      <c r="V99" s="80" t="n">
        <v>50</v>
      </c>
      <c r="W99" s="101" t="n">
        <f aca="false">AVERAGEA(X99, V99)</f>
        <v>32.5</v>
      </c>
      <c r="X99" s="56" t="n">
        <v>15</v>
      </c>
      <c r="Y99" s="146" t="n">
        <v>0.83</v>
      </c>
      <c r="Z99" s="52" t="n">
        <f aca="false">AVERAGEA(AA99, Y99)</f>
        <v>6.415</v>
      </c>
      <c r="AA99" s="59" t="n">
        <v>12</v>
      </c>
      <c r="AB99" s="80" t="n">
        <v>0.83</v>
      </c>
      <c r="AC99" s="101" t="n">
        <f aca="false">AVERAGEA(AD99, AB99)</f>
        <v>6.415</v>
      </c>
      <c r="AD99" s="56" t="n">
        <v>12</v>
      </c>
      <c r="AE99" s="51" t="n">
        <v>0.25</v>
      </c>
      <c r="AF99" s="79" t="n">
        <f aca="false">AVERAGEA(AG99, AE99)</f>
        <v>1.125</v>
      </c>
      <c r="AG99" s="53" t="n">
        <v>2</v>
      </c>
      <c r="AH99" s="86" t="n">
        <v>0.5</v>
      </c>
      <c r="AI99" s="79" t="n">
        <f aca="false">AVERAGEA(AJ99, AH99)</f>
        <v>1.25</v>
      </c>
      <c r="AJ99" s="53" t="n">
        <v>2</v>
      </c>
      <c r="AK99" s="80" t="n">
        <v>590</v>
      </c>
      <c r="AL99" s="55" t="n">
        <f aca="false">AVERAGEA(AM99, AK99)</f>
        <v>900</v>
      </c>
      <c r="AM99" s="56" t="n">
        <v>1210</v>
      </c>
      <c r="AN99" s="51" t="n">
        <v>17</v>
      </c>
      <c r="AO99" s="52" t="n">
        <f aca="false">AVERAGEA(AP99, AN99)</f>
        <v>18.5</v>
      </c>
      <c r="AP99" s="53" t="n">
        <v>20</v>
      </c>
      <c r="AQ99" s="75" t="n">
        <v>1.3</v>
      </c>
      <c r="AR99" s="76" t="n">
        <f aca="false">AVERAGEA(AS99, AQ99)</f>
        <v>3.15</v>
      </c>
      <c r="AS99" s="77" t="n">
        <v>5</v>
      </c>
      <c r="AT99" s="51" t="n">
        <v>1.5</v>
      </c>
      <c r="AU99" s="52" t="n">
        <f aca="false">AVERAGEA(AT99,AV99)</f>
        <v>13.85</v>
      </c>
      <c r="AV99" s="53" t="n">
        <v>26.2</v>
      </c>
      <c r="AW99" s="54" t="n">
        <v>1.5</v>
      </c>
      <c r="AX99" s="55" t="n">
        <f aca="false">AVERAGEA(AW99,AY99)</f>
        <v>21.4</v>
      </c>
      <c r="AY99" s="56" t="n">
        <v>41.3</v>
      </c>
      <c r="AZ99" s="51" t="n">
        <v>3.5</v>
      </c>
      <c r="BA99" s="52" t="n">
        <f aca="false">AVERAGEA(AZ99,BB99)</f>
        <v>39.725</v>
      </c>
      <c r="BB99" s="53" t="n">
        <v>75.95</v>
      </c>
      <c r="BC99" s="80" t="n">
        <v>0.25</v>
      </c>
      <c r="BD99" s="55" t="n">
        <f aca="false">AVERAGEA(BE99, BC99)</f>
        <v>0.375</v>
      </c>
      <c r="BE99" s="56" t="n">
        <v>0.5</v>
      </c>
      <c r="BF99" s="51" t="n">
        <v>30</v>
      </c>
      <c r="BG99" s="52"/>
      <c r="BH99" s="53" t="n">
        <v>60</v>
      </c>
      <c r="BI99" s="80" t="n">
        <v>1</v>
      </c>
      <c r="BJ99" s="55"/>
      <c r="BK99" s="56" t="n">
        <v>1.5</v>
      </c>
      <c r="BL99" s="51" t="n">
        <v>2</v>
      </c>
      <c r="BM99" s="52" t="n">
        <f aca="false">AVERAGEA(BL99,BN99)</f>
        <v>2.5</v>
      </c>
      <c r="BN99" s="53" t="n">
        <v>3</v>
      </c>
    </row>
    <row r="100" customFormat="false" ht="15" hidden="false" customHeight="true" outlineLevel="0" collapsed="false">
      <c r="B100" s="132"/>
      <c r="C100" s="142"/>
      <c r="D100" s="143"/>
      <c r="E100" s="144" t="s">
        <v>66</v>
      </c>
      <c r="F100" s="145"/>
      <c r="G100" s="84" t="n">
        <v>60.562</v>
      </c>
      <c r="H100" s="73" t="n">
        <f aca="false">AVERAGE(G100,I100)</f>
        <v>60.569</v>
      </c>
      <c r="I100" s="85" t="n">
        <v>60.576</v>
      </c>
      <c r="J100" s="51" t="s">
        <v>44</v>
      </c>
      <c r="K100" s="52"/>
      <c r="L100" s="53" t="s">
        <v>44</v>
      </c>
      <c r="M100" s="54" t="s">
        <v>44</v>
      </c>
      <c r="N100" s="55"/>
      <c r="O100" s="56" t="s">
        <v>44</v>
      </c>
      <c r="P100" s="54" t="s">
        <v>44</v>
      </c>
      <c r="Q100" s="55"/>
      <c r="R100" s="55" t="s">
        <v>44</v>
      </c>
      <c r="S100" s="51" t="n">
        <v>84</v>
      </c>
      <c r="T100" s="52" t="n">
        <f aca="false">AVERAGEA(U100,S100)</f>
        <v>87.7</v>
      </c>
      <c r="U100" s="53" t="n">
        <v>91.4</v>
      </c>
      <c r="V100" s="80" t="n">
        <v>50</v>
      </c>
      <c r="W100" s="101" t="n">
        <f aca="false">AVERAGEA(X100, V100)</f>
        <v>32.5</v>
      </c>
      <c r="X100" s="56" t="n">
        <v>15</v>
      </c>
      <c r="Y100" s="146" t="n">
        <v>0.83</v>
      </c>
      <c r="Z100" s="52" t="n">
        <f aca="false">AVERAGEA(AA100, Y100)</f>
        <v>6.415</v>
      </c>
      <c r="AA100" s="59" t="n">
        <v>12</v>
      </c>
      <c r="AB100" s="80" t="n">
        <v>0.83</v>
      </c>
      <c r="AC100" s="101" t="n">
        <f aca="false">AVERAGEA(AD100, AB100)</f>
        <v>6.415</v>
      </c>
      <c r="AD100" s="56" t="n">
        <v>12</v>
      </c>
      <c r="AE100" s="51" t="n">
        <v>0.25</v>
      </c>
      <c r="AF100" s="79" t="n">
        <f aca="false">AVERAGEA(AG100, AE100)</f>
        <v>1.125</v>
      </c>
      <c r="AG100" s="53" t="n">
        <v>2</v>
      </c>
      <c r="AH100" s="86" t="n">
        <v>0.5</v>
      </c>
      <c r="AI100" s="79" t="n">
        <f aca="false">AVERAGEA(AJ100, AH100)</f>
        <v>1.25</v>
      </c>
      <c r="AJ100" s="53" t="n">
        <v>2</v>
      </c>
      <c r="AK100" s="80" t="n">
        <v>590</v>
      </c>
      <c r="AL100" s="55" t="n">
        <f aca="false">AVERAGEA(AM100, AK100)</f>
        <v>900</v>
      </c>
      <c r="AM100" s="56" t="n">
        <v>1210</v>
      </c>
      <c r="AN100" s="51" t="n">
        <v>17</v>
      </c>
      <c r="AO100" s="52" t="n">
        <f aca="false">AVERAGEA(AP100, AN100)</f>
        <v>18.5</v>
      </c>
      <c r="AP100" s="53" t="n">
        <v>20</v>
      </c>
      <c r="AQ100" s="75" t="n">
        <v>1.3</v>
      </c>
      <c r="AR100" s="76" t="n">
        <f aca="false">AVERAGEA(AS100, AQ100)</f>
        <v>3.15</v>
      </c>
      <c r="AS100" s="77" t="n">
        <v>5</v>
      </c>
      <c r="AT100" s="51" t="n">
        <v>1.5</v>
      </c>
      <c r="AU100" s="52" t="n">
        <f aca="false">AVERAGEA(AT100,AV100)</f>
        <v>13.85</v>
      </c>
      <c r="AV100" s="53" t="n">
        <v>26.2</v>
      </c>
      <c r="AW100" s="137" t="n">
        <v>1.5</v>
      </c>
      <c r="AX100" s="76" t="n">
        <f aca="false">AVERAGEA(AW100,AY100)</f>
        <v>21.4</v>
      </c>
      <c r="AY100" s="77" t="n">
        <v>41.3</v>
      </c>
      <c r="AZ100" s="51" t="n">
        <v>3.5</v>
      </c>
      <c r="BA100" s="52" t="n">
        <f aca="false">AVERAGEA(AZ100,BB100)</f>
        <v>39.725</v>
      </c>
      <c r="BB100" s="53" t="n">
        <v>75.95</v>
      </c>
      <c r="BC100" s="80" t="n">
        <v>0.25</v>
      </c>
      <c r="BD100" s="55" t="n">
        <f aca="false">AVERAGEA(BE100, BC100)</f>
        <v>0.375</v>
      </c>
      <c r="BE100" s="56" t="n">
        <v>0.5</v>
      </c>
      <c r="BF100" s="51" t="n">
        <v>30</v>
      </c>
      <c r="BG100" s="52"/>
      <c r="BH100" s="53" t="n">
        <v>60</v>
      </c>
      <c r="BI100" s="80" t="n">
        <v>1</v>
      </c>
      <c r="BJ100" s="76"/>
      <c r="BK100" s="56" t="n">
        <v>1.5</v>
      </c>
      <c r="BL100" s="51" t="n">
        <v>2</v>
      </c>
      <c r="BM100" s="52" t="n">
        <f aca="false">AVERAGEA(BL100,BN100)</f>
        <v>2.5</v>
      </c>
      <c r="BN100" s="53" t="n">
        <v>3</v>
      </c>
    </row>
    <row r="101" customFormat="false" ht="15" hidden="false" customHeight="true" outlineLevel="0" collapsed="false">
      <c r="B101" s="132"/>
      <c r="C101" s="142" t="s">
        <v>76</v>
      </c>
      <c r="D101" s="147"/>
      <c r="E101" s="148" t="s">
        <v>63</v>
      </c>
      <c r="F101" s="149"/>
      <c r="G101" s="84" t="n">
        <v>48.3701120188662</v>
      </c>
      <c r="H101" s="73" t="n">
        <f aca="false">AVERAGE(G101,I101)</f>
        <v>49.7424882354571</v>
      </c>
      <c r="I101" s="85" t="n">
        <v>51.1148644520479</v>
      </c>
      <c r="J101" s="51" t="s">
        <v>44</v>
      </c>
      <c r="K101" s="52"/>
      <c r="L101" s="53" t="s">
        <v>44</v>
      </c>
      <c r="M101" s="54" t="s">
        <v>44</v>
      </c>
      <c r="N101" s="55"/>
      <c r="O101" s="56" t="s">
        <v>44</v>
      </c>
      <c r="P101" s="54" t="s">
        <v>44</v>
      </c>
      <c r="Q101" s="55"/>
      <c r="R101" s="55" t="s">
        <v>44</v>
      </c>
      <c r="S101" s="51" t="n">
        <v>60</v>
      </c>
      <c r="T101" s="52" t="n">
        <f aca="false">AVERAGEA(U101,S101)</f>
        <v>75.05</v>
      </c>
      <c r="U101" s="53" t="n">
        <v>90.1</v>
      </c>
      <c r="V101" s="80" t="n">
        <v>50</v>
      </c>
      <c r="W101" s="101" t="n">
        <f aca="false">AVERAGEA(X101, V101)</f>
        <v>35</v>
      </c>
      <c r="X101" s="56" t="n">
        <v>20</v>
      </c>
      <c r="Y101" s="146" t="n">
        <v>0.83</v>
      </c>
      <c r="Z101" s="52" t="n">
        <f aca="false">AVERAGEA(AA101, Y101)</f>
        <v>15.415</v>
      </c>
      <c r="AA101" s="53" t="n">
        <v>30</v>
      </c>
      <c r="AB101" s="80" t="n">
        <v>0.83</v>
      </c>
      <c r="AC101" s="101" t="n">
        <f aca="false">AVERAGEA(AD101, AB101)</f>
        <v>15.415</v>
      </c>
      <c r="AD101" s="56" t="n">
        <v>30</v>
      </c>
      <c r="AE101" s="51" t="n">
        <v>0.1</v>
      </c>
      <c r="AF101" s="79" t="n">
        <f aca="false">AVERAGEA(AG101, AE101)</f>
        <v>0.55</v>
      </c>
      <c r="AG101" s="53" t="n">
        <v>1</v>
      </c>
      <c r="AH101" s="86" t="n">
        <v>0.25</v>
      </c>
      <c r="AI101" s="79" t="n">
        <f aca="false">AVERAGEA(AJ101, AH101)</f>
        <v>0.625</v>
      </c>
      <c r="AJ101" s="53" t="n">
        <v>1</v>
      </c>
      <c r="AK101" s="80" t="n">
        <v>370</v>
      </c>
      <c r="AL101" s="55" t="n">
        <f aca="false">AVERAGEA(AM101, AK101)</f>
        <v>550</v>
      </c>
      <c r="AM101" s="56" t="n">
        <v>730</v>
      </c>
      <c r="AN101" s="51" t="n">
        <v>9</v>
      </c>
      <c r="AO101" s="52" t="n">
        <f aca="false">AVERAGEA(AP101, AN101)</f>
        <v>16.5</v>
      </c>
      <c r="AP101" s="53" t="n">
        <v>24</v>
      </c>
      <c r="AQ101" s="80" t="n">
        <v>0.8</v>
      </c>
      <c r="AR101" s="55" t="n">
        <f aca="false">AVERAGEA(AS101, AQ101)</f>
        <v>2.4</v>
      </c>
      <c r="AS101" s="56" t="n">
        <v>4</v>
      </c>
      <c r="AT101" s="51" t="n">
        <v>0.02</v>
      </c>
      <c r="AU101" s="52" t="n">
        <f aca="false">AVERAGEA(AT101,AV101)</f>
        <v>12.01</v>
      </c>
      <c r="AV101" s="53" t="n">
        <v>24</v>
      </c>
      <c r="AW101" s="54" t="n">
        <v>0.02</v>
      </c>
      <c r="AX101" s="55" t="n">
        <f aca="false">AVERAGEA(AW101,AY101)</f>
        <v>47.26</v>
      </c>
      <c r="AY101" s="56" t="n">
        <v>94.5</v>
      </c>
      <c r="AZ101" s="51" t="n">
        <v>0.06</v>
      </c>
      <c r="BA101" s="52" t="n">
        <f aca="false">AVERAGEA(AZ101,BB101)</f>
        <v>38.53</v>
      </c>
      <c r="BB101" s="53" t="n">
        <v>77</v>
      </c>
      <c r="BC101" s="80" t="n">
        <v>0.66</v>
      </c>
      <c r="BD101" s="55" t="n">
        <f aca="false">AVERAGEA(BE101, BC101)</f>
        <v>0.73</v>
      </c>
      <c r="BE101" s="56" t="n">
        <v>0.8</v>
      </c>
      <c r="BF101" s="51" t="n">
        <v>4</v>
      </c>
      <c r="BG101" s="52" t="n">
        <f aca="false">AVERAGEA(BF101,BH101)</f>
        <v>6</v>
      </c>
      <c r="BH101" s="53" t="n">
        <v>8</v>
      </c>
      <c r="BI101" s="80" t="s">
        <v>77</v>
      </c>
      <c r="BJ101" s="55" t="s">
        <v>78</v>
      </c>
      <c r="BK101" s="56" t="s">
        <v>79</v>
      </c>
      <c r="BL101" s="51" t="s">
        <v>77</v>
      </c>
      <c r="BM101" s="52" t="s">
        <v>78</v>
      </c>
      <c r="BN101" s="53" t="s">
        <v>79</v>
      </c>
    </row>
    <row r="102" customFormat="false" ht="15" hidden="false" customHeight="true" outlineLevel="0" collapsed="false">
      <c r="B102" s="132"/>
      <c r="C102" s="142"/>
      <c r="D102" s="147"/>
      <c r="E102" s="148" t="s">
        <v>64</v>
      </c>
      <c r="F102" s="149"/>
      <c r="G102" s="84" t="n">
        <v>42.5465671923017</v>
      </c>
      <c r="H102" s="73" t="n">
        <f aca="false">AVERAGE(G102,I102)</f>
        <v>45.4512546594961</v>
      </c>
      <c r="I102" s="85" t="n">
        <v>48.3559421266904</v>
      </c>
      <c r="J102" s="51" t="s">
        <v>44</v>
      </c>
      <c r="K102" s="52"/>
      <c r="L102" s="53" t="s">
        <v>44</v>
      </c>
      <c r="M102" s="54" t="s">
        <v>44</v>
      </c>
      <c r="N102" s="55"/>
      <c r="O102" s="56" t="s">
        <v>44</v>
      </c>
      <c r="P102" s="54" t="s">
        <v>44</v>
      </c>
      <c r="Q102" s="55"/>
      <c r="R102" s="55" t="s">
        <v>44</v>
      </c>
      <c r="S102" s="51" t="n">
        <v>60</v>
      </c>
      <c r="T102" s="52" t="n">
        <f aca="false">AVERAGEA(U102,S102)</f>
        <v>75.05</v>
      </c>
      <c r="U102" s="53" t="n">
        <v>90.1</v>
      </c>
      <c r="V102" s="80" t="n">
        <v>50</v>
      </c>
      <c r="W102" s="101" t="n">
        <f aca="false">AVERAGEA(X102, V102)</f>
        <v>35</v>
      </c>
      <c r="X102" s="56" t="n">
        <v>20</v>
      </c>
      <c r="Y102" s="52" t="n">
        <v>0.83</v>
      </c>
      <c r="Z102" s="52" t="n">
        <f aca="false">AVERAGEA(AA102, Y102)</f>
        <v>15.415</v>
      </c>
      <c r="AA102" s="53" t="n">
        <v>30</v>
      </c>
      <c r="AB102" s="80" t="n">
        <v>0.83</v>
      </c>
      <c r="AC102" s="101" t="n">
        <f aca="false">AVERAGEA(AD102, AB102)</f>
        <v>15.415</v>
      </c>
      <c r="AD102" s="56" t="n">
        <v>30</v>
      </c>
      <c r="AE102" s="51" t="n">
        <v>0.1</v>
      </c>
      <c r="AF102" s="79" t="n">
        <f aca="false">AVERAGEA(AG102, AE102)</f>
        <v>0.55</v>
      </c>
      <c r="AG102" s="53" t="n">
        <v>1</v>
      </c>
      <c r="AH102" s="86" t="n">
        <v>0.25</v>
      </c>
      <c r="AI102" s="79" t="n">
        <f aca="false">AVERAGEA(AJ102, AH102)</f>
        <v>0.625</v>
      </c>
      <c r="AJ102" s="53" t="n">
        <v>1</v>
      </c>
      <c r="AK102" s="80" t="n">
        <v>370</v>
      </c>
      <c r="AL102" s="55" t="n">
        <f aca="false">AVERAGEA(AM102, AK102)</f>
        <v>550</v>
      </c>
      <c r="AM102" s="56" t="n">
        <v>730</v>
      </c>
      <c r="AN102" s="51" t="n">
        <v>9</v>
      </c>
      <c r="AO102" s="52" t="n">
        <f aca="false">AVERAGEA(AP102, AN102)</f>
        <v>16.5</v>
      </c>
      <c r="AP102" s="53" t="n">
        <v>24</v>
      </c>
      <c r="AQ102" s="80" t="n">
        <v>0.8</v>
      </c>
      <c r="AR102" s="55" t="n">
        <f aca="false">AVERAGEA(AS102, AQ102)</f>
        <v>2.4</v>
      </c>
      <c r="AS102" s="56" t="n">
        <v>4</v>
      </c>
      <c r="AT102" s="51" t="n">
        <v>0.02</v>
      </c>
      <c r="AU102" s="52" t="n">
        <f aca="false">AVERAGEA(AT102,AV102)</f>
        <v>12.01</v>
      </c>
      <c r="AV102" s="53" t="n">
        <v>24</v>
      </c>
      <c r="AW102" s="80" t="n">
        <v>0.02</v>
      </c>
      <c r="AX102" s="55" t="n">
        <f aca="false">AVERAGEA(AW102,AY102)</f>
        <v>47.26</v>
      </c>
      <c r="AY102" s="56" t="n">
        <v>94.5</v>
      </c>
      <c r="AZ102" s="51" t="n">
        <v>0.06</v>
      </c>
      <c r="BA102" s="52" t="n">
        <f aca="false">AVERAGEA(AZ102,BB102)</f>
        <v>38.53</v>
      </c>
      <c r="BB102" s="53" t="n">
        <v>77</v>
      </c>
      <c r="BC102" s="80" t="n">
        <v>0.66</v>
      </c>
      <c r="BD102" s="55" t="n">
        <f aca="false">AVERAGEA(BE102, BC102)</f>
        <v>0.73</v>
      </c>
      <c r="BE102" s="56" t="n">
        <v>0.8</v>
      </c>
      <c r="BF102" s="51" t="n">
        <v>4</v>
      </c>
      <c r="BG102" s="52" t="n">
        <f aca="false">AVERAGEA(BF102,BH102)</f>
        <v>6</v>
      </c>
      <c r="BH102" s="53" t="n">
        <v>8</v>
      </c>
      <c r="BI102" s="80" t="s">
        <v>77</v>
      </c>
      <c r="BJ102" s="55" t="s">
        <v>78</v>
      </c>
      <c r="BK102" s="56" t="s">
        <v>79</v>
      </c>
      <c r="BL102" s="51" t="s">
        <v>77</v>
      </c>
      <c r="BM102" s="52" t="s">
        <v>78</v>
      </c>
      <c r="BN102" s="53" t="s">
        <v>79</v>
      </c>
    </row>
    <row r="103" customFormat="false" ht="15" hidden="false" customHeight="true" outlineLevel="0" collapsed="false">
      <c r="B103" s="132"/>
      <c r="C103" s="142"/>
      <c r="D103" s="147"/>
      <c r="E103" s="148" t="s">
        <v>65</v>
      </c>
      <c r="F103" s="149"/>
      <c r="G103" s="84" t="n">
        <v>33.2490283595987</v>
      </c>
      <c r="H103" s="73" t="n">
        <f aca="false">AVERAGE(G103,I103)</f>
        <v>37.8759155447463</v>
      </c>
      <c r="I103" s="85" t="n">
        <v>42.5028027298939</v>
      </c>
      <c r="J103" s="51" t="s">
        <v>44</v>
      </c>
      <c r="K103" s="52"/>
      <c r="L103" s="53" t="s">
        <v>44</v>
      </c>
      <c r="M103" s="54" t="s">
        <v>44</v>
      </c>
      <c r="N103" s="55"/>
      <c r="O103" s="56" t="s">
        <v>44</v>
      </c>
      <c r="P103" s="54" t="s">
        <v>44</v>
      </c>
      <c r="Q103" s="55"/>
      <c r="R103" s="55" t="s">
        <v>44</v>
      </c>
      <c r="S103" s="51" t="n">
        <v>60</v>
      </c>
      <c r="T103" s="52" t="n">
        <f aca="false">AVERAGEA(U103,S103)</f>
        <v>75.05</v>
      </c>
      <c r="U103" s="53" t="n">
        <v>90.1</v>
      </c>
      <c r="V103" s="80" t="n">
        <v>50</v>
      </c>
      <c r="W103" s="101" t="n">
        <f aca="false">AVERAGEA(X103, V103)</f>
        <v>35</v>
      </c>
      <c r="X103" s="56" t="n">
        <v>20</v>
      </c>
      <c r="Y103" s="52" t="n">
        <v>0.83</v>
      </c>
      <c r="Z103" s="52" t="n">
        <f aca="false">AVERAGEA(AA103, Y103)</f>
        <v>15.415</v>
      </c>
      <c r="AA103" s="53" t="n">
        <v>30</v>
      </c>
      <c r="AB103" s="80" t="n">
        <v>0.83</v>
      </c>
      <c r="AC103" s="101" t="n">
        <f aca="false">AVERAGEA(AD103, AB103)</f>
        <v>15.415</v>
      </c>
      <c r="AD103" s="56" t="n">
        <v>30</v>
      </c>
      <c r="AE103" s="51" t="n">
        <v>0.1</v>
      </c>
      <c r="AF103" s="79" t="n">
        <f aca="false">AVERAGEA(AG103, AE103)</f>
        <v>0.55</v>
      </c>
      <c r="AG103" s="53" t="n">
        <v>1</v>
      </c>
      <c r="AH103" s="86" t="n">
        <v>0.25</v>
      </c>
      <c r="AI103" s="79" t="n">
        <f aca="false">AVERAGEA(AJ103, AH103)</f>
        <v>0.625</v>
      </c>
      <c r="AJ103" s="53" t="n">
        <v>1</v>
      </c>
      <c r="AK103" s="80" t="n">
        <v>370</v>
      </c>
      <c r="AL103" s="55" t="n">
        <f aca="false">AVERAGEA(AM103, AK103)</f>
        <v>550</v>
      </c>
      <c r="AM103" s="56" t="n">
        <v>730</v>
      </c>
      <c r="AN103" s="51" t="n">
        <v>9</v>
      </c>
      <c r="AO103" s="52" t="n">
        <f aca="false">AVERAGEA(AP103, AN103)</f>
        <v>16.5</v>
      </c>
      <c r="AP103" s="53" t="n">
        <v>24</v>
      </c>
      <c r="AQ103" s="80" t="n">
        <v>0.8</v>
      </c>
      <c r="AR103" s="55" t="n">
        <f aca="false">AVERAGEA(AS103, AQ103)</f>
        <v>2.4</v>
      </c>
      <c r="AS103" s="56" t="n">
        <v>4</v>
      </c>
      <c r="AT103" s="51" t="n">
        <v>0.02</v>
      </c>
      <c r="AU103" s="52" t="n">
        <f aca="false">AVERAGEA(AT103,AV103)</f>
        <v>12.01</v>
      </c>
      <c r="AV103" s="53" t="n">
        <v>24</v>
      </c>
      <c r="AW103" s="80" t="n">
        <v>0.02</v>
      </c>
      <c r="AX103" s="55" t="n">
        <f aca="false">AVERAGEA(AW103,AY103)</f>
        <v>47.26</v>
      </c>
      <c r="AY103" s="56" t="n">
        <v>94.5</v>
      </c>
      <c r="AZ103" s="51" t="n">
        <v>0.06</v>
      </c>
      <c r="BA103" s="52" t="n">
        <f aca="false">AVERAGEA(AZ103,BB103)</f>
        <v>38.53</v>
      </c>
      <c r="BB103" s="53" t="n">
        <v>77</v>
      </c>
      <c r="BC103" s="80" t="n">
        <v>0.66</v>
      </c>
      <c r="BD103" s="55" t="n">
        <f aca="false">AVERAGEA(BE103, BC103)</f>
        <v>0.73</v>
      </c>
      <c r="BE103" s="56" t="n">
        <v>0.8</v>
      </c>
      <c r="BF103" s="51" t="n">
        <v>4</v>
      </c>
      <c r="BG103" s="52" t="n">
        <f aca="false">AVERAGEA(BF103,BH103)</f>
        <v>6</v>
      </c>
      <c r="BH103" s="53" t="n">
        <v>8</v>
      </c>
      <c r="BI103" s="80" t="s">
        <v>77</v>
      </c>
      <c r="BJ103" s="55" t="s">
        <v>78</v>
      </c>
      <c r="BK103" s="56" t="s">
        <v>79</v>
      </c>
      <c r="BL103" s="51" t="s">
        <v>77</v>
      </c>
      <c r="BM103" s="52" t="s">
        <v>78</v>
      </c>
      <c r="BN103" s="53" t="s">
        <v>79</v>
      </c>
    </row>
    <row r="104" customFormat="false" ht="15" hidden="false" customHeight="true" outlineLevel="0" collapsed="false">
      <c r="B104" s="132"/>
      <c r="C104" s="142"/>
      <c r="D104" s="147"/>
      <c r="E104" s="148" t="s">
        <v>66</v>
      </c>
      <c r="F104" s="149"/>
      <c r="G104" s="84" t="n">
        <v>26.55</v>
      </c>
      <c r="H104" s="73" t="n">
        <f aca="false">AVERAGE(G104,I104)</f>
        <v>29.7002105144203</v>
      </c>
      <c r="I104" s="85" t="n">
        <v>32.8504210288406</v>
      </c>
      <c r="J104" s="51" t="s">
        <v>44</v>
      </c>
      <c r="K104" s="52"/>
      <c r="L104" s="53" t="s">
        <v>44</v>
      </c>
      <c r="M104" s="54" t="s">
        <v>44</v>
      </c>
      <c r="N104" s="55"/>
      <c r="O104" s="56" t="s">
        <v>44</v>
      </c>
      <c r="P104" s="54" t="s">
        <v>44</v>
      </c>
      <c r="Q104" s="55"/>
      <c r="R104" s="55" t="s">
        <v>44</v>
      </c>
      <c r="S104" s="51" t="n">
        <v>60</v>
      </c>
      <c r="T104" s="52" t="n">
        <f aca="false">AVERAGEA(U104,S104)</f>
        <v>75.05</v>
      </c>
      <c r="U104" s="53" t="n">
        <v>90.1</v>
      </c>
      <c r="V104" s="80" t="n">
        <v>50</v>
      </c>
      <c r="W104" s="101" t="n">
        <f aca="false">AVERAGEA(X104, V104)</f>
        <v>35</v>
      </c>
      <c r="X104" s="56" t="n">
        <v>20</v>
      </c>
      <c r="Y104" s="52" t="n">
        <v>0.83</v>
      </c>
      <c r="Z104" s="52" t="n">
        <f aca="false">AVERAGEA(AA104, Y104)</f>
        <v>15.415</v>
      </c>
      <c r="AA104" s="53" t="n">
        <v>30</v>
      </c>
      <c r="AB104" s="80" t="n">
        <v>0.83</v>
      </c>
      <c r="AC104" s="101" t="n">
        <f aca="false">AVERAGEA(AD104, AB104)</f>
        <v>15.415</v>
      </c>
      <c r="AD104" s="56" t="n">
        <v>30</v>
      </c>
      <c r="AE104" s="51" t="n">
        <v>0.1</v>
      </c>
      <c r="AF104" s="79" t="n">
        <f aca="false">AVERAGEA(AG104, AE104)</f>
        <v>0.55</v>
      </c>
      <c r="AG104" s="53" t="n">
        <v>1</v>
      </c>
      <c r="AH104" s="86" t="n">
        <v>0.25</v>
      </c>
      <c r="AI104" s="79" t="n">
        <f aca="false">AVERAGEA(AJ104, AH104)</f>
        <v>0.625</v>
      </c>
      <c r="AJ104" s="53" t="n">
        <v>1</v>
      </c>
      <c r="AK104" s="80" t="n">
        <v>370</v>
      </c>
      <c r="AL104" s="55" t="n">
        <f aca="false">AVERAGEA(AM104, AK104)</f>
        <v>550</v>
      </c>
      <c r="AM104" s="56" t="n">
        <v>730</v>
      </c>
      <c r="AN104" s="51" t="n">
        <v>9</v>
      </c>
      <c r="AO104" s="52" t="n">
        <f aca="false">AVERAGEA(AP104, AN104)</f>
        <v>16.5</v>
      </c>
      <c r="AP104" s="53" t="n">
        <v>24</v>
      </c>
      <c r="AQ104" s="80" t="n">
        <v>0.8</v>
      </c>
      <c r="AR104" s="55" t="n">
        <f aca="false">AVERAGEA(AS104, AQ104)</f>
        <v>2.4</v>
      </c>
      <c r="AS104" s="56" t="n">
        <v>4</v>
      </c>
      <c r="AT104" s="51" t="n">
        <v>0.02</v>
      </c>
      <c r="AU104" s="52" t="n">
        <f aca="false">AVERAGEA(AT104,AV104)</f>
        <v>12.01</v>
      </c>
      <c r="AV104" s="53" t="n">
        <v>24</v>
      </c>
      <c r="AW104" s="80" t="n">
        <v>0.02</v>
      </c>
      <c r="AX104" s="55" t="n">
        <f aca="false">AVERAGEA(AW104,AY104)</f>
        <v>47.26</v>
      </c>
      <c r="AY104" s="56" t="n">
        <v>94.5</v>
      </c>
      <c r="AZ104" s="51" t="n">
        <v>0.06</v>
      </c>
      <c r="BA104" s="52" t="n">
        <f aca="false">AVERAGEA(AZ104,BB104)</f>
        <v>38.53</v>
      </c>
      <c r="BB104" s="53" t="n">
        <v>77</v>
      </c>
      <c r="BC104" s="80" t="n">
        <v>0.66</v>
      </c>
      <c r="BD104" s="55" t="n">
        <f aca="false">AVERAGEA(BE104, BC104)</f>
        <v>0.73</v>
      </c>
      <c r="BE104" s="56" t="n">
        <v>0.8</v>
      </c>
      <c r="BF104" s="51" t="n">
        <v>4</v>
      </c>
      <c r="BG104" s="52" t="n">
        <f aca="false">AVERAGEA(BF104,BH104)</f>
        <v>6</v>
      </c>
      <c r="BH104" s="53" t="n">
        <v>8</v>
      </c>
      <c r="BI104" s="80" t="s">
        <v>77</v>
      </c>
      <c r="BJ104" s="55" t="s">
        <v>78</v>
      </c>
      <c r="BK104" s="56" t="s">
        <v>79</v>
      </c>
      <c r="BL104" s="51" t="s">
        <v>77</v>
      </c>
      <c r="BM104" s="52" t="s">
        <v>78</v>
      </c>
      <c r="BN104" s="53" t="s">
        <v>79</v>
      </c>
    </row>
    <row r="105" customFormat="false" ht="15" hidden="false" customHeight="true" outlineLevel="0" collapsed="false">
      <c r="B105" s="132"/>
      <c r="C105" s="150" t="s">
        <v>80</v>
      </c>
      <c r="D105" s="143" t="s">
        <v>68</v>
      </c>
      <c r="E105" s="144" t="s">
        <v>63</v>
      </c>
      <c r="F105" s="145" t="s">
        <v>69</v>
      </c>
      <c r="G105" s="84" t="n">
        <v>37.6602962916239</v>
      </c>
      <c r="H105" s="73" t="n">
        <f aca="false">AVERAGE(G105,I105)</f>
        <v>38.1413289879093</v>
      </c>
      <c r="I105" s="85" t="n">
        <v>38.6223616841948</v>
      </c>
      <c r="J105" s="51" t="s">
        <v>44</v>
      </c>
      <c r="K105" s="52"/>
      <c r="L105" s="53" t="s">
        <v>44</v>
      </c>
      <c r="M105" s="54" t="s">
        <v>44</v>
      </c>
      <c r="N105" s="55"/>
      <c r="O105" s="56" t="s">
        <v>44</v>
      </c>
      <c r="P105" s="54" t="s">
        <v>44</v>
      </c>
      <c r="Q105" s="55"/>
      <c r="R105" s="55" t="s">
        <v>44</v>
      </c>
      <c r="S105" s="51" t="n">
        <v>60</v>
      </c>
      <c r="T105" s="52" t="n">
        <f aca="false">AVERAGEA(U105,S105)</f>
        <v>75.05</v>
      </c>
      <c r="U105" s="53" t="n">
        <v>90.1</v>
      </c>
      <c r="V105" s="80" t="n">
        <v>50</v>
      </c>
      <c r="W105" s="101" t="n">
        <f aca="false">AVERAGEA(X105, V105)</f>
        <v>35</v>
      </c>
      <c r="X105" s="56" t="n">
        <v>20</v>
      </c>
      <c r="Y105" s="52" t="n">
        <v>0.83</v>
      </c>
      <c r="Z105" s="52" t="n">
        <f aca="false">AVERAGEA(AA105, Y105)</f>
        <v>15.415</v>
      </c>
      <c r="AA105" s="53" t="n">
        <v>30</v>
      </c>
      <c r="AB105" s="80" t="n">
        <v>0.83</v>
      </c>
      <c r="AC105" s="101" t="n">
        <f aca="false">AVERAGEA(AD105, AB105)</f>
        <v>15.415</v>
      </c>
      <c r="AD105" s="56" t="n">
        <v>30</v>
      </c>
      <c r="AE105" s="51" t="n">
        <v>0.1</v>
      </c>
      <c r="AF105" s="79" t="n">
        <f aca="false">AVERAGEA(AG105, AE105)</f>
        <v>0.55</v>
      </c>
      <c r="AG105" s="53" t="n">
        <v>1</v>
      </c>
      <c r="AH105" s="86" t="n">
        <v>0.25</v>
      </c>
      <c r="AI105" s="79" t="n">
        <f aca="false">AVERAGEA(AJ105, AH105)</f>
        <v>0.625</v>
      </c>
      <c r="AJ105" s="53" t="n">
        <v>1</v>
      </c>
      <c r="AK105" s="80" t="n">
        <v>370</v>
      </c>
      <c r="AL105" s="55" t="n">
        <f aca="false">AVERAGEA(AM105, AK105)</f>
        <v>510</v>
      </c>
      <c r="AM105" s="56" t="n">
        <v>650</v>
      </c>
      <c r="AN105" s="51" t="n">
        <v>9</v>
      </c>
      <c r="AO105" s="52" t="n">
        <f aca="false">AVERAGEA(AP105, AN105)</f>
        <v>16.5</v>
      </c>
      <c r="AP105" s="53" t="n">
        <v>24</v>
      </c>
      <c r="AQ105" s="80" t="n">
        <v>0.8</v>
      </c>
      <c r="AR105" s="55" t="n">
        <f aca="false">AVERAGEA(AS105, AQ105)</f>
        <v>1</v>
      </c>
      <c r="AS105" s="56" t="n">
        <v>1.2</v>
      </c>
      <c r="AT105" s="51" t="n">
        <v>0.02</v>
      </c>
      <c r="AU105" s="52" t="n">
        <f aca="false">AVERAGEA(AT105,AV105)</f>
        <v>12.01</v>
      </c>
      <c r="AV105" s="53" t="n">
        <v>24</v>
      </c>
      <c r="AW105" s="80" t="n">
        <v>0.02</v>
      </c>
      <c r="AX105" s="55" t="n">
        <f aca="false">AVERAGEA(AW105,AY105)</f>
        <v>47.26</v>
      </c>
      <c r="AY105" s="56" t="n">
        <v>94.5</v>
      </c>
      <c r="AZ105" s="51" t="n">
        <v>0.06</v>
      </c>
      <c r="BA105" s="52" t="n">
        <f aca="false">AVERAGEA(AZ105,BB105)</f>
        <v>38.53</v>
      </c>
      <c r="BB105" s="53" t="n">
        <v>77</v>
      </c>
      <c r="BC105" s="80" t="n">
        <v>0.66</v>
      </c>
      <c r="BD105" s="55" t="n">
        <f aca="false">AVERAGEA(BE105, BC105)</f>
        <v>0.73</v>
      </c>
      <c r="BE105" s="56" t="n">
        <v>0.8</v>
      </c>
      <c r="BF105" s="51" t="n">
        <v>0</v>
      </c>
      <c r="BG105" s="52" t="n">
        <f aca="false">AVERAGEA(BF105,BH105)</f>
        <v>15</v>
      </c>
      <c r="BH105" s="53" t="n">
        <v>30</v>
      </c>
      <c r="BI105" s="80" t="n">
        <v>0</v>
      </c>
      <c r="BJ105" s="55" t="n">
        <f aca="false">AVERAGEA(BI105,BK105)</f>
        <v>0.25</v>
      </c>
      <c r="BK105" s="56" t="n">
        <v>0.5</v>
      </c>
      <c r="BL105" s="51" t="n">
        <v>0</v>
      </c>
      <c r="BM105" s="52" t="n">
        <f aca="false">AVERAGEA(BL105,BN105)</f>
        <v>0.5</v>
      </c>
      <c r="BN105" s="53" t="n">
        <v>1</v>
      </c>
    </row>
    <row r="106" customFormat="false" ht="15" hidden="false" customHeight="true" outlineLevel="0" collapsed="false">
      <c r="B106" s="132"/>
      <c r="C106" s="150"/>
      <c r="D106" s="143"/>
      <c r="E106" s="144" t="s">
        <v>64</v>
      </c>
      <c r="F106" s="145"/>
      <c r="G106" s="84" t="n">
        <v>35.5157792561089</v>
      </c>
      <c r="H106" s="73" t="n">
        <f aca="false">AVERAGE(G106,I106)</f>
        <v>36.5855164790602</v>
      </c>
      <c r="I106" s="85" t="n">
        <v>37.6552537020114</v>
      </c>
      <c r="J106" s="51" t="s">
        <v>44</v>
      </c>
      <c r="K106" s="52"/>
      <c r="L106" s="53" t="s">
        <v>44</v>
      </c>
      <c r="M106" s="54" t="s">
        <v>44</v>
      </c>
      <c r="N106" s="55"/>
      <c r="O106" s="56" t="s">
        <v>44</v>
      </c>
      <c r="P106" s="54" t="s">
        <v>44</v>
      </c>
      <c r="Q106" s="55"/>
      <c r="R106" s="55" t="s">
        <v>44</v>
      </c>
      <c r="S106" s="51" t="n">
        <v>60</v>
      </c>
      <c r="T106" s="52" t="n">
        <f aca="false">AVERAGEA(U106,S106)</f>
        <v>75.05</v>
      </c>
      <c r="U106" s="53" t="n">
        <v>90.1</v>
      </c>
      <c r="V106" s="80" t="n">
        <v>50</v>
      </c>
      <c r="W106" s="101" t="n">
        <f aca="false">AVERAGEA(X106, V106)</f>
        <v>35</v>
      </c>
      <c r="X106" s="56" t="n">
        <v>20</v>
      </c>
      <c r="Y106" s="52" t="n">
        <v>0.83</v>
      </c>
      <c r="Z106" s="52" t="n">
        <f aca="false">AVERAGEA(AA106, Y106)</f>
        <v>15.415</v>
      </c>
      <c r="AA106" s="53" t="n">
        <v>30</v>
      </c>
      <c r="AB106" s="80" t="n">
        <v>0.83</v>
      </c>
      <c r="AC106" s="101" t="n">
        <f aca="false">AVERAGEA(AD106, AB106)</f>
        <v>15.415</v>
      </c>
      <c r="AD106" s="56" t="n">
        <v>30</v>
      </c>
      <c r="AE106" s="51" t="n">
        <v>0.1</v>
      </c>
      <c r="AF106" s="79" t="n">
        <f aca="false">AVERAGEA(AG106, AE106)</f>
        <v>0.55</v>
      </c>
      <c r="AG106" s="53" t="n">
        <v>1</v>
      </c>
      <c r="AH106" s="86" t="n">
        <v>0.25</v>
      </c>
      <c r="AI106" s="79" t="n">
        <f aca="false">AVERAGEA(AJ106, AH106)</f>
        <v>0.625</v>
      </c>
      <c r="AJ106" s="53" t="n">
        <v>1</v>
      </c>
      <c r="AK106" s="80" t="n">
        <v>370</v>
      </c>
      <c r="AL106" s="55" t="n">
        <f aca="false">AVERAGEA(AM106, AK106)</f>
        <v>510</v>
      </c>
      <c r="AM106" s="56" t="n">
        <v>650</v>
      </c>
      <c r="AN106" s="51" t="n">
        <v>9</v>
      </c>
      <c r="AO106" s="52" t="n">
        <f aca="false">AVERAGEA(AP106, AN106)</f>
        <v>16.5</v>
      </c>
      <c r="AP106" s="53" t="n">
        <v>24</v>
      </c>
      <c r="AQ106" s="80" t="n">
        <v>0.8</v>
      </c>
      <c r="AR106" s="55" t="n">
        <f aca="false">AVERAGEA(AS106, AQ106)</f>
        <v>1</v>
      </c>
      <c r="AS106" s="56" t="n">
        <v>1.2</v>
      </c>
      <c r="AT106" s="51" t="n">
        <v>0.02</v>
      </c>
      <c r="AU106" s="52" t="n">
        <f aca="false">AVERAGEA(AT106,AV106)</f>
        <v>12.01</v>
      </c>
      <c r="AV106" s="53" t="n">
        <v>24</v>
      </c>
      <c r="AW106" s="80" t="n">
        <v>0.02</v>
      </c>
      <c r="AX106" s="55" t="n">
        <f aca="false">AVERAGEA(AW106,AY106)</f>
        <v>47.26</v>
      </c>
      <c r="AY106" s="56" t="n">
        <v>94.5</v>
      </c>
      <c r="AZ106" s="51" t="n">
        <v>0.06</v>
      </c>
      <c r="BA106" s="52" t="n">
        <f aca="false">AVERAGEA(AZ106,BB106)</f>
        <v>38.53</v>
      </c>
      <c r="BB106" s="53" t="n">
        <v>77</v>
      </c>
      <c r="BC106" s="80" t="n">
        <v>0.66</v>
      </c>
      <c r="BD106" s="55" t="n">
        <f aca="false">AVERAGEA(BE106, BC106)</f>
        <v>0.73</v>
      </c>
      <c r="BE106" s="56" t="n">
        <v>0.8</v>
      </c>
      <c r="BF106" s="51" t="n">
        <v>0</v>
      </c>
      <c r="BG106" s="52" t="n">
        <f aca="false">AVERAGEA(BF106,BH106)</f>
        <v>15</v>
      </c>
      <c r="BH106" s="53" t="n">
        <v>30</v>
      </c>
      <c r="BI106" s="80" t="n">
        <v>0</v>
      </c>
      <c r="BJ106" s="55" t="n">
        <f aca="false">AVERAGEA(BI106,BK106)</f>
        <v>0.25</v>
      </c>
      <c r="BK106" s="56" t="n">
        <v>0.5</v>
      </c>
      <c r="BL106" s="51" t="n">
        <v>0</v>
      </c>
      <c r="BM106" s="52" t="n">
        <f aca="false">AVERAGEA(BL106,BN106)</f>
        <v>0.5</v>
      </c>
      <c r="BN106" s="53" t="n">
        <v>1</v>
      </c>
    </row>
    <row r="107" customFormat="false" ht="15" hidden="false" customHeight="true" outlineLevel="0" collapsed="false">
      <c r="B107" s="132"/>
      <c r="C107" s="150"/>
      <c r="D107" s="143"/>
      <c r="E107" s="144" t="s">
        <v>65</v>
      </c>
      <c r="F107" s="145"/>
      <c r="G107" s="84" t="n">
        <v>31.7307178592082</v>
      </c>
      <c r="H107" s="73" t="n">
        <f aca="false">AVERAGE(G107,I107)</f>
        <v>33.6148979967544</v>
      </c>
      <c r="I107" s="85" t="n">
        <v>35.4990781343005</v>
      </c>
      <c r="J107" s="51" t="s">
        <v>44</v>
      </c>
      <c r="K107" s="52"/>
      <c r="L107" s="53" t="s">
        <v>44</v>
      </c>
      <c r="M107" s="54" t="s">
        <v>44</v>
      </c>
      <c r="N107" s="55"/>
      <c r="O107" s="56" t="s">
        <v>44</v>
      </c>
      <c r="P107" s="54" t="s">
        <v>44</v>
      </c>
      <c r="Q107" s="55"/>
      <c r="R107" s="55" t="s">
        <v>44</v>
      </c>
      <c r="S107" s="51" t="n">
        <v>60</v>
      </c>
      <c r="T107" s="52" t="n">
        <f aca="false">AVERAGEA(U107,S107)</f>
        <v>75.05</v>
      </c>
      <c r="U107" s="53" t="n">
        <v>90.1</v>
      </c>
      <c r="V107" s="80" t="n">
        <v>50</v>
      </c>
      <c r="W107" s="101" t="n">
        <f aca="false">AVERAGEA(X107, V107)</f>
        <v>35</v>
      </c>
      <c r="X107" s="56" t="n">
        <v>20</v>
      </c>
      <c r="Y107" s="52" t="n">
        <v>0.83</v>
      </c>
      <c r="Z107" s="52" t="n">
        <f aca="false">AVERAGEA(AA107, Y107)</f>
        <v>15.415</v>
      </c>
      <c r="AA107" s="53" t="n">
        <v>30</v>
      </c>
      <c r="AB107" s="80" t="n">
        <v>0.83</v>
      </c>
      <c r="AC107" s="101" t="n">
        <f aca="false">AVERAGEA(AD107, AB107)</f>
        <v>15.415</v>
      </c>
      <c r="AD107" s="56" t="n">
        <v>30</v>
      </c>
      <c r="AE107" s="51" t="n">
        <v>0.1</v>
      </c>
      <c r="AF107" s="79" t="n">
        <f aca="false">AVERAGEA(AG107, AE107)</f>
        <v>0.55</v>
      </c>
      <c r="AG107" s="53" t="n">
        <v>1</v>
      </c>
      <c r="AH107" s="86" t="n">
        <v>0.25</v>
      </c>
      <c r="AI107" s="79" t="n">
        <f aca="false">AVERAGEA(AJ107, AH107)</f>
        <v>0.625</v>
      </c>
      <c r="AJ107" s="53" t="n">
        <v>1</v>
      </c>
      <c r="AK107" s="80" t="n">
        <v>370</v>
      </c>
      <c r="AL107" s="55" t="n">
        <f aca="false">AVERAGEA(AM107, AK107)</f>
        <v>510</v>
      </c>
      <c r="AM107" s="56" t="n">
        <v>650</v>
      </c>
      <c r="AN107" s="51" t="n">
        <v>9</v>
      </c>
      <c r="AO107" s="52" t="n">
        <f aca="false">AVERAGEA(AP107, AN107)</f>
        <v>16.5</v>
      </c>
      <c r="AP107" s="53" t="n">
        <v>24</v>
      </c>
      <c r="AQ107" s="80" t="n">
        <v>0.8</v>
      </c>
      <c r="AR107" s="55" t="n">
        <f aca="false">AVERAGEA(AS107, AQ107)</f>
        <v>1</v>
      </c>
      <c r="AS107" s="56" t="n">
        <v>1.2</v>
      </c>
      <c r="AT107" s="51" t="n">
        <v>0.02</v>
      </c>
      <c r="AU107" s="52" t="n">
        <f aca="false">AVERAGEA(AT107,AV107)</f>
        <v>12.01</v>
      </c>
      <c r="AV107" s="53" t="n">
        <v>24</v>
      </c>
      <c r="AW107" s="80" t="n">
        <v>0.02</v>
      </c>
      <c r="AX107" s="55" t="n">
        <f aca="false">AVERAGEA(AW107,AY107)</f>
        <v>47.26</v>
      </c>
      <c r="AY107" s="56" t="n">
        <v>94.5</v>
      </c>
      <c r="AZ107" s="51" t="n">
        <v>0.06</v>
      </c>
      <c r="BA107" s="52" t="n">
        <f aca="false">AVERAGEA(AZ107,BB107)</f>
        <v>38.53</v>
      </c>
      <c r="BB107" s="53" t="n">
        <v>77</v>
      </c>
      <c r="BC107" s="80" t="n">
        <v>0.66</v>
      </c>
      <c r="BD107" s="55" t="n">
        <f aca="false">AVERAGEA(BE107, BC107)</f>
        <v>0.73</v>
      </c>
      <c r="BE107" s="56" t="n">
        <v>0.8</v>
      </c>
      <c r="BF107" s="51" t="n">
        <v>0</v>
      </c>
      <c r="BG107" s="52" t="n">
        <f aca="false">AVERAGEA(BF107,BH107)</f>
        <v>15</v>
      </c>
      <c r="BH107" s="53" t="n">
        <v>30</v>
      </c>
      <c r="BI107" s="80" t="n">
        <v>0</v>
      </c>
      <c r="BJ107" s="55" t="n">
        <f aca="false">AVERAGEA(BI107,BK107)</f>
        <v>0.25</v>
      </c>
      <c r="BK107" s="56" t="n">
        <v>0.5</v>
      </c>
      <c r="BL107" s="51" t="n">
        <v>0</v>
      </c>
      <c r="BM107" s="52" t="n">
        <f aca="false">AVERAGEA(BL107,BN107)</f>
        <v>0.5</v>
      </c>
      <c r="BN107" s="53" t="n">
        <v>1</v>
      </c>
    </row>
    <row r="108" customFormat="false" ht="15" hidden="false" customHeight="true" outlineLevel="0" collapsed="false">
      <c r="B108" s="132"/>
      <c r="C108" s="150"/>
      <c r="D108" s="143"/>
      <c r="E108" s="144" t="s">
        <v>66</v>
      </c>
      <c r="F108" s="145"/>
      <c r="G108" s="84" t="n">
        <v>28.63</v>
      </c>
      <c r="H108" s="73" t="n">
        <f aca="false">AVERAGE(G108,I108)</f>
        <v>30.0931457582758</v>
      </c>
      <c r="I108" s="85" t="n">
        <v>31.5562915165517</v>
      </c>
      <c r="J108" s="51" t="s">
        <v>44</v>
      </c>
      <c r="K108" s="52"/>
      <c r="L108" s="53" t="s">
        <v>44</v>
      </c>
      <c r="M108" s="54" t="s">
        <v>44</v>
      </c>
      <c r="N108" s="55"/>
      <c r="O108" s="56" t="s">
        <v>44</v>
      </c>
      <c r="P108" s="54" t="s">
        <v>44</v>
      </c>
      <c r="Q108" s="55"/>
      <c r="R108" s="55" t="s">
        <v>44</v>
      </c>
      <c r="S108" s="51" t="n">
        <v>60</v>
      </c>
      <c r="T108" s="52" t="n">
        <f aca="false">AVERAGEA(U108,S108)</f>
        <v>75.05</v>
      </c>
      <c r="U108" s="53" t="n">
        <v>90.1</v>
      </c>
      <c r="V108" s="80" t="n">
        <v>50</v>
      </c>
      <c r="W108" s="101" t="n">
        <f aca="false">AVERAGEA(X108, V108)</f>
        <v>35</v>
      </c>
      <c r="X108" s="56" t="n">
        <v>20</v>
      </c>
      <c r="Y108" s="52" t="n">
        <v>0.83</v>
      </c>
      <c r="Z108" s="52" t="n">
        <f aca="false">AVERAGEA(AA108, Y108)</f>
        <v>15.415</v>
      </c>
      <c r="AA108" s="53" t="n">
        <v>30</v>
      </c>
      <c r="AB108" s="80" t="n">
        <v>0.83</v>
      </c>
      <c r="AC108" s="101" t="n">
        <f aca="false">AVERAGEA(AD108, AB108)</f>
        <v>15.415</v>
      </c>
      <c r="AD108" s="56" t="n">
        <v>30</v>
      </c>
      <c r="AE108" s="51" t="n">
        <v>0.1</v>
      </c>
      <c r="AF108" s="79" t="n">
        <f aca="false">AVERAGEA(AG108, AE108)</f>
        <v>0.55</v>
      </c>
      <c r="AG108" s="53" t="n">
        <v>1</v>
      </c>
      <c r="AH108" s="86" t="n">
        <v>0.25</v>
      </c>
      <c r="AI108" s="79" t="n">
        <f aca="false">AVERAGEA(AJ108, AH108)</f>
        <v>0.625</v>
      </c>
      <c r="AJ108" s="53" t="n">
        <v>1</v>
      </c>
      <c r="AK108" s="80" t="n">
        <v>370</v>
      </c>
      <c r="AL108" s="55" t="n">
        <f aca="false">AVERAGEA(AM108, AK108)</f>
        <v>510</v>
      </c>
      <c r="AM108" s="56" t="n">
        <v>650</v>
      </c>
      <c r="AN108" s="51" t="n">
        <v>9</v>
      </c>
      <c r="AO108" s="52" t="n">
        <f aca="false">AVERAGEA(AP108, AN108)</f>
        <v>16.5</v>
      </c>
      <c r="AP108" s="53" t="n">
        <v>24</v>
      </c>
      <c r="AQ108" s="80" t="n">
        <v>0.8</v>
      </c>
      <c r="AR108" s="55" t="n">
        <f aca="false">AVERAGEA(AS108, AQ108)</f>
        <v>1</v>
      </c>
      <c r="AS108" s="56" t="n">
        <v>1.2</v>
      </c>
      <c r="AT108" s="51" t="n">
        <v>0.02</v>
      </c>
      <c r="AU108" s="52" t="n">
        <f aca="false">AVERAGEA(AT108,AV108)</f>
        <v>12.01</v>
      </c>
      <c r="AV108" s="53" t="n">
        <v>24</v>
      </c>
      <c r="AW108" s="80" t="n">
        <v>0.02</v>
      </c>
      <c r="AX108" s="55" t="n">
        <f aca="false">AVERAGEA(AW108,AY108)</f>
        <v>47.26</v>
      </c>
      <c r="AY108" s="56" t="n">
        <v>94.5</v>
      </c>
      <c r="AZ108" s="51" t="n">
        <v>0.06</v>
      </c>
      <c r="BA108" s="52" t="n">
        <f aca="false">AVERAGEA(AZ108,BB108)</f>
        <v>38.53</v>
      </c>
      <c r="BB108" s="53" t="n">
        <v>77</v>
      </c>
      <c r="BC108" s="80" t="n">
        <v>0.66</v>
      </c>
      <c r="BD108" s="55" t="n">
        <f aca="false">AVERAGEA(BE108, BC108)</f>
        <v>0.73</v>
      </c>
      <c r="BE108" s="56" t="n">
        <v>0.8</v>
      </c>
      <c r="BF108" s="51" t="n">
        <v>0</v>
      </c>
      <c r="BG108" s="52" t="n">
        <f aca="false">AVERAGEA(BF108,BH108)</f>
        <v>15</v>
      </c>
      <c r="BH108" s="53" t="n">
        <v>30</v>
      </c>
      <c r="BI108" s="80" t="n">
        <v>0</v>
      </c>
      <c r="BJ108" s="55" t="n">
        <f aca="false">AVERAGEA(BI108,BK108)</f>
        <v>0.25</v>
      </c>
      <c r="BK108" s="56" t="n">
        <v>0.5</v>
      </c>
      <c r="BL108" s="51" t="n">
        <v>0</v>
      </c>
      <c r="BM108" s="52" t="n">
        <f aca="false">AVERAGEA(BL108,BN108)</f>
        <v>0.5</v>
      </c>
      <c r="BN108" s="53" t="n">
        <v>1</v>
      </c>
    </row>
    <row r="109" customFormat="false" ht="15" hidden="false" customHeight="true" outlineLevel="0" collapsed="false">
      <c r="B109" s="132"/>
      <c r="C109" s="150"/>
      <c r="D109" s="143" t="s">
        <v>70</v>
      </c>
      <c r="E109" s="144" t="s">
        <v>63</v>
      </c>
      <c r="F109" s="145" t="s">
        <v>71</v>
      </c>
      <c r="G109" s="84" t="n">
        <v>39.97</v>
      </c>
      <c r="H109" s="73" t="n">
        <f aca="false">AVERAGE(G109,I109)</f>
        <v>40.845</v>
      </c>
      <c r="I109" s="85" t="n">
        <v>41.72</v>
      </c>
      <c r="J109" s="51" t="s">
        <v>44</v>
      </c>
      <c r="K109" s="52"/>
      <c r="L109" s="53" t="s">
        <v>44</v>
      </c>
      <c r="M109" s="54" t="s">
        <v>44</v>
      </c>
      <c r="N109" s="55"/>
      <c r="O109" s="56" t="s">
        <v>44</v>
      </c>
      <c r="P109" s="54" t="s">
        <v>44</v>
      </c>
      <c r="Q109" s="55"/>
      <c r="R109" s="55" t="s">
        <v>44</v>
      </c>
      <c r="S109" s="51" t="n">
        <v>60</v>
      </c>
      <c r="T109" s="52" t="n">
        <f aca="false">AVERAGEA(U109,S109)</f>
        <v>75.05</v>
      </c>
      <c r="U109" s="53" t="n">
        <v>90.1</v>
      </c>
      <c r="V109" s="80" t="n">
        <v>50</v>
      </c>
      <c r="W109" s="101" t="n">
        <f aca="false">AVERAGEA(X109, V109)</f>
        <v>35</v>
      </c>
      <c r="X109" s="56" t="n">
        <v>20</v>
      </c>
      <c r="Y109" s="52" t="n">
        <v>0.83</v>
      </c>
      <c r="Z109" s="52" t="n">
        <f aca="false">AVERAGEA(AA109, Y109)</f>
        <v>15.415</v>
      </c>
      <c r="AA109" s="53" t="n">
        <v>30</v>
      </c>
      <c r="AB109" s="80" t="n">
        <v>0.83</v>
      </c>
      <c r="AC109" s="101" t="n">
        <f aca="false">AVERAGEA(AD109, AB109)</f>
        <v>15.415</v>
      </c>
      <c r="AD109" s="56" t="n">
        <v>30</v>
      </c>
      <c r="AE109" s="51" t="n">
        <v>0.1</v>
      </c>
      <c r="AF109" s="79" t="n">
        <f aca="false">AVERAGEA(AG109, AE109)</f>
        <v>0.55</v>
      </c>
      <c r="AG109" s="53" t="n">
        <v>1</v>
      </c>
      <c r="AH109" s="86" t="n">
        <v>0.25</v>
      </c>
      <c r="AI109" s="79" t="n">
        <f aca="false">AVERAGEA(AJ109, AH109)</f>
        <v>0.625</v>
      </c>
      <c r="AJ109" s="53" t="n">
        <v>1</v>
      </c>
      <c r="AK109" s="80" t="n">
        <v>370</v>
      </c>
      <c r="AL109" s="55" t="n">
        <f aca="false">AVERAGEA(AM109, AK109)</f>
        <v>510</v>
      </c>
      <c r="AM109" s="56" t="n">
        <v>650</v>
      </c>
      <c r="AN109" s="51" t="n">
        <v>9</v>
      </c>
      <c r="AO109" s="52" t="n">
        <f aca="false">AVERAGEA(AP109, AN109)</f>
        <v>16.5</v>
      </c>
      <c r="AP109" s="53" t="n">
        <v>24</v>
      </c>
      <c r="AQ109" s="80" t="n">
        <v>0.8</v>
      </c>
      <c r="AR109" s="55" t="n">
        <f aca="false">AVERAGEA(AS109, AQ109)</f>
        <v>1</v>
      </c>
      <c r="AS109" s="56" t="n">
        <v>1.2</v>
      </c>
      <c r="AT109" s="51" t="n">
        <v>0.02</v>
      </c>
      <c r="AU109" s="52" t="n">
        <f aca="false">AVERAGEA(AT109,AV109)</f>
        <v>12.01</v>
      </c>
      <c r="AV109" s="53" t="n">
        <v>24</v>
      </c>
      <c r="AW109" s="80" t="n">
        <v>0.02</v>
      </c>
      <c r="AX109" s="55" t="n">
        <f aca="false">AVERAGEA(AW109,AY109)</f>
        <v>47.26</v>
      </c>
      <c r="AY109" s="56" t="n">
        <v>94.5</v>
      </c>
      <c r="AZ109" s="51" t="n">
        <v>0.06</v>
      </c>
      <c r="BA109" s="52" t="n">
        <f aca="false">AVERAGEA(AZ109,BB109)</f>
        <v>38.53</v>
      </c>
      <c r="BB109" s="53" t="n">
        <v>77</v>
      </c>
      <c r="BC109" s="80" t="n">
        <v>0.66</v>
      </c>
      <c r="BD109" s="55" t="n">
        <f aca="false">AVERAGEA(BE109, BC109)</f>
        <v>0.73</v>
      </c>
      <c r="BE109" s="56" t="n">
        <v>0.8</v>
      </c>
      <c r="BF109" s="51" t="n">
        <v>0</v>
      </c>
      <c r="BG109" s="52" t="n">
        <f aca="false">AVERAGEA(BF109,BH109)</f>
        <v>15</v>
      </c>
      <c r="BH109" s="53" t="n">
        <v>30</v>
      </c>
      <c r="BI109" s="80" t="n">
        <v>0</v>
      </c>
      <c r="BJ109" s="55" t="n">
        <f aca="false">AVERAGEA(BI109,BK109)</f>
        <v>0.25</v>
      </c>
      <c r="BK109" s="56" t="n">
        <v>0.5</v>
      </c>
      <c r="BL109" s="51" t="n">
        <v>0</v>
      </c>
      <c r="BM109" s="52" t="n">
        <f aca="false">AVERAGEA(BL109,BN109)</f>
        <v>0.5</v>
      </c>
      <c r="BN109" s="53" t="n">
        <v>1</v>
      </c>
    </row>
    <row r="110" customFormat="false" ht="15" hidden="false" customHeight="true" outlineLevel="0" collapsed="false">
      <c r="B110" s="132"/>
      <c r="C110" s="150"/>
      <c r="D110" s="143"/>
      <c r="E110" s="144" t="s">
        <v>64</v>
      </c>
      <c r="F110" s="145"/>
      <c r="G110" s="84" t="n">
        <v>38.22</v>
      </c>
      <c r="H110" s="73" t="n">
        <f aca="false">AVERAGE(G110,I110)</f>
        <v>39.0915</v>
      </c>
      <c r="I110" s="85" t="n">
        <v>39.963</v>
      </c>
      <c r="J110" s="51" t="s">
        <v>44</v>
      </c>
      <c r="K110" s="52"/>
      <c r="L110" s="53" t="s">
        <v>44</v>
      </c>
      <c r="M110" s="54" t="s">
        <v>44</v>
      </c>
      <c r="N110" s="55"/>
      <c r="O110" s="56" t="s">
        <v>44</v>
      </c>
      <c r="P110" s="54" t="s">
        <v>44</v>
      </c>
      <c r="Q110" s="55"/>
      <c r="R110" s="55" t="s">
        <v>44</v>
      </c>
      <c r="S110" s="51" t="n">
        <v>60</v>
      </c>
      <c r="T110" s="52" t="n">
        <f aca="false">AVERAGEA(U110,S110)</f>
        <v>75.05</v>
      </c>
      <c r="U110" s="53" t="n">
        <v>90.1</v>
      </c>
      <c r="V110" s="80" t="n">
        <v>50</v>
      </c>
      <c r="W110" s="101" t="n">
        <f aca="false">AVERAGEA(X110, V110)</f>
        <v>35</v>
      </c>
      <c r="X110" s="56" t="n">
        <v>20</v>
      </c>
      <c r="Y110" s="52" t="n">
        <v>0.83</v>
      </c>
      <c r="Z110" s="52" t="n">
        <f aca="false">AVERAGEA(AA110, Y110)</f>
        <v>15.415</v>
      </c>
      <c r="AA110" s="53" t="n">
        <v>30</v>
      </c>
      <c r="AB110" s="80" t="n">
        <v>0.83</v>
      </c>
      <c r="AC110" s="101" t="n">
        <f aca="false">AVERAGEA(AD110, AB110)</f>
        <v>15.415</v>
      </c>
      <c r="AD110" s="56" t="n">
        <v>30</v>
      </c>
      <c r="AE110" s="51" t="n">
        <v>0.1</v>
      </c>
      <c r="AF110" s="79" t="n">
        <f aca="false">AVERAGEA(AG110, AE110)</f>
        <v>0.55</v>
      </c>
      <c r="AG110" s="53" t="n">
        <v>1</v>
      </c>
      <c r="AH110" s="86" t="n">
        <v>0.25</v>
      </c>
      <c r="AI110" s="79" t="n">
        <f aca="false">AVERAGEA(AJ110, AH110)</f>
        <v>0.625</v>
      </c>
      <c r="AJ110" s="53" t="n">
        <v>1</v>
      </c>
      <c r="AK110" s="80" t="n">
        <v>370</v>
      </c>
      <c r="AL110" s="55" t="n">
        <f aca="false">AVERAGEA(AM110, AK110)</f>
        <v>510</v>
      </c>
      <c r="AM110" s="56" t="n">
        <v>650</v>
      </c>
      <c r="AN110" s="51" t="n">
        <v>9</v>
      </c>
      <c r="AO110" s="52" t="n">
        <f aca="false">AVERAGEA(AP110, AN110)</f>
        <v>16.5</v>
      </c>
      <c r="AP110" s="53" t="n">
        <v>24</v>
      </c>
      <c r="AQ110" s="80" t="n">
        <v>0.8</v>
      </c>
      <c r="AR110" s="55" t="n">
        <f aca="false">AVERAGEA(AS110, AQ110)</f>
        <v>1</v>
      </c>
      <c r="AS110" s="56" t="n">
        <v>1.2</v>
      </c>
      <c r="AT110" s="51" t="n">
        <v>0.02</v>
      </c>
      <c r="AU110" s="52" t="n">
        <f aca="false">AVERAGEA(AT110,AV110)</f>
        <v>12.01</v>
      </c>
      <c r="AV110" s="53" t="n">
        <v>24</v>
      </c>
      <c r="AW110" s="80" t="n">
        <v>0.02</v>
      </c>
      <c r="AX110" s="55" t="n">
        <f aca="false">AVERAGEA(AW110,AY110)</f>
        <v>47.26</v>
      </c>
      <c r="AY110" s="56" t="n">
        <v>94.5</v>
      </c>
      <c r="AZ110" s="51" t="n">
        <v>0.06</v>
      </c>
      <c r="BA110" s="52" t="n">
        <f aca="false">AVERAGEA(AZ110,BB110)</f>
        <v>38.53</v>
      </c>
      <c r="BB110" s="53" t="n">
        <v>77</v>
      </c>
      <c r="BC110" s="80" t="n">
        <v>0.66</v>
      </c>
      <c r="BD110" s="55" t="n">
        <f aca="false">AVERAGEA(BE110, BC110)</f>
        <v>0.73</v>
      </c>
      <c r="BE110" s="56" t="n">
        <v>0.8</v>
      </c>
      <c r="BF110" s="51" t="n">
        <v>0</v>
      </c>
      <c r="BG110" s="52" t="n">
        <f aca="false">AVERAGEA(BF110,BH110)</f>
        <v>15</v>
      </c>
      <c r="BH110" s="53" t="n">
        <v>30</v>
      </c>
      <c r="BI110" s="80" t="n">
        <v>0</v>
      </c>
      <c r="BJ110" s="55" t="n">
        <f aca="false">AVERAGEA(BI110,BK110)</f>
        <v>0.25</v>
      </c>
      <c r="BK110" s="56" t="n">
        <v>0.5</v>
      </c>
      <c r="BL110" s="51" t="n">
        <v>0</v>
      </c>
      <c r="BM110" s="52" t="n">
        <f aca="false">AVERAGEA(BL110,BN110)</f>
        <v>0.5</v>
      </c>
      <c r="BN110" s="53" t="n">
        <v>1</v>
      </c>
    </row>
    <row r="111" customFormat="false" ht="15" hidden="false" customHeight="true" outlineLevel="0" collapsed="false">
      <c r="B111" s="132"/>
      <c r="C111" s="150"/>
      <c r="D111" s="143"/>
      <c r="E111" s="144" t="s">
        <v>65</v>
      </c>
      <c r="F111" s="145"/>
      <c r="G111" s="84" t="n">
        <v>37.583</v>
      </c>
      <c r="H111" s="73" t="n">
        <f aca="false">AVERAGE(G111,I111)</f>
        <v>37.898</v>
      </c>
      <c r="I111" s="85" t="n">
        <v>38.213</v>
      </c>
      <c r="J111" s="51" t="s">
        <v>44</v>
      </c>
      <c r="K111" s="52"/>
      <c r="L111" s="53" t="s">
        <v>44</v>
      </c>
      <c r="M111" s="54" t="s">
        <v>44</v>
      </c>
      <c r="N111" s="55"/>
      <c r="O111" s="56" t="s">
        <v>44</v>
      </c>
      <c r="P111" s="54" t="s">
        <v>44</v>
      </c>
      <c r="Q111" s="55"/>
      <c r="R111" s="55" t="s">
        <v>44</v>
      </c>
      <c r="S111" s="51" t="n">
        <v>60</v>
      </c>
      <c r="T111" s="52" t="n">
        <f aca="false">AVERAGEA(U111,S111)</f>
        <v>75.05</v>
      </c>
      <c r="U111" s="53" t="n">
        <v>90.1</v>
      </c>
      <c r="V111" s="80" t="n">
        <v>50</v>
      </c>
      <c r="W111" s="101" t="n">
        <f aca="false">AVERAGEA(X111, V111)</f>
        <v>35</v>
      </c>
      <c r="X111" s="56" t="n">
        <v>20</v>
      </c>
      <c r="Y111" s="52" t="n">
        <v>0.83</v>
      </c>
      <c r="Z111" s="52" t="n">
        <f aca="false">AVERAGEA(AA111, Y111)</f>
        <v>15.415</v>
      </c>
      <c r="AA111" s="53" t="n">
        <v>30</v>
      </c>
      <c r="AB111" s="80" t="n">
        <v>0.83</v>
      </c>
      <c r="AC111" s="101" t="n">
        <f aca="false">AVERAGEA(AD111, AB111)</f>
        <v>15.415</v>
      </c>
      <c r="AD111" s="56" t="n">
        <v>30</v>
      </c>
      <c r="AE111" s="51" t="n">
        <v>0.1</v>
      </c>
      <c r="AF111" s="79" t="n">
        <f aca="false">AVERAGEA(AG111, AE111)</f>
        <v>0.55</v>
      </c>
      <c r="AG111" s="53" t="n">
        <v>1</v>
      </c>
      <c r="AH111" s="86" t="n">
        <v>0.25</v>
      </c>
      <c r="AI111" s="79" t="n">
        <f aca="false">AVERAGEA(AJ111, AH111)</f>
        <v>0.625</v>
      </c>
      <c r="AJ111" s="53" t="n">
        <v>1</v>
      </c>
      <c r="AK111" s="80" t="n">
        <v>370</v>
      </c>
      <c r="AL111" s="55" t="n">
        <f aca="false">AVERAGEA(AM111, AK111)</f>
        <v>510</v>
      </c>
      <c r="AM111" s="56" t="n">
        <v>650</v>
      </c>
      <c r="AN111" s="51" t="n">
        <v>9</v>
      </c>
      <c r="AO111" s="52" t="n">
        <f aca="false">AVERAGEA(AP111, AN111)</f>
        <v>16.5</v>
      </c>
      <c r="AP111" s="53" t="n">
        <v>24</v>
      </c>
      <c r="AQ111" s="80" t="n">
        <v>0.8</v>
      </c>
      <c r="AR111" s="55" t="n">
        <f aca="false">AVERAGEA(AS111, AQ111)</f>
        <v>1</v>
      </c>
      <c r="AS111" s="56" t="n">
        <v>1.2</v>
      </c>
      <c r="AT111" s="51" t="n">
        <v>0.02</v>
      </c>
      <c r="AU111" s="52" t="n">
        <f aca="false">AVERAGEA(AT111,AV111)</f>
        <v>12.01</v>
      </c>
      <c r="AV111" s="53" t="n">
        <v>24</v>
      </c>
      <c r="AW111" s="80" t="n">
        <v>0.02</v>
      </c>
      <c r="AX111" s="55" t="n">
        <f aca="false">AVERAGEA(AW111,AY111)</f>
        <v>47.26</v>
      </c>
      <c r="AY111" s="56" t="n">
        <v>94.5</v>
      </c>
      <c r="AZ111" s="51" t="n">
        <v>0.06</v>
      </c>
      <c r="BA111" s="52" t="n">
        <f aca="false">AVERAGEA(AZ111,BB111)</f>
        <v>38.53</v>
      </c>
      <c r="BB111" s="53" t="n">
        <v>77</v>
      </c>
      <c r="BC111" s="80" t="n">
        <v>0.66</v>
      </c>
      <c r="BD111" s="55" t="n">
        <f aca="false">AVERAGEA(BE111, BC111)</f>
        <v>0.73</v>
      </c>
      <c r="BE111" s="56" t="n">
        <v>0.8</v>
      </c>
      <c r="BF111" s="51" t="n">
        <v>0</v>
      </c>
      <c r="BG111" s="52" t="n">
        <f aca="false">AVERAGEA(BF111,BH111)</f>
        <v>15</v>
      </c>
      <c r="BH111" s="53" t="n">
        <v>30</v>
      </c>
      <c r="BI111" s="80" t="n">
        <v>0</v>
      </c>
      <c r="BJ111" s="55" t="n">
        <f aca="false">AVERAGEA(BI111,BK111)</f>
        <v>0.25</v>
      </c>
      <c r="BK111" s="56" t="n">
        <v>0.5</v>
      </c>
      <c r="BL111" s="51" t="n">
        <v>0</v>
      </c>
      <c r="BM111" s="52" t="n">
        <f aca="false">AVERAGEA(BL111,BN111)</f>
        <v>0.5</v>
      </c>
      <c r="BN111" s="53" t="n">
        <v>1</v>
      </c>
    </row>
    <row r="112" customFormat="false" ht="15" hidden="false" customHeight="true" outlineLevel="0" collapsed="false">
      <c r="B112" s="132"/>
      <c r="C112" s="150"/>
      <c r="D112" s="143"/>
      <c r="E112" s="144" t="s">
        <v>66</v>
      </c>
      <c r="F112" s="145"/>
      <c r="G112" s="84" t="n">
        <v>37.527</v>
      </c>
      <c r="H112" s="73" t="n">
        <f aca="false">AVERAGE(G112,I112)</f>
        <v>37.5515</v>
      </c>
      <c r="I112" s="85" t="n">
        <v>37.576</v>
      </c>
      <c r="J112" s="51" t="s">
        <v>44</v>
      </c>
      <c r="K112" s="52"/>
      <c r="L112" s="53" t="s">
        <v>44</v>
      </c>
      <c r="M112" s="54" t="s">
        <v>44</v>
      </c>
      <c r="N112" s="55"/>
      <c r="O112" s="56" t="s">
        <v>44</v>
      </c>
      <c r="P112" s="54" t="s">
        <v>44</v>
      </c>
      <c r="Q112" s="55"/>
      <c r="R112" s="55" t="s">
        <v>44</v>
      </c>
      <c r="S112" s="51" t="n">
        <v>60</v>
      </c>
      <c r="T112" s="52" t="n">
        <f aca="false">AVERAGEA(U112,S112)</f>
        <v>75.05</v>
      </c>
      <c r="U112" s="53" t="n">
        <v>90.1</v>
      </c>
      <c r="V112" s="80" t="n">
        <v>50</v>
      </c>
      <c r="W112" s="101" t="n">
        <f aca="false">AVERAGEA(X112, V112)</f>
        <v>35</v>
      </c>
      <c r="X112" s="56" t="n">
        <v>20</v>
      </c>
      <c r="Y112" s="52" t="n">
        <v>0.83</v>
      </c>
      <c r="Z112" s="52" t="n">
        <f aca="false">AVERAGEA(AA112, Y112)</f>
        <v>15.415</v>
      </c>
      <c r="AA112" s="53" t="n">
        <v>30</v>
      </c>
      <c r="AB112" s="80" t="n">
        <v>0.83</v>
      </c>
      <c r="AC112" s="101" t="n">
        <f aca="false">AVERAGEA(AD112, AB112)</f>
        <v>15.415</v>
      </c>
      <c r="AD112" s="56" t="n">
        <v>30</v>
      </c>
      <c r="AE112" s="51" t="n">
        <v>0.1</v>
      </c>
      <c r="AF112" s="79" t="n">
        <f aca="false">AVERAGEA(AG112, AE112)</f>
        <v>0.55</v>
      </c>
      <c r="AG112" s="53" t="n">
        <v>1</v>
      </c>
      <c r="AH112" s="86" t="n">
        <v>0.25</v>
      </c>
      <c r="AI112" s="79" t="n">
        <f aca="false">AVERAGEA(AJ112, AH112)</f>
        <v>0.625</v>
      </c>
      <c r="AJ112" s="53" t="n">
        <v>1</v>
      </c>
      <c r="AK112" s="80" t="n">
        <v>370</v>
      </c>
      <c r="AL112" s="55" t="n">
        <f aca="false">AVERAGEA(AM112, AK112)</f>
        <v>510</v>
      </c>
      <c r="AM112" s="56" t="n">
        <v>650</v>
      </c>
      <c r="AN112" s="51" t="n">
        <v>9</v>
      </c>
      <c r="AO112" s="52" t="n">
        <f aca="false">AVERAGEA(AP112, AN112)</f>
        <v>16.5</v>
      </c>
      <c r="AP112" s="53" t="n">
        <v>24</v>
      </c>
      <c r="AQ112" s="80" t="n">
        <v>0.8</v>
      </c>
      <c r="AR112" s="55" t="n">
        <f aca="false">AVERAGEA(AS112, AQ112)</f>
        <v>1</v>
      </c>
      <c r="AS112" s="56" t="n">
        <v>1.2</v>
      </c>
      <c r="AT112" s="51" t="n">
        <v>0.02</v>
      </c>
      <c r="AU112" s="52" t="n">
        <f aca="false">AVERAGEA(AT112,AV112)</f>
        <v>12.01</v>
      </c>
      <c r="AV112" s="53" t="n">
        <v>24</v>
      </c>
      <c r="AW112" s="80" t="n">
        <v>0.02</v>
      </c>
      <c r="AX112" s="55" t="n">
        <f aca="false">AVERAGEA(AW112,AY112)</f>
        <v>47.26</v>
      </c>
      <c r="AY112" s="56" t="n">
        <v>94.5</v>
      </c>
      <c r="AZ112" s="51" t="n">
        <v>0.06</v>
      </c>
      <c r="BA112" s="52" t="n">
        <f aca="false">AVERAGEA(AZ112,BB112)</f>
        <v>38.53</v>
      </c>
      <c r="BB112" s="53" t="n">
        <v>77</v>
      </c>
      <c r="BC112" s="80" t="n">
        <v>0.66</v>
      </c>
      <c r="BD112" s="55" t="n">
        <f aca="false">AVERAGEA(BE112, BC112)</f>
        <v>0.73</v>
      </c>
      <c r="BE112" s="56" t="n">
        <v>0.8</v>
      </c>
      <c r="BF112" s="51" t="n">
        <v>0</v>
      </c>
      <c r="BG112" s="52" t="n">
        <f aca="false">AVERAGEA(BF112,BH112)</f>
        <v>15</v>
      </c>
      <c r="BH112" s="53" t="n">
        <v>30</v>
      </c>
      <c r="BI112" s="80" t="n">
        <v>0</v>
      </c>
      <c r="BJ112" s="55" t="n">
        <f aca="false">AVERAGEA(BI112,BK112)</f>
        <v>0.25</v>
      </c>
      <c r="BK112" s="56" t="n">
        <v>0.5</v>
      </c>
      <c r="BL112" s="51" t="n">
        <v>0</v>
      </c>
      <c r="BM112" s="52" t="n">
        <f aca="false">AVERAGEA(BL112,BN112)</f>
        <v>0.5</v>
      </c>
      <c r="BN112" s="53" t="n">
        <v>1</v>
      </c>
    </row>
    <row r="113" customFormat="false" ht="15" hidden="false" customHeight="true" outlineLevel="0" collapsed="false">
      <c r="B113" s="132"/>
      <c r="C113" s="150"/>
      <c r="D113" s="143" t="s">
        <v>72</v>
      </c>
      <c r="E113" s="144" t="s">
        <v>63</v>
      </c>
      <c r="F113" s="145" t="s">
        <v>73</v>
      </c>
      <c r="G113" s="84" t="n">
        <v>39.97</v>
      </c>
      <c r="H113" s="73" t="n">
        <f aca="false">AVERAGE(G113,I113)</f>
        <v>40.845</v>
      </c>
      <c r="I113" s="85" t="n">
        <v>41.72</v>
      </c>
      <c r="J113" s="51" t="s">
        <v>44</v>
      </c>
      <c r="K113" s="52"/>
      <c r="L113" s="53" t="s">
        <v>44</v>
      </c>
      <c r="M113" s="54" t="s">
        <v>44</v>
      </c>
      <c r="N113" s="55"/>
      <c r="O113" s="56" t="s">
        <v>44</v>
      </c>
      <c r="P113" s="54" t="s">
        <v>44</v>
      </c>
      <c r="Q113" s="55"/>
      <c r="R113" s="55" t="s">
        <v>44</v>
      </c>
      <c r="S113" s="51" t="n">
        <v>60</v>
      </c>
      <c r="T113" s="52" t="n">
        <f aca="false">AVERAGEA(U113,S113)</f>
        <v>75.05</v>
      </c>
      <c r="U113" s="53" t="n">
        <v>90.1</v>
      </c>
      <c r="V113" s="80" t="n">
        <v>50</v>
      </c>
      <c r="W113" s="101" t="n">
        <f aca="false">AVERAGEA(X113, V113)</f>
        <v>35</v>
      </c>
      <c r="X113" s="56" t="n">
        <v>20</v>
      </c>
      <c r="Y113" s="52" t="n">
        <v>0.83</v>
      </c>
      <c r="Z113" s="52" t="n">
        <f aca="false">AVERAGEA(AA113, Y113)</f>
        <v>15.415</v>
      </c>
      <c r="AA113" s="53" t="n">
        <v>30</v>
      </c>
      <c r="AB113" s="80" t="n">
        <v>0.83</v>
      </c>
      <c r="AC113" s="101" t="n">
        <f aca="false">AVERAGEA(AD113, AB113)</f>
        <v>15.415</v>
      </c>
      <c r="AD113" s="56" t="n">
        <v>30</v>
      </c>
      <c r="AE113" s="51" t="n">
        <v>0.1</v>
      </c>
      <c r="AF113" s="79" t="n">
        <f aca="false">AVERAGEA(AG113, AE113)</f>
        <v>0.55</v>
      </c>
      <c r="AG113" s="53" t="n">
        <v>1</v>
      </c>
      <c r="AH113" s="86" t="n">
        <v>0.25</v>
      </c>
      <c r="AI113" s="79" t="n">
        <f aca="false">AVERAGEA(AJ113, AH113)</f>
        <v>0.625</v>
      </c>
      <c r="AJ113" s="53" t="n">
        <v>1</v>
      </c>
      <c r="AK113" s="80" t="n">
        <v>370</v>
      </c>
      <c r="AL113" s="55" t="n">
        <f aca="false">AVERAGEA(AM113, AK113)</f>
        <v>550</v>
      </c>
      <c r="AM113" s="56" t="n">
        <v>730</v>
      </c>
      <c r="AN113" s="51" t="n">
        <v>9</v>
      </c>
      <c r="AO113" s="52" t="n">
        <f aca="false">AVERAGEA(AP113, AN113)</f>
        <v>16.5</v>
      </c>
      <c r="AP113" s="53" t="n">
        <v>24</v>
      </c>
      <c r="AQ113" s="80" t="n">
        <v>0.8</v>
      </c>
      <c r="AR113" s="55" t="n">
        <f aca="false">AVERAGEA(AS113, AQ113)</f>
        <v>2.4</v>
      </c>
      <c r="AS113" s="56" t="n">
        <v>4</v>
      </c>
      <c r="AT113" s="51" t="n">
        <v>0.02</v>
      </c>
      <c r="AU113" s="52" t="n">
        <f aca="false">AVERAGEA(AT113,AV113)</f>
        <v>12.01</v>
      </c>
      <c r="AV113" s="53" t="n">
        <v>24</v>
      </c>
      <c r="AW113" s="80" t="n">
        <v>0.02</v>
      </c>
      <c r="AX113" s="55" t="n">
        <f aca="false">AVERAGEA(AW113,AY113)</f>
        <v>47.26</v>
      </c>
      <c r="AY113" s="56" t="n">
        <v>94.5</v>
      </c>
      <c r="AZ113" s="51" t="n">
        <v>0.06</v>
      </c>
      <c r="BA113" s="52" t="n">
        <f aca="false">AVERAGEA(AZ113,BB113)</f>
        <v>38.53</v>
      </c>
      <c r="BB113" s="53" t="n">
        <v>77</v>
      </c>
      <c r="BC113" s="80" t="n">
        <v>0.66</v>
      </c>
      <c r="BD113" s="55" t="n">
        <f aca="false">AVERAGEA(BE113, BC113)</f>
        <v>0.73</v>
      </c>
      <c r="BE113" s="56" t="n">
        <v>0.8</v>
      </c>
      <c r="BF113" s="51" t="n">
        <v>0</v>
      </c>
      <c r="BG113" s="52" t="n">
        <f aca="false">AVERAGEA(BF113,BH113)</f>
        <v>15</v>
      </c>
      <c r="BH113" s="53" t="n">
        <v>30</v>
      </c>
      <c r="BI113" s="80" t="n">
        <v>0</v>
      </c>
      <c r="BJ113" s="55" t="n">
        <f aca="false">AVERAGEA(BI113,BK113)</f>
        <v>0.25</v>
      </c>
      <c r="BK113" s="56" t="n">
        <v>0.5</v>
      </c>
      <c r="BL113" s="51" t="n">
        <v>0</v>
      </c>
      <c r="BM113" s="52" t="n">
        <f aca="false">AVERAGEA(BL113,BN113)</f>
        <v>0.5</v>
      </c>
      <c r="BN113" s="53" t="n">
        <v>1</v>
      </c>
    </row>
    <row r="114" customFormat="false" ht="15" hidden="false" customHeight="true" outlineLevel="0" collapsed="false">
      <c r="B114" s="132"/>
      <c r="C114" s="150"/>
      <c r="D114" s="143"/>
      <c r="E114" s="144" t="s">
        <v>64</v>
      </c>
      <c r="F114" s="145"/>
      <c r="G114" s="84" t="n">
        <v>38.22</v>
      </c>
      <c r="H114" s="73" t="n">
        <f aca="false">AVERAGE(G114,I114)</f>
        <v>39.0915</v>
      </c>
      <c r="I114" s="85" t="n">
        <v>39.963</v>
      </c>
      <c r="J114" s="51" t="s">
        <v>44</v>
      </c>
      <c r="K114" s="52"/>
      <c r="L114" s="53" t="s">
        <v>44</v>
      </c>
      <c r="M114" s="54" t="s">
        <v>44</v>
      </c>
      <c r="N114" s="55"/>
      <c r="O114" s="56" t="s">
        <v>44</v>
      </c>
      <c r="P114" s="54" t="s">
        <v>44</v>
      </c>
      <c r="Q114" s="55"/>
      <c r="R114" s="55" t="s">
        <v>44</v>
      </c>
      <c r="S114" s="51" t="n">
        <v>60</v>
      </c>
      <c r="T114" s="52" t="n">
        <f aca="false">AVERAGEA(U114,S114)</f>
        <v>75.05</v>
      </c>
      <c r="U114" s="53" t="n">
        <v>90.1</v>
      </c>
      <c r="V114" s="80" t="n">
        <v>50</v>
      </c>
      <c r="W114" s="101" t="n">
        <f aca="false">AVERAGEA(X114, V114)</f>
        <v>35</v>
      </c>
      <c r="X114" s="56" t="n">
        <v>20</v>
      </c>
      <c r="Y114" s="52" t="n">
        <v>0.83</v>
      </c>
      <c r="Z114" s="52" t="n">
        <f aca="false">AVERAGEA(AA114, Y114)</f>
        <v>15.415</v>
      </c>
      <c r="AA114" s="53" t="n">
        <v>30</v>
      </c>
      <c r="AB114" s="80" t="n">
        <v>0.83</v>
      </c>
      <c r="AC114" s="101" t="n">
        <f aca="false">AVERAGEA(AD114, AB114)</f>
        <v>15.415</v>
      </c>
      <c r="AD114" s="56" t="n">
        <v>30</v>
      </c>
      <c r="AE114" s="51" t="n">
        <v>0.1</v>
      </c>
      <c r="AF114" s="79" t="n">
        <f aca="false">AVERAGEA(AG114, AE114)</f>
        <v>0.55</v>
      </c>
      <c r="AG114" s="53" t="n">
        <v>1</v>
      </c>
      <c r="AH114" s="86" t="n">
        <v>0.25</v>
      </c>
      <c r="AI114" s="79" t="n">
        <f aca="false">AVERAGEA(AJ114, AH114)</f>
        <v>0.625</v>
      </c>
      <c r="AJ114" s="53" t="n">
        <v>1</v>
      </c>
      <c r="AK114" s="80" t="n">
        <v>370</v>
      </c>
      <c r="AL114" s="55" t="n">
        <f aca="false">AVERAGEA(AM114, AK114)</f>
        <v>550</v>
      </c>
      <c r="AM114" s="56" t="n">
        <v>730</v>
      </c>
      <c r="AN114" s="51" t="n">
        <v>9</v>
      </c>
      <c r="AO114" s="52" t="n">
        <f aca="false">AVERAGEA(AP114, AN114)</f>
        <v>16.5</v>
      </c>
      <c r="AP114" s="53" t="n">
        <v>24</v>
      </c>
      <c r="AQ114" s="80" t="n">
        <v>0.8</v>
      </c>
      <c r="AR114" s="55" t="n">
        <f aca="false">AVERAGEA(AS114, AQ114)</f>
        <v>2.4</v>
      </c>
      <c r="AS114" s="56" t="n">
        <v>4</v>
      </c>
      <c r="AT114" s="51" t="n">
        <v>0.02</v>
      </c>
      <c r="AU114" s="52" t="n">
        <f aca="false">AVERAGEA(AT114,AV114)</f>
        <v>12.01</v>
      </c>
      <c r="AV114" s="53" t="n">
        <v>24</v>
      </c>
      <c r="AW114" s="80" t="n">
        <v>0.02</v>
      </c>
      <c r="AX114" s="55" t="n">
        <f aca="false">AVERAGEA(AW114,AY114)</f>
        <v>47.26</v>
      </c>
      <c r="AY114" s="56" t="n">
        <v>94.5</v>
      </c>
      <c r="AZ114" s="51" t="n">
        <v>0.06</v>
      </c>
      <c r="BA114" s="52" t="n">
        <f aca="false">AVERAGEA(AZ114,BB114)</f>
        <v>38.53</v>
      </c>
      <c r="BB114" s="53" t="n">
        <v>77</v>
      </c>
      <c r="BC114" s="80" t="n">
        <v>0.66</v>
      </c>
      <c r="BD114" s="55" t="n">
        <f aca="false">AVERAGEA(BE114, BC114)</f>
        <v>0.73</v>
      </c>
      <c r="BE114" s="56" t="n">
        <v>0.8</v>
      </c>
      <c r="BF114" s="51" t="n">
        <v>0</v>
      </c>
      <c r="BG114" s="52" t="n">
        <f aca="false">AVERAGEA(BF114,BH114)</f>
        <v>15</v>
      </c>
      <c r="BH114" s="53" t="n">
        <v>30</v>
      </c>
      <c r="BI114" s="80" t="n">
        <v>0</v>
      </c>
      <c r="BJ114" s="55" t="n">
        <f aca="false">AVERAGEA(BI114,BK114)</f>
        <v>0.25</v>
      </c>
      <c r="BK114" s="56" t="n">
        <v>0.5</v>
      </c>
      <c r="BL114" s="51" t="n">
        <v>0</v>
      </c>
      <c r="BM114" s="52" t="n">
        <f aca="false">AVERAGEA(BL114,BN114)</f>
        <v>0.5</v>
      </c>
      <c r="BN114" s="53" t="n">
        <v>1</v>
      </c>
    </row>
    <row r="115" customFormat="false" ht="15" hidden="false" customHeight="true" outlineLevel="0" collapsed="false">
      <c r="B115" s="132"/>
      <c r="C115" s="150"/>
      <c r="D115" s="143"/>
      <c r="E115" s="144" t="s">
        <v>65</v>
      </c>
      <c r="F115" s="145"/>
      <c r="G115" s="84" t="n">
        <v>37.583</v>
      </c>
      <c r="H115" s="73" t="n">
        <f aca="false">AVERAGE(G115,I115)</f>
        <v>37.898</v>
      </c>
      <c r="I115" s="85" t="n">
        <v>38.213</v>
      </c>
      <c r="J115" s="51" t="s">
        <v>44</v>
      </c>
      <c r="K115" s="52"/>
      <c r="L115" s="53" t="s">
        <v>44</v>
      </c>
      <c r="M115" s="54" t="s">
        <v>44</v>
      </c>
      <c r="N115" s="55"/>
      <c r="O115" s="56" t="s">
        <v>44</v>
      </c>
      <c r="P115" s="54" t="s">
        <v>44</v>
      </c>
      <c r="Q115" s="55"/>
      <c r="R115" s="55" t="s">
        <v>44</v>
      </c>
      <c r="S115" s="51" t="n">
        <v>60</v>
      </c>
      <c r="T115" s="52" t="n">
        <f aca="false">AVERAGEA(U115,S115)</f>
        <v>75.05</v>
      </c>
      <c r="U115" s="53" t="n">
        <v>90.1</v>
      </c>
      <c r="V115" s="80" t="n">
        <v>50</v>
      </c>
      <c r="W115" s="101" t="n">
        <f aca="false">AVERAGEA(X115, V115)</f>
        <v>35</v>
      </c>
      <c r="X115" s="56" t="n">
        <v>20</v>
      </c>
      <c r="Y115" s="52" t="n">
        <v>0.83</v>
      </c>
      <c r="Z115" s="52" t="n">
        <f aca="false">AVERAGEA(AA115, Y115)</f>
        <v>15.415</v>
      </c>
      <c r="AA115" s="53" t="n">
        <v>30</v>
      </c>
      <c r="AB115" s="80" t="n">
        <v>0.83</v>
      </c>
      <c r="AC115" s="101" t="n">
        <f aca="false">AVERAGEA(AD115, AB115)</f>
        <v>15.415</v>
      </c>
      <c r="AD115" s="56" t="n">
        <v>30</v>
      </c>
      <c r="AE115" s="51" t="n">
        <v>0.1</v>
      </c>
      <c r="AF115" s="79" t="n">
        <f aca="false">AVERAGEA(AG115, AE115)</f>
        <v>0.55</v>
      </c>
      <c r="AG115" s="53" t="n">
        <v>1</v>
      </c>
      <c r="AH115" s="86" t="n">
        <v>0.25</v>
      </c>
      <c r="AI115" s="79" t="n">
        <f aca="false">AVERAGEA(AJ115, AH115)</f>
        <v>0.625</v>
      </c>
      <c r="AJ115" s="53" t="n">
        <v>1</v>
      </c>
      <c r="AK115" s="80" t="n">
        <v>370</v>
      </c>
      <c r="AL115" s="55" t="n">
        <f aca="false">AVERAGEA(AM115, AK115)</f>
        <v>550</v>
      </c>
      <c r="AM115" s="56" t="n">
        <v>730</v>
      </c>
      <c r="AN115" s="51" t="n">
        <v>9</v>
      </c>
      <c r="AO115" s="52" t="n">
        <f aca="false">AVERAGEA(AP115, AN115)</f>
        <v>16.5</v>
      </c>
      <c r="AP115" s="53" t="n">
        <v>24</v>
      </c>
      <c r="AQ115" s="80" t="n">
        <v>0.8</v>
      </c>
      <c r="AR115" s="55" t="n">
        <f aca="false">AVERAGEA(AS115, AQ115)</f>
        <v>2.4</v>
      </c>
      <c r="AS115" s="56" t="n">
        <v>4</v>
      </c>
      <c r="AT115" s="51" t="n">
        <v>0.02</v>
      </c>
      <c r="AU115" s="52" t="n">
        <f aca="false">AVERAGEA(AT115,AV115)</f>
        <v>12.01</v>
      </c>
      <c r="AV115" s="53" t="n">
        <v>24</v>
      </c>
      <c r="AW115" s="80" t="n">
        <v>0.02</v>
      </c>
      <c r="AX115" s="55" t="n">
        <f aca="false">AVERAGEA(AW115,AY115)</f>
        <v>47.26</v>
      </c>
      <c r="AY115" s="56" t="n">
        <v>94.5</v>
      </c>
      <c r="AZ115" s="51" t="n">
        <v>0.06</v>
      </c>
      <c r="BA115" s="52" t="n">
        <f aca="false">AVERAGEA(AZ115,BB115)</f>
        <v>38.53</v>
      </c>
      <c r="BB115" s="53" t="n">
        <v>77</v>
      </c>
      <c r="BC115" s="80" t="n">
        <v>0.66</v>
      </c>
      <c r="BD115" s="55" t="n">
        <f aca="false">AVERAGEA(BE115, BC115)</f>
        <v>0.73</v>
      </c>
      <c r="BE115" s="56" t="n">
        <v>0.8</v>
      </c>
      <c r="BF115" s="51" t="n">
        <v>0</v>
      </c>
      <c r="BG115" s="52" t="n">
        <f aca="false">AVERAGEA(BF115,BH115)</f>
        <v>15</v>
      </c>
      <c r="BH115" s="53" t="n">
        <v>30</v>
      </c>
      <c r="BI115" s="80" t="n">
        <v>0</v>
      </c>
      <c r="BJ115" s="55" t="n">
        <f aca="false">AVERAGEA(BI115,BK115)</f>
        <v>0.25</v>
      </c>
      <c r="BK115" s="56" t="n">
        <v>0.5</v>
      </c>
      <c r="BL115" s="51" t="n">
        <v>0</v>
      </c>
      <c r="BM115" s="52" t="n">
        <f aca="false">AVERAGEA(BL115,BN115)</f>
        <v>0.5</v>
      </c>
      <c r="BN115" s="53" t="n">
        <v>1</v>
      </c>
    </row>
    <row r="116" customFormat="false" ht="15" hidden="false" customHeight="true" outlineLevel="0" collapsed="false">
      <c r="B116" s="132"/>
      <c r="C116" s="150"/>
      <c r="D116" s="143"/>
      <c r="E116" s="144" t="s">
        <v>66</v>
      </c>
      <c r="F116" s="145"/>
      <c r="G116" s="84" t="n">
        <v>37.527</v>
      </c>
      <c r="H116" s="73" t="n">
        <f aca="false">AVERAGE(G116,I116)</f>
        <v>37.5515</v>
      </c>
      <c r="I116" s="85" t="n">
        <v>37.576</v>
      </c>
      <c r="J116" s="51" t="s">
        <v>44</v>
      </c>
      <c r="K116" s="52"/>
      <c r="L116" s="53" t="s">
        <v>44</v>
      </c>
      <c r="M116" s="54" t="s">
        <v>44</v>
      </c>
      <c r="N116" s="55"/>
      <c r="O116" s="56" t="s">
        <v>44</v>
      </c>
      <c r="P116" s="54" t="s">
        <v>44</v>
      </c>
      <c r="Q116" s="55"/>
      <c r="R116" s="55" t="s">
        <v>44</v>
      </c>
      <c r="S116" s="51" t="n">
        <v>60</v>
      </c>
      <c r="T116" s="52" t="n">
        <f aca="false">AVERAGEA(U116,S116)</f>
        <v>75.05</v>
      </c>
      <c r="U116" s="53" t="n">
        <v>90.1</v>
      </c>
      <c r="V116" s="80" t="n">
        <v>50</v>
      </c>
      <c r="W116" s="101" t="n">
        <f aca="false">AVERAGEA(X116, V116)</f>
        <v>35</v>
      </c>
      <c r="X116" s="56" t="n">
        <v>20</v>
      </c>
      <c r="Y116" s="52" t="n">
        <v>0.83</v>
      </c>
      <c r="Z116" s="52" t="n">
        <f aca="false">AVERAGEA(AA116, Y116)</f>
        <v>15.415</v>
      </c>
      <c r="AA116" s="53" t="n">
        <v>30</v>
      </c>
      <c r="AB116" s="80" t="n">
        <v>0.83</v>
      </c>
      <c r="AC116" s="101" t="n">
        <f aca="false">AVERAGEA(AD116, AB116)</f>
        <v>15.415</v>
      </c>
      <c r="AD116" s="56" t="n">
        <v>30</v>
      </c>
      <c r="AE116" s="51" t="n">
        <v>0.1</v>
      </c>
      <c r="AF116" s="79" t="n">
        <f aca="false">AVERAGEA(AG116, AE116)</f>
        <v>0.55</v>
      </c>
      <c r="AG116" s="53" t="n">
        <v>1</v>
      </c>
      <c r="AH116" s="86" t="n">
        <v>0.25</v>
      </c>
      <c r="AI116" s="79" t="n">
        <f aca="false">AVERAGEA(AJ116, AH116)</f>
        <v>0.625</v>
      </c>
      <c r="AJ116" s="53" t="n">
        <v>1</v>
      </c>
      <c r="AK116" s="80" t="n">
        <v>370</v>
      </c>
      <c r="AL116" s="55" t="n">
        <f aca="false">AVERAGEA(AM116, AK116)</f>
        <v>550</v>
      </c>
      <c r="AM116" s="56" t="n">
        <v>730</v>
      </c>
      <c r="AN116" s="51" t="n">
        <v>9</v>
      </c>
      <c r="AO116" s="52" t="n">
        <f aca="false">AVERAGEA(AP116, AN116)</f>
        <v>16.5</v>
      </c>
      <c r="AP116" s="53" t="n">
        <v>24</v>
      </c>
      <c r="AQ116" s="80" t="n">
        <v>0.8</v>
      </c>
      <c r="AR116" s="55" t="n">
        <f aca="false">AVERAGEA(AS116, AQ116)</f>
        <v>2.4</v>
      </c>
      <c r="AS116" s="56" t="n">
        <v>4</v>
      </c>
      <c r="AT116" s="51" t="n">
        <v>0.02</v>
      </c>
      <c r="AU116" s="52" t="n">
        <f aca="false">AVERAGEA(AT116,AV116)</f>
        <v>12.01</v>
      </c>
      <c r="AV116" s="53" t="n">
        <v>24</v>
      </c>
      <c r="AW116" s="80" t="n">
        <v>0.02</v>
      </c>
      <c r="AX116" s="55" t="n">
        <f aca="false">AVERAGEA(AW116,AY116)</f>
        <v>47.26</v>
      </c>
      <c r="AY116" s="56" t="n">
        <v>94.5</v>
      </c>
      <c r="AZ116" s="51" t="n">
        <v>0.06</v>
      </c>
      <c r="BA116" s="52" t="n">
        <f aca="false">AVERAGEA(AZ116,BB116)</f>
        <v>38.53</v>
      </c>
      <c r="BB116" s="53" t="n">
        <v>77</v>
      </c>
      <c r="BC116" s="80" t="n">
        <v>0.66</v>
      </c>
      <c r="BD116" s="55" t="n">
        <f aca="false">AVERAGEA(BE116, BC116)</f>
        <v>0.73</v>
      </c>
      <c r="BE116" s="56" t="n">
        <v>0.8</v>
      </c>
      <c r="BF116" s="51" t="n">
        <v>0</v>
      </c>
      <c r="BG116" s="52" t="n">
        <f aca="false">AVERAGEA(BF116,BH116)</f>
        <v>15</v>
      </c>
      <c r="BH116" s="53" t="n">
        <v>30</v>
      </c>
      <c r="BI116" s="80" t="n">
        <v>0</v>
      </c>
      <c r="BJ116" s="55" t="n">
        <f aca="false">AVERAGEA(BI116,BK116)</f>
        <v>0.25</v>
      </c>
      <c r="BK116" s="56" t="n">
        <v>0.5</v>
      </c>
      <c r="BL116" s="51" t="n">
        <v>0</v>
      </c>
      <c r="BM116" s="52" t="n">
        <f aca="false">AVERAGEA(BL116,BN116)</f>
        <v>0.5</v>
      </c>
      <c r="BN116" s="53" t="n">
        <v>1</v>
      </c>
    </row>
    <row r="117" customFormat="false" ht="15" hidden="false" customHeight="true" outlineLevel="0" collapsed="false">
      <c r="B117" s="132"/>
      <c r="C117" s="150"/>
      <c r="D117" s="143" t="s">
        <v>74</v>
      </c>
      <c r="E117" s="144" t="s">
        <v>63</v>
      </c>
      <c r="F117" s="145" t="s">
        <v>75</v>
      </c>
      <c r="G117" s="84" t="n">
        <v>41.31</v>
      </c>
      <c r="H117" s="73" t="n">
        <f aca="false">AVERAGE(G117,I117)</f>
        <v>41.81</v>
      </c>
      <c r="I117" s="85" t="n">
        <v>42.31</v>
      </c>
      <c r="J117" s="51" t="s">
        <v>44</v>
      </c>
      <c r="K117" s="52"/>
      <c r="L117" s="53" t="s">
        <v>44</v>
      </c>
      <c r="M117" s="54" t="s">
        <v>44</v>
      </c>
      <c r="N117" s="55"/>
      <c r="O117" s="56" t="s">
        <v>44</v>
      </c>
      <c r="P117" s="54" t="s">
        <v>44</v>
      </c>
      <c r="Q117" s="55"/>
      <c r="R117" s="55" t="s">
        <v>44</v>
      </c>
      <c r="S117" s="51" t="n">
        <v>60</v>
      </c>
      <c r="T117" s="52" t="n">
        <f aca="false">AVERAGEA(U117,S117)</f>
        <v>75.05</v>
      </c>
      <c r="U117" s="53" t="n">
        <v>90.1</v>
      </c>
      <c r="V117" s="80" t="n">
        <v>50</v>
      </c>
      <c r="W117" s="101" t="n">
        <f aca="false">AVERAGEA(X117, V117)</f>
        <v>35</v>
      </c>
      <c r="X117" s="56" t="n">
        <v>20</v>
      </c>
      <c r="Y117" s="52" t="n">
        <v>0.83</v>
      </c>
      <c r="Z117" s="52" t="n">
        <f aca="false">AVERAGEA(AA117, Y117)</f>
        <v>15.415</v>
      </c>
      <c r="AA117" s="53" t="n">
        <v>30</v>
      </c>
      <c r="AB117" s="80" t="n">
        <v>0.83</v>
      </c>
      <c r="AC117" s="101" t="n">
        <f aca="false">AVERAGEA(AD117, AB117)</f>
        <v>15.415</v>
      </c>
      <c r="AD117" s="56" t="n">
        <v>30</v>
      </c>
      <c r="AE117" s="51" t="n">
        <v>0.1</v>
      </c>
      <c r="AF117" s="79" t="n">
        <f aca="false">AVERAGEA(AG117, AE117)</f>
        <v>0.55</v>
      </c>
      <c r="AG117" s="53" t="n">
        <v>1</v>
      </c>
      <c r="AH117" s="86" t="n">
        <v>0.25</v>
      </c>
      <c r="AI117" s="79" t="n">
        <f aca="false">AVERAGEA(AJ117, AH117)</f>
        <v>0.625</v>
      </c>
      <c r="AJ117" s="53" t="n">
        <v>1</v>
      </c>
      <c r="AK117" s="80" t="n">
        <v>370</v>
      </c>
      <c r="AL117" s="55" t="n">
        <f aca="false">AVERAGEA(AM117, AK117)</f>
        <v>550</v>
      </c>
      <c r="AM117" s="56" t="n">
        <v>730</v>
      </c>
      <c r="AN117" s="51" t="n">
        <v>9</v>
      </c>
      <c r="AO117" s="52" t="n">
        <f aca="false">AVERAGEA(AP117, AN117)</f>
        <v>16.5</v>
      </c>
      <c r="AP117" s="53" t="n">
        <v>24</v>
      </c>
      <c r="AQ117" s="80" t="n">
        <v>0.8</v>
      </c>
      <c r="AR117" s="55" t="n">
        <f aca="false">AVERAGEA(AS117, AQ117)</f>
        <v>2.4</v>
      </c>
      <c r="AS117" s="56" t="n">
        <v>4</v>
      </c>
      <c r="AT117" s="51" t="n">
        <v>0.02</v>
      </c>
      <c r="AU117" s="52" t="n">
        <f aca="false">AVERAGEA(AT117,AV117)</f>
        <v>12.01</v>
      </c>
      <c r="AV117" s="53" t="n">
        <v>24</v>
      </c>
      <c r="AW117" s="80" t="n">
        <v>0.02</v>
      </c>
      <c r="AX117" s="55" t="n">
        <f aca="false">AVERAGEA(AW117,AY117)</f>
        <v>47.26</v>
      </c>
      <c r="AY117" s="56" t="n">
        <v>94.5</v>
      </c>
      <c r="AZ117" s="51" t="n">
        <v>0.06</v>
      </c>
      <c r="BA117" s="52" t="n">
        <f aca="false">AVERAGEA(AZ117,BB117)</f>
        <v>38.53</v>
      </c>
      <c r="BB117" s="53" t="n">
        <v>77</v>
      </c>
      <c r="BC117" s="80" t="n">
        <v>0.66</v>
      </c>
      <c r="BD117" s="55" t="n">
        <f aca="false">AVERAGEA(BE117, BC117)</f>
        <v>0.73</v>
      </c>
      <c r="BE117" s="56" t="n">
        <v>0.8</v>
      </c>
      <c r="BF117" s="51" t="n">
        <v>0</v>
      </c>
      <c r="BG117" s="52" t="n">
        <f aca="false">AVERAGEA(BF117,BH117)</f>
        <v>15</v>
      </c>
      <c r="BH117" s="53" t="n">
        <v>30</v>
      </c>
      <c r="BI117" s="80" t="n">
        <v>0</v>
      </c>
      <c r="BJ117" s="55" t="n">
        <f aca="false">AVERAGEA(BI117,BK117)</f>
        <v>0.25</v>
      </c>
      <c r="BK117" s="56" t="n">
        <v>0.5</v>
      </c>
      <c r="BL117" s="51" t="n">
        <v>0</v>
      </c>
      <c r="BM117" s="52" t="n">
        <f aca="false">AVERAGEA(BL117,BN117)</f>
        <v>0.5</v>
      </c>
      <c r="BN117" s="53" t="n">
        <v>1</v>
      </c>
    </row>
    <row r="118" customFormat="false" ht="15" hidden="false" customHeight="true" outlineLevel="0" collapsed="false">
      <c r="B118" s="132"/>
      <c r="C118" s="150"/>
      <c r="D118" s="143"/>
      <c r="E118" s="144" t="s">
        <v>64</v>
      </c>
      <c r="F118" s="145"/>
      <c r="G118" s="84" t="n">
        <v>40.31</v>
      </c>
      <c r="H118" s="73" t="n">
        <f aca="false">AVERAGE(G118,I118)</f>
        <v>40.808</v>
      </c>
      <c r="I118" s="85" t="n">
        <v>41.306</v>
      </c>
      <c r="J118" s="51" t="s">
        <v>44</v>
      </c>
      <c r="K118" s="52"/>
      <c r="L118" s="53" t="s">
        <v>44</v>
      </c>
      <c r="M118" s="54" t="s">
        <v>44</v>
      </c>
      <c r="N118" s="55"/>
      <c r="O118" s="56" t="s">
        <v>44</v>
      </c>
      <c r="P118" s="54" t="s">
        <v>44</v>
      </c>
      <c r="Q118" s="55"/>
      <c r="R118" s="55" t="s">
        <v>44</v>
      </c>
      <c r="S118" s="51" t="n">
        <v>60</v>
      </c>
      <c r="T118" s="52" t="n">
        <f aca="false">AVERAGEA(U118,S118)</f>
        <v>75.05</v>
      </c>
      <c r="U118" s="53" t="n">
        <v>90.1</v>
      </c>
      <c r="V118" s="80" t="n">
        <v>50</v>
      </c>
      <c r="W118" s="101" t="n">
        <f aca="false">AVERAGEA(X118, V118)</f>
        <v>35</v>
      </c>
      <c r="X118" s="56" t="n">
        <v>20</v>
      </c>
      <c r="Y118" s="52" t="n">
        <v>0.83</v>
      </c>
      <c r="Z118" s="52" t="n">
        <f aca="false">AVERAGEA(AA118, Y118)</f>
        <v>15.415</v>
      </c>
      <c r="AA118" s="53" t="n">
        <v>30</v>
      </c>
      <c r="AB118" s="80" t="n">
        <v>0.83</v>
      </c>
      <c r="AC118" s="101" t="n">
        <f aca="false">AVERAGEA(AD118, AB118)</f>
        <v>15.415</v>
      </c>
      <c r="AD118" s="56" t="n">
        <v>30</v>
      </c>
      <c r="AE118" s="51" t="n">
        <v>0.1</v>
      </c>
      <c r="AF118" s="79" t="n">
        <f aca="false">AVERAGEA(AG118, AE118)</f>
        <v>0.55</v>
      </c>
      <c r="AG118" s="53" t="n">
        <v>1</v>
      </c>
      <c r="AH118" s="86" t="n">
        <v>0.25</v>
      </c>
      <c r="AI118" s="79" t="n">
        <f aca="false">AVERAGEA(AJ118, AH118)</f>
        <v>0.625</v>
      </c>
      <c r="AJ118" s="53" t="n">
        <v>1</v>
      </c>
      <c r="AK118" s="80" t="n">
        <v>370</v>
      </c>
      <c r="AL118" s="55" t="n">
        <f aca="false">AVERAGEA(AM118, AK118)</f>
        <v>550</v>
      </c>
      <c r="AM118" s="56" t="n">
        <v>730</v>
      </c>
      <c r="AN118" s="51" t="n">
        <v>9</v>
      </c>
      <c r="AO118" s="52" t="n">
        <f aca="false">AVERAGEA(AP118, AN118)</f>
        <v>16.5</v>
      </c>
      <c r="AP118" s="53" t="n">
        <v>24</v>
      </c>
      <c r="AQ118" s="80" t="n">
        <v>0.8</v>
      </c>
      <c r="AR118" s="55" t="n">
        <f aca="false">AVERAGEA(AS118, AQ118)</f>
        <v>2.4</v>
      </c>
      <c r="AS118" s="56" t="n">
        <v>4</v>
      </c>
      <c r="AT118" s="51" t="n">
        <v>0.02</v>
      </c>
      <c r="AU118" s="52" t="n">
        <f aca="false">AVERAGEA(AT118,AV118)</f>
        <v>12.01</v>
      </c>
      <c r="AV118" s="53" t="n">
        <v>24</v>
      </c>
      <c r="AW118" s="80" t="n">
        <v>0.02</v>
      </c>
      <c r="AX118" s="55" t="n">
        <f aca="false">AVERAGEA(AW118,AY118)</f>
        <v>47.26</v>
      </c>
      <c r="AY118" s="56" t="n">
        <v>94.5</v>
      </c>
      <c r="AZ118" s="51" t="n">
        <v>0.06</v>
      </c>
      <c r="BA118" s="52" t="n">
        <f aca="false">AVERAGEA(AZ118,BB118)</f>
        <v>38.53</v>
      </c>
      <c r="BB118" s="53" t="n">
        <v>77</v>
      </c>
      <c r="BC118" s="80" t="n">
        <v>0.66</v>
      </c>
      <c r="BD118" s="55" t="n">
        <f aca="false">AVERAGEA(BE118, BC118)</f>
        <v>0.73</v>
      </c>
      <c r="BE118" s="56" t="n">
        <v>0.8</v>
      </c>
      <c r="BF118" s="51" t="n">
        <v>0</v>
      </c>
      <c r="BG118" s="52" t="n">
        <f aca="false">AVERAGEA(BF118,BH118)</f>
        <v>15</v>
      </c>
      <c r="BH118" s="53" t="n">
        <v>30</v>
      </c>
      <c r="BI118" s="80" t="n">
        <v>0</v>
      </c>
      <c r="BJ118" s="55" t="n">
        <f aca="false">AVERAGEA(BI118,BK118)</f>
        <v>0.25</v>
      </c>
      <c r="BK118" s="56" t="n">
        <v>0.5</v>
      </c>
      <c r="BL118" s="51" t="n">
        <v>0</v>
      </c>
      <c r="BM118" s="52" t="n">
        <f aca="false">AVERAGEA(BL118,BN118)</f>
        <v>0.5</v>
      </c>
      <c r="BN118" s="53" t="n">
        <v>1</v>
      </c>
    </row>
    <row r="119" customFormat="false" ht="15" hidden="false" customHeight="true" outlineLevel="0" collapsed="false">
      <c r="B119" s="132"/>
      <c r="C119" s="150"/>
      <c r="D119" s="143"/>
      <c r="E119" s="144" t="s">
        <v>65</v>
      </c>
      <c r="F119" s="145"/>
      <c r="G119" s="84" t="n">
        <v>39.946</v>
      </c>
      <c r="H119" s="73" t="n">
        <f aca="false">AVERAGE(G119,I119)</f>
        <v>40.126</v>
      </c>
      <c r="I119" s="85" t="n">
        <v>40.306</v>
      </c>
      <c r="J119" s="51" t="s">
        <v>44</v>
      </c>
      <c r="K119" s="52"/>
      <c r="L119" s="53" t="s">
        <v>44</v>
      </c>
      <c r="M119" s="54" t="s">
        <v>44</v>
      </c>
      <c r="N119" s="55"/>
      <c r="O119" s="56" t="s">
        <v>44</v>
      </c>
      <c r="P119" s="54" t="s">
        <v>44</v>
      </c>
      <c r="Q119" s="55"/>
      <c r="R119" s="55" t="s">
        <v>44</v>
      </c>
      <c r="S119" s="51" t="n">
        <v>60</v>
      </c>
      <c r="T119" s="52" t="n">
        <f aca="false">AVERAGEA(U119,S119)</f>
        <v>75.05</v>
      </c>
      <c r="U119" s="53" t="n">
        <v>90.1</v>
      </c>
      <c r="V119" s="80" t="n">
        <v>50</v>
      </c>
      <c r="W119" s="101" t="n">
        <f aca="false">AVERAGEA(X119, V119)</f>
        <v>35</v>
      </c>
      <c r="X119" s="56" t="n">
        <v>20</v>
      </c>
      <c r="Y119" s="52" t="n">
        <v>0.83</v>
      </c>
      <c r="Z119" s="52" t="n">
        <f aca="false">AVERAGEA(AA119, Y119)</f>
        <v>15.415</v>
      </c>
      <c r="AA119" s="53" t="n">
        <v>30</v>
      </c>
      <c r="AB119" s="80" t="n">
        <v>0.83</v>
      </c>
      <c r="AC119" s="101" t="n">
        <f aca="false">AVERAGEA(AD119, AB119)</f>
        <v>15.415</v>
      </c>
      <c r="AD119" s="56" t="n">
        <v>30</v>
      </c>
      <c r="AE119" s="51" t="n">
        <v>0.1</v>
      </c>
      <c r="AF119" s="79" t="n">
        <f aca="false">AVERAGEA(AG119, AE119)</f>
        <v>0.55</v>
      </c>
      <c r="AG119" s="53" t="n">
        <v>1</v>
      </c>
      <c r="AH119" s="86" t="n">
        <v>0.25</v>
      </c>
      <c r="AI119" s="79" t="n">
        <f aca="false">AVERAGEA(AJ119, AH119)</f>
        <v>0.625</v>
      </c>
      <c r="AJ119" s="53" t="n">
        <v>1</v>
      </c>
      <c r="AK119" s="80" t="n">
        <v>370</v>
      </c>
      <c r="AL119" s="55" t="n">
        <f aca="false">AVERAGEA(AM119, AK119)</f>
        <v>550</v>
      </c>
      <c r="AM119" s="56" t="n">
        <v>730</v>
      </c>
      <c r="AN119" s="51" t="n">
        <v>9</v>
      </c>
      <c r="AO119" s="52" t="n">
        <f aca="false">AVERAGEA(AP119, AN119)</f>
        <v>16.5</v>
      </c>
      <c r="AP119" s="53" t="n">
        <v>24</v>
      </c>
      <c r="AQ119" s="80" t="n">
        <v>0.8</v>
      </c>
      <c r="AR119" s="55" t="n">
        <f aca="false">AVERAGEA(AS119, AQ119)</f>
        <v>2.4</v>
      </c>
      <c r="AS119" s="56" t="n">
        <v>4</v>
      </c>
      <c r="AT119" s="51" t="n">
        <v>0.02</v>
      </c>
      <c r="AU119" s="52" t="n">
        <f aca="false">AVERAGEA(AT119,AV119)</f>
        <v>12.01</v>
      </c>
      <c r="AV119" s="53" t="n">
        <v>24</v>
      </c>
      <c r="AW119" s="80" t="n">
        <v>0.02</v>
      </c>
      <c r="AX119" s="55" t="n">
        <f aca="false">AVERAGEA(AW119,AY119)</f>
        <v>47.26</v>
      </c>
      <c r="AY119" s="56" t="n">
        <v>94.5</v>
      </c>
      <c r="AZ119" s="51" t="n">
        <v>0.06</v>
      </c>
      <c r="BA119" s="52" t="n">
        <f aca="false">AVERAGEA(AZ119,BB119)</f>
        <v>38.53</v>
      </c>
      <c r="BB119" s="53" t="n">
        <v>77</v>
      </c>
      <c r="BC119" s="80" t="n">
        <v>0.66</v>
      </c>
      <c r="BD119" s="55" t="n">
        <f aca="false">AVERAGEA(BE119, BC119)</f>
        <v>0.73</v>
      </c>
      <c r="BE119" s="56" t="n">
        <v>0.8</v>
      </c>
      <c r="BF119" s="51" t="n">
        <v>0</v>
      </c>
      <c r="BG119" s="52" t="n">
        <f aca="false">AVERAGEA(BF119,BH119)</f>
        <v>15</v>
      </c>
      <c r="BH119" s="53" t="n">
        <v>30</v>
      </c>
      <c r="BI119" s="80" t="n">
        <v>0</v>
      </c>
      <c r="BJ119" s="55" t="n">
        <f aca="false">AVERAGEA(BI119,BK119)</f>
        <v>0.25</v>
      </c>
      <c r="BK119" s="56" t="n">
        <v>0.5</v>
      </c>
      <c r="BL119" s="51" t="n">
        <v>0</v>
      </c>
      <c r="BM119" s="52" t="n">
        <f aca="false">AVERAGEA(BL119,BN119)</f>
        <v>0.5</v>
      </c>
      <c r="BN119" s="53" t="n">
        <v>1</v>
      </c>
    </row>
    <row r="120" customFormat="false" ht="15" hidden="false" customHeight="true" outlineLevel="0" collapsed="false">
      <c r="B120" s="132"/>
      <c r="C120" s="150"/>
      <c r="D120" s="143"/>
      <c r="E120" s="144" t="s">
        <v>66</v>
      </c>
      <c r="F120" s="145"/>
      <c r="G120" s="84" t="n">
        <v>39.914</v>
      </c>
      <c r="H120" s="73" t="n">
        <f aca="false">AVERAGE(G120,I120)</f>
        <v>39.928</v>
      </c>
      <c r="I120" s="85" t="n">
        <v>39.942</v>
      </c>
      <c r="J120" s="51" t="s">
        <v>44</v>
      </c>
      <c r="K120" s="52"/>
      <c r="L120" s="53" t="s">
        <v>44</v>
      </c>
      <c r="M120" s="54" t="s">
        <v>44</v>
      </c>
      <c r="N120" s="55"/>
      <c r="O120" s="56" t="s">
        <v>44</v>
      </c>
      <c r="P120" s="54" t="s">
        <v>44</v>
      </c>
      <c r="Q120" s="55"/>
      <c r="R120" s="55" t="s">
        <v>44</v>
      </c>
      <c r="S120" s="51" t="n">
        <v>60</v>
      </c>
      <c r="T120" s="52" t="n">
        <f aca="false">AVERAGEA(U120,S120)</f>
        <v>75.05</v>
      </c>
      <c r="U120" s="53" t="n">
        <v>90.1</v>
      </c>
      <c r="V120" s="80" t="n">
        <v>50</v>
      </c>
      <c r="W120" s="101" t="n">
        <f aca="false">AVERAGEA(X120, V120)</f>
        <v>35</v>
      </c>
      <c r="X120" s="56" t="n">
        <v>20</v>
      </c>
      <c r="Y120" s="52" t="n">
        <v>0.83</v>
      </c>
      <c r="Z120" s="52" t="n">
        <f aca="false">AVERAGEA(AA120, Y120)</f>
        <v>15.415</v>
      </c>
      <c r="AA120" s="53" t="n">
        <v>30</v>
      </c>
      <c r="AB120" s="80" t="n">
        <v>0.83</v>
      </c>
      <c r="AC120" s="101" t="n">
        <f aca="false">AVERAGEA(AD120, AB120)</f>
        <v>15.415</v>
      </c>
      <c r="AD120" s="56" t="n">
        <v>30</v>
      </c>
      <c r="AE120" s="51" t="n">
        <v>0.1</v>
      </c>
      <c r="AF120" s="79" t="n">
        <f aca="false">AVERAGEA(AG120, AE120)</f>
        <v>0.55</v>
      </c>
      <c r="AG120" s="53" t="n">
        <v>1</v>
      </c>
      <c r="AH120" s="86" t="n">
        <v>0.25</v>
      </c>
      <c r="AI120" s="79" t="n">
        <f aca="false">AVERAGEA(AJ120, AH120)</f>
        <v>0.625</v>
      </c>
      <c r="AJ120" s="53" t="n">
        <v>1</v>
      </c>
      <c r="AK120" s="80" t="n">
        <v>370</v>
      </c>
      <c r="AL120" s="55" t="n">
        <f aca="false">AVERAGEA(AM120, AK120)</f>
        <v>550</v>
      </c>
      <c r="AM120" s="56" t="n">
        <v>730</v>
      </c>
      <c r="AN120" s="51" t="n">
        <v>9</v>
      </c>
      <c r="AO120" s="52" t="n">
        <f aca="false">AVERAGEA(AP120, AN120)</f>
        <v>16.5</v>
      </c>
      <c r="AP120" s="53" t="n">
        <v>24</v>
      </c>
      <c r="AQ120" s="80" t="n">
        <v>0.8</v>
      </c>
      <c r="AR120" s="55" t="n">
        <f aca="false">AVERAGEA(AS120, AQ120)</f>
        <v>2.4</v>
      </c>
      <c r="AS120" s="56" t="n">
        <v>4</v>
      </c>
      <c r="AT120" s="51" t="n">
        <v>0.02</v>
      </c>
      <c r="AU120" s="52" t="n">
        <f aca="false">AVERAGEA(AT120,AV120)</f>
        <v>12.01</v>
      </c>
      <c r="AV120" s="53" t="n">
        <v>24</v>
      </c>
      <c r="AW120" s="80" t="n">
        <v>0.02</v>
      </c>
      <c r="AX120" s="55" t="n">
        <f aca="false">AVERAGEA(AW120,AY120)</f>
        <v>47.26</v>
      </c>
      <c r="AY120" s="56" t="n">
        <v>94.5</v>
      </c>
      <c r="AZ120" s="51" t="n">
        <v>0.06</v>
      </c>
      <c r="BA120" s="52" t="n">
        <f aca="false">AVERAGEA(AZ120,BB120)</f>
        <v>38.53</v>
      </c>
      <c r="BB120" s="53" t="n">
        <v>77</v>
      </c>
      <c r="BC120" s="80" t="n">
        <v>0.66</v>
      </c>
      <c r="BD120" s="55" t="n">
        <f aca="false">AVERAGEA(BE120, BC120)</f>
        <v>0.73</v>
      </c>
      <c r="BE120" s="56" t="n">
        <v>0.8</v>
      </c>
      <c r="BF120" s="51" t="n">
        <v>0</v>
      </c>
      <c r="BG120" s="52" t="n">
        <f aca="false">AVERAGEA(BF120,BH120)</f>
        <v>15</v>
      </c>
      <c r="BH120" s="53" t="n">
        <v>30</v>
      </c>
      <c r="BI120" s="80" t="n">
        <v>0</v>
      </c>
      <c r="BJ120" s="55" t="n">
        <f aca="false">AVERAGEA(BI120,BK120)</f>
        <v>0.25</v>
      </c>
      <c r="BK120" s="56" t="n">
        <v>0.5</v>
      </c>
      <c r="BL120" s="51" t="n">
        <v>0</v>
      </c>
      <c r="BM120" s="52" t="n">
        <f aca="false">AVERAGEA(BL120,BN120)</f>
        <v>0.5</v>
      </c>
      <c r="BN120" s="53" t="n">
        <v>1</v>
      </c>
    </row>
    <row r="121" customFormat="false" ht="15" hidden="false" customHeight="true" outlineLevel="0" collapsed="false">
      <c r="B121" s="132"/>
      <c r="C121" s="142" t="s">
        <v>81</v>
      </c>
      <c r="D121" s="147"/>
      <c r="E121" s="148" t="s">
        <v>63</v>
      </c>
      <c r="F121" s="151"/>
      <c r="G121" s="80" t="n">
        <v>33</v>
      </c>
      <c r="H121" s="73" t="n">
        <f aca="false">AVERAGE(G121,I121)</f>
        <v>40</v>
      </c>
      <c r="I121" s="152" t="n">
        <v>47</v>
      </c>
      <c r="J121" s="51" t="s">
        <v>44</v>
      </c>
      <c r="K121" s="52"/>
      <c r="L121" s="53" t="s">
        <v>44</v>
      </c>
      <c r="M121" s="54" t="s">
        <v>44</v>
      </c>
      <c r="N121" s="55"/>
      <c r="O121" s="56" t="s">
        <v>44</v>
      </c>
      <c r="P121" s="54" t="s">
        <v>44</v>
      </c>
      <c r="Q121" s="55"/>
      <c r="R121" s="55" t="s">
        <v>44</v>
      </c>
      <c r="S121" s="51" t="n">
        <v>60</v>
      </c>
      <c r="T121" s="52" t="n">
        <f aca="false">AVERAGEA(U121,S121)</f>
        <v>74.5</v>
      </c>
      <c r="U121" s="53" t="n">
        <v>89</v>
      </c>
      <c r="V121" s="80" t="n">
        <v>40</v>
      </c>
      <c r="W121" s="101" t="n">
        <f aca="false">AVERAGEA(X121, V121)</f>
        <v>40</v>
      </c>
      <c r="X121" s="56" t="n">
        <v>40</v>
      </c>
      <c r="Y121" s="51" t="n">
        <v>0.58</v>
      </c>
      <c r="Z121" s="52" t="n">
        <f aca="false">AVERAGEA(AA121, Y121)</f>
        <v>3.79</v>
      </c>
      <c r="AA121" s="53" t="n">
        <v>7</v>
      </c>
      <c r="AB121" s="80" t="n">
        <v>0.58</v>
      </c>
      <c r="AC121" s="101" t="n">
        <f aca="false">AVERAGEA(AD121, AB121)</f>
        <v>3.79</v>
      </c>
      <c r="AD121" s="56" t="n">
        <v>7</v>
      </c>
      <c r="AE121" s="51" t="n">
        <v>0.25</v>
      </c>
      <c r="AF121" s="79" t="n">
        <f aca="false">AVERAGEA(AG121, AE121)</f>
        <v>3.125</v>
      </c>
      <c r="AG121" s="53" t="n">
        <v>6</v>
      </c>
      <c r="AH121" s="86" t="n">
        <v>1</v>
      </c>
      <c r="AI121" s="79" t="n">
        <f aca="false">AVERAGEA(AJ121, AH121)</f>
        <v>3.5</v>
      </c>
      <c r="AJ121" s="53" t="n">
        <v>6</v>
      </c>
      <c r="AK121" s="80" t="n">
        <v>920</v>
      </c>
      <c r="AL121" s="55" t="n">
        <f aca="false">AVERAGEA(AM121, AK121)</f>
        <v>920</v>
      </c>
      <c r="AM121" s="56" t="n">
        <v>920</v>
      </c>
      <c r="AN121" s="51" t="n">
        <v>16.6</v>
      </c>
      <c r="AO121" s="52" t="n">
        <f aca="false">AVERAGEA(AP121, AN121)</f>
        <v>16.6</v>
      </c>
      <c r="AP121" s="53" t="n">
        <v>16.6</v>
      </c>
      <c r="AQ121" s="80" t="n">
        <v>1.5</v>
      </c>
      <c r="AR121" s="55" t="n">
        <f aca="false">AVERAGEA(AS121, AQ121)</f>
        <v>1.8</v>
      </c>
      <c r="AS121" s="56" t="n">
        <v>2.1</v>
      </c>
      <c r="AT121" s="104" t="s">
        <v>57</v>
      </c>
      <c r="AU121" s="105"/>
      <c r="AV121" s="106" t="s">
        <v>57</v>
      </c>
      <c r="AW121" s="107" t="s">
        <v>58</v>
      </c>
      <c r="AX121" s="108"/>
      <c r="AY121" s="89" t="s">
        <v>58</v>
      </c>
      <c r="AZ121" s="104" t="n">
        <v>40</v>
      </c>
      <c r="BA121" s="105" t="n">
        <f aca="false">AVERAGEA(AZ121,BB121)</f>
        <v>40</v>
      </c>
      <c r="BB121" s="106" t="n">
        <v>40</v>
      </c>
      <c r="BC121" s="80" t="n">
        <v>1.17</v>
      </c>
      <c r="BD121" s="55" t="n">
        <f aca="false">AVERAGEA(BE121, BC121)</f>
        <v>1.17</v>
      </c>
      <c r="BE121" s="56" t="n">
        <v>1.17</v>
      </c>
      <c r="BF121" s="104" t="s">
        <v>57</v>
      </c>
      <c r="BG121" s="105"/>
      <c r="BH121" s="106" t="s">
        <v>57</v>
      </c>
      <c r="BI121" s="107" t="n">
        <v>1</v>
      </c>
      <c r="BJ121" s="55" t="n">
        <f aca="false">AVERAGEA(BI121,BK121)</f>
        <v>1</v>
      </c>
      <c r="BK121" s="89" t="n">
        <v>1</v>
      </c>
      <c r="BL121" s="104" t="n">
        <v>2</v>
      </c>
      <c r="BM121" s="52" t="n">
        <f aca="false">AVERAGEA(BL121,BN121)</f>
        <v>2</v>
      </c>
      <c r="BN121" s="106" t="n">
        <v>2</v>
      </c>
    </row>
    <row r="122" customFormat="false" ht="15" hidden="false" customHeight="true" outlineLevel="0" collapsed="false">
      <c r="B122" s="132"/>
      <c r="C122" s="142"/>
      <c r="D122" s="147"/>
      <c r="E122" s="148" t="s">
        <v>64</v>
      </c>
      <c r="F122" s="151"/>
      <c r="G122" s="80" t="n">
        <v>33</v>
      </c>
      <c r="H122" s="73" t="n">
        <f aca="false">AVERAGE(G122,I122)</f>
        <v>40</v>
      </c>
      <c r="I122" s="152" t="n">
        <v>47</v>
      </c>
      <c r="J122" s="51" t="s">
        <v>44</v>
      </c>
      <c r="K122" s="52"/>
      <c r="L122" s="53" t="s">
        <v>44</v>
      </c>
      <c r="M122" s="54" t="s">
        <v>44</v>
      </c>
      <c r="N122" s="55"/>
      <c r="O122" s="56" t="s">
        <v>44</v>
      </c>
      <c r="P122" s="54" t="s">
        <v>44</v>
      </c>
      <c r="Q122" s="55"/>
      <c r="R122" s="55" t="s">
        <v>44</v>
      </c>
      <c r="S122" s="51" t="n">
        <v>60</v>
      </c>
      <c r="T122" s="52" t="n">
        <f aca="false">AVERAGEA(U122,S122)</f>
        <v>74.5</v>
      </c>
      <c r="U122" s="53" t="n">
        <v>89</v>
      </c>
      <c r="V122" s="80" t="n">
        <v>40</v>
      </c>
      <c r="W122" s="101" t="n">
        <f aca="false">AVERAGEA(X122, V122)</f>
        <v>40</v>
      </c>
      <c r="X122" s="56" t="n">
        <v>40</v>
      </c>
      <c r="Y122" s="51" t="n">
        <v>0.58</v>
      </c>
      <c r="Z122" s="52" t="n">
        <f aca="false">AVERAGEA(AA122, Y122)</f>
        <v>3.79</v>
      </c>
      <c r="AA122" s="53" t="n">
        <v>7</v>
      </c>
      <c r="AB122" s="80" t="n">
        <v>0.58</v>
      </c>
      <c r="AC122" s="101" t="n">
        <f aca="false">AVERAGEA(AD122, AB122)</f>
        <v>3.79</v>
      </c>
      <c r="AD122" s="56" t="n">
        <v>7</v>
      </c>
      <c r="AE122" s="51" t="n">
        <v>0.25</v>
      </c>
      <c r="AF122" s="79" t="n">
        <f aca="false">AVERAGEA(AG122, AE122)</f>
        <v>3.125</v>
      </c>
      <c r="AG122" s="53" t="n">
        <v>6</v>
      </c>
      <c r="AH122" s="86" t="n">
        <v>1</v>
      </c>
      <c r="AI122" s="79" t="n">
        <f aca="false">AVERAGEA(AJ122, AH122)</f>
        <v>3.5</v>
      </c>
      <c r="AJ122" s="53" t="n">
        <v>6</v>
      </c>
      <c r="AK122" s="80" t="n">
        <v>920</v>
      </c>
      <c r="AL122" s="55" t="n">
        <f aca="false">AVERAGEA(AM122, AK122)</f>
        <v>920</v>
      </c>
      <c r="AM122" s="56" t="n">
        <v>920</v>
      </c>
      <c r="AN122" s="51" t="n">
        <v>16.6</v>
      </c>
      <c r="AO122" s="52" t="n">
        <f aca="false">AVERAGEA(AP122, AN122)</f>
        <v>16.6</v>
      </c>
      <c r="AP122" s="53" t="n">
        <v>16.6</v>
      </c>
      <c r="AQ122" s="80" t="n">
        <v>1.5</v>
      </c>
      <c r="AR122" s="55" t="n">
        <f aca="false">AVERAGEA(AS122, AQ122)</f>
        <v>1.8</v>
      </c>
      <c r="AS122" s="56" t="n">
        <v>2.1</v>
      </c>
      <c r="AT122" s="104" t="s">
        <v>57</v>
      </c>
      <c r="AU122" s="105"/>
      <c r="AV122" s="106" t="s">
        <v>57</v>
      </c>
      <c r="AW122" s="107" t="s">
        <v>58</v>
      </c>
      <c r="AX122" s="108"/>
      <c r="AY122" s="89" t="s">
        <v>58</v>
      </c>
      <c r="AZ122" s="104" t="n">
        <v>40</v>
      </c>
      <c r="BA122" s="105" t="n">
        <f aca="false">AVERAGEA(AZ122,BB122)</f>
        <v>40</v>
      </c>
      <c r="BB122" s="106" t="n">
        <v>40</v>
      </c>
      <c r="BC122" s="80" t="n">
        <v>1.17</v>
      </c>
      <c r="BD122" s="55" t="n">
        <f aca="false">AVERAGEA(BE122, BC122)</f>
        <v>1.17</v>
      </c>
      <c r="BE122" s="56" t="n">
        <v>1.17</v>
      </c>
      <c r="BF122" s="104" t="s">
        <v>57</v>
      </c>
      <c r="BG122" s="105"/>
      <c r="BH122" s="106" t="s">
        <v>57</v>
      </c>
      <c r="BI122" s="107" t="n">
        <v>1</v>
      </c>
      <c r="BJ122" s="55" t="n">
        <f aca="false">AVERAGEA(BI122,BK122)</f>
        <v>1</v>
      </c>
      <c r="BK122" s="89" t="n">
        <v>1</v>
      </c>
      <c r="BL122" s="104" t="n">
        <v>2</v>
      </c>
      <c r="BM122" s="52" t="n">
        <f aca="false">AVERAGEA(BL122,BN122)</f>
        <v>2</v>
      </c>
      <c r="BN122" s="106" t="n">
        <v>2</v>
      </c>
    </row>
    <row r="123" customFormat="false" ht="15" hidden="false" customHeight="true" outlineLevel="0" collapsed="false">
      <c r="B123" s="132"/>
      <c r="C123" s="142"/>
      <c r="D123" s="147"/>
      <c r="E123" s="148" t="s">
        <v>65</v>
      </c>
      <c r="F123" s="151"/>
      <c r="G123" s="80" t="n">
        <v>33</v>
      </c>
      <c r="H123" s="73" t="n">
        <f aca="false">AVERAGE(G123,I123)</f>
        <v>40</v>
      </c>
      <c r="I123" s="152" t="n">
        <v>47</v>
      </c>
      <c r="J123" s="51" t="s">
        <v>44</v>
      </c>
      <c r="K123" s="52"/>
      <c r="L123" s="53" t="s">
        <v>44</v>
      </c>
      <c r="M123" s="54" t="s">
        <v>44</v>
      </c>
      <c r="N123" s="55"/>
      <c r="O123" s="56" t="s">
        <v>44</v>
      </c>
      <c r="P123" s="54" t="s">
        <v>44</v>
      </c>
      <c r="Q123" s="55"/>
      <c r="R123" s="55" t="s">
        <v>44</v>
      </c>
      <c r="S123" s="51" t="n">
        <v>60</v>
      </c>
      <c r="T123" s="52" t="n">
        <f aca="false">AVERAGEA(U123,S123)</f>
        <v>74.5</v>
      </c>
      <c r="U123" s="53" t="n">
        <v>89</v>
      </c>
      <c r="V123" s="80" t="n">
        <v>40</v>
      </c>
      <c r="W123" s="101" t="n">
        <f aca="false">AVERAGEA(X123, V123)</f>
        <v>40</v>
      </c>
      <c r="X123" s="56" t="n">
        <v>40</v>
      </c>
      <c r="Y123" s="51" t="n">
        <v>0.58</v>
      </c>
      <c r="Z123" s="52" t="n">
        <f aca="false">AVERAGEA(AA123, Y123)</f>
        <v>3.79</v>
      </c>
      <c r="AA123" s="53" t="n">
        <v>7</v>
      </c>
      <c r="AB123" s="80" t="n">
        <v>0.58</v>
      </c>
      <c r="AC123" s="102" t="n">
        <f aca="false">AVERAGEA(AD123, AB123)</f>
        <v>3.79</v>
      </c>
      <c r="AD123" s="56" t="n">
        <v>7</v>
      </c>
      <c r="AE123" s="51" t="n">
        <v>0.25</v>
      </c>
      <c r="AF123" s="79" t="n">
        <f aca="false">AVERAGEA(AG123, AE123)</f>
        <v>3.125</v>
      </c>
      <c r="AG123" s="53" t="n">
        <v>6</v>
      </c>
      <c r="AH123" s="86" t="n">
        <v>1</v>
      </c>
      <c r="AI123" s="79" t="n">
        <f aca="false">AVERAGEA(AJ123, AH123)</f>
        <v>3.5</v>
      </c>
      <c r="AJ123" s="53" t="n">
        <v>6</v>
      </c>
      <c r="AK123" s="80" t="n">
        <v>920</v>
      </c>
      <c r="AL123" s="55" t="n">
        <f aca="false">AVERAGEA(AM123, AK123)</f>
        <v>920</v>
      </c>
      <c r="AM123" s="56" t="n">
        <v>920</v>
      </c>
      <c r="AN123" s="51" t="n">
        <v>16.6</v>
      </c>
      <c r="AO123" s="52" t="n">
        <f aca="false">AVERAGEA(AP123, AN123)</f>
        <v>16.6</v>
      </c>
      <c r="AP123" s="53" t="n">
        <v>16.6</v>
      </c>
      <c r="AQ123" s="80" t="n">
        <v>1.5</v>
      </c>
      <c r="AR123" s="152" t="n">
        <f aca="false">AVERAGEA(AS123, AQ123)</f>
        <v>1.8</v>
      </c>
      <c r="AS123" s="56" t="n">
        <v>2.1</v>
      </c>
      <c r="AT123" s="104" t="s">
        <v>57</v>
      </c>
      <c r="AU123" s="105"/>
      <c r="AV123" s="106" t="s">
        <v>57</v>
      </c>
      <c r="AW123" s="107" t="s">
        <v>58</v>
      </c>
      <c r="AX123" s="108"/>
      <c r="AY123" s="89" t="s">
        <v>58</v>
      </c>
      <c r="AZ123" s="104" t="n">
        <v>40</v>
      </c>
      <c r="BA123" s="105" t="n">
        <f aca="false">AVERAGEA(AZ123,BB123)</f>
        <v>40</v>
      </c>
      <c r="BB123" s="106" t="n">
        <v>40</v>
      </c>
      <c r="BC123" s="80" t="n">
        <v>1.17</v>
      </c>
      <c r="BD123" s="55" t="n">
        <f aca="false">AVERAGEA(BE123, BC123)</f>
        <v>1.17</v>
      </c>
      <c r="BE123" s="56" t="n">
        <v>1.17</v>
      </c>
      <c r="BF123" s="104" t="s">
        <v>57</v>
      </c>
      <c r="BG123" s="105"/>
      <c r="BH123" s="106" t="s">
        <v>57</v>
      </c>
      <c r="BI123" s="107" t="n">
        <v>1</v>
      </c>
      <c r="BJ123" s="55" t="n">
        <f aca="false">AVERAGEA(BI123,BK123)</f>
        <v>1</v>
      </c>
      <c r="BK123" s="89" t="n">
        <v>1</v>
      </c>
      <c r="BL123" s="104" t="n">
        <v>2</v>
      </c>
      <c r="BM123" s="52" t="n">
        <f aca="false">AVERAGEA(BL123,BN123)</f>
        <v>2</v>
      </c>
      <c r="BN123" s="106" t="n">
        <v>2</v>
      </c>
    </row>
    <row r="124" customFormat="false" ht="15" hidden="false" customHeight="true" outlineLevel="0" collapsed="false">
      <c r="B124" s="132"/>
      <c r="C124" s="142"/>
      <c r="D124" s="147"/>
      <c r="E124" s="148" t="s">
        <v>66</v>
      </c>
      <c r="F124" s="151"/>
      <c r="G124" s="80" t="n">
        <v>33</v>
      </c>
      <c r="H124" s="73" t="n">
        <f aca="false">AVERAGE(G124,I124)</f>
        <v>40</v>
      </c>
      <c r="I124" s="152" t="n">
        <v>47</v>
      </c>
      <c r="J124" s="51" t="s">
        <v>44</v>
      </c>
      <c r="K124" s="52"/>
      <c r="L124" s="53" t="s">
        <v>44</v>
      </c>
      <c r="M124" s="54" t="s">
        <v>44</v>
      </c>
      <c r="N124" s="55"/>
      <c r="O124" s="56" t="s">
        <v>44</v>
      </c>
      <c r="P124" s="54" t="s">
        <v>44</v>
      </c>
      <c r="Q124" s="55"/>
      <c r="R124" s="55" t="s">
        <v>44</v>
      </c>
      <c r="S124" s="51" t="n">
        <v>60</v>
      </c>
      <c r="T124" s="52" t="n">
        <f aca="false">AVERAGEA(U124,S124)</f>
        <v>74.5</v>
      </c>
      <c r="U124" s="53" t="n">
        <v>89</v>
      </c>
      <c r="V124" s="80" t="n">
        <v>40</v>
      </c>
      <c r="W124" s="102" t="n">
        <f aca="false">AVERAGEA(X124, V124)</f>
        <v>40</v>
      </c>
      <c r="X124" s="56" t="n">
        <v>40</v>
      </c>
      <c r="Y124" s="51" t="n">
        <v>0.58</v>
      </c>
      <c r="Z124" s="52" t="n">
        <f aca="false">AVERAGEA(AA124, Y124)</f>
        <v>3.79</v>
      </c>
      <c r="AA124" s="53" t="n">
        <v>7</v>
      </c>
      <c r="AB124" s="80" t="n">
        <v>0.58</v>
      </c>
      <c r="AC124" s="102" t="n">
        <f aca="false">AVERAGEA(AD124, AB124)</f>
        <v>3.79</v>
      </c>
      <c r="AD124" s="56" t="n">
        <v>7</v>
      </c>
      <c r="AE124" s="51" t="n">
        <v>0.25</v>
      </c>
      <c r="AF124" s="79" t="n">
        <f aca="false">AVERAGEA(AG124, AE124)</f>
        <v>3.125</v>
      </c>
      <c r="AG124" s="53" t="n">
        <v>6</v>
      </c>
      <c r="AH124" s="86" t="n">
        <v>1</v>
      </c>
      <c r="AI124" s="79" t="n">
        <f aca="false">AVERAGEA(AJ124, AH124)</f>
        <v>3.5</v>
      </c>
      <c r="AJ124" s="53" t="n">
        <v>6</v>
      </c>
      <c r="AK124" s="80" t="n">
        <v>920</v>
      </c>
      <c r="AL124" s="152" t="n">
        <f aca="false">AVERAGEA(AM124, AK124)</f>
        <v>920</v>
      </c>
      <c r="AM124" s="56" t="n">
        <v>920</v>
      </c>
      <c r="AN124" s="51" t="n">
        <v>16.6</v>
      </c>
      <c r="AO124" s="52" t="n">
        <f aca="false">AVERAGEA(AP124, AN124)</f>
        <v>16.6</v>
      </c>
      <c r="AP124" s="53" t="n">
        <v>16.6</v>
      </c>
      <c r="AQ124" s="80" t="n">
        <v>1.5</v>
      </c>
      <c r="AR124" s="152" t="n">
        <f aca="false">AVERAGEA(AS124, AQ124)</f>
        <v>1.8</v>
      </c>
      <c r="AS124" s="56" t="n">
        <v>2.1</v>
      </c>
      <c r="AT124" s="104" t="s">
        <v>57</v>
      </c>
      <c r="AU124" s="105"/>
      <c r="AV124" s="106" t="s">
        <v>57</v>
      </c>
      <c r="AW124" s="107" t="s">
        <v>58</v>
      </c>
      <c r="AX124" s="108"/>
      <c r="AY124" s="89" t="s">
        <v>58</v>
      </c>
      <c r="AZ124" s="104" t="n">
        <v>40</v>
      </c>
      <c r="BA124" s="105" t="n">
        <f aca="false">AVERAGEA(AZ124,BB124)</f>
        <v>40</v>
      </c>
      <c r="BB124" s="106" t="n">
        <v>40</v>
      </c>
      <c r="BC124" s="80" t="n">
        <v>1.17</v>
      </c>
      <c r="BD124" s="55" t="n">
        <f aca="false">AVERAGEA(BE124, BC124)</f>
        <v>1.17</v>
      </c>
      <c r="BE124" s="56" t="n">
        <v>1.17</v>
      </c>
      <c r="BF124" s="104" t="s">
        <v>57</v>
      </c>
      <c r="BG124" s="105"/>
      <c r="BH124" s="106" t="s">
        <v>57</v>
      </c>
      <c r="BI124" s="107" t="n">
        <v>1</v>
      </c>
      <c r="BJ124" s="55" t="n">
        <f aca="false">AVERAGEA(BI124,BK124)</f>
        <v>1</v>
      </c>
      <c r="BK124" s="89" t="n">
        <v>1</v>
      </c>
      <c r="BL124" s="104" t="n">
        <v>2</v>
      </c>
      <c r="BM124" s="52" t="n">
        <f aca="false">AVERAGEA(BL124,BN124)</f>
        <v>2</v>
      </c>
      <c r="BN124" s="106" t="n">
        <v>2</v>
      </c>
    </row>
    <row r="125" customFormat="false" ht="15" hidden="false" customHeight="true" outlineLevel="0" collapsed="false">
      <c r="B125" s="132"/>
      <c r="C125" s="142" t="s">
        <v>82</v>
      </c>
      <c r="D125" s="147"/>
      <c r="E125" s="148" t="s">
        <v>83</v>
      </c>
      <c r="F125" s="148"/>
      <c r="G125" s="84" t="n">
        <v>49.2927267275488</v>
      </c>
      <c r="H125" s="73" t="n">
        <f aca="false">AVERAGE(G125,I125)</f>
        <v>50.4566027344582</v>
      </c>
      <c r="I125" s="85" t="n">
        <v>51.6204787413677</v>
      </c>
      <c r="J125" s="51" t="s">
        <v>44</v>
      </c>
      <c r="K125" s="52"/>
      <c r="L125" s="53" t="s">
        <v>44</v>
      </c>
      <c r="M125" s="54" t="s">
        <v>44</v>
      </c>
      <c r="N125" s="55"/>
      <c r="O125" s="56" t="s">
        <v>44</v>
      </c>
      <c r="P125" s="54" t="s">
        <v>44</v>
      </c>
      <c r="Q125" s="55"/>
      <c r="R125" s="55" t="s">
        <v>44</v>
      </c>
      <c r="S125" s="51" t="n">
        <v>84</v>
      </c>
      <c r="T125" s="52" t="n">
        <f aca="false">AVERAGEA(U125,S125)</f>
        <v>87.05</v>
      </c>
      <c r="U125" s="53" t="n">
        <v>90.1</v>
      </c>
      <c r="V125" s="107" t="s">
        <v>58</v>
      </c>
      <c r="W125" s="102"/>
      <c r="X125" s="89" t="s">
        <v>58</v>
      </c>
      <c r="Y125" s="86" t="s">
        <v>57</v>
      </c>
      <c r="Z125" s="52"/>
      <c r="AA125" s="86" t="s">
        <v>57</v>
      </c>
      <c r="AB125" s="107" t="s">
        <v>58</v>
      </c>
      <c r="AC125" s="102"/>
      <c r="AD125" s="89" t="s">
        <v>58</v>
      </c>
      <c r="AE125" s="51" t="s">
        <v>57</v>
      </c>
      <c r="AF125" s="52"/>
      <c r="AG125" s="53" t="s">
        <v>57</v>
      </c>
      <c r="AH125" s="86" t="s">
        <v>57</v>
      </c>
      <c r="AI125" s="153"/>
      <c r="AJ125" s="53" t="s">
        <v>57</v>
      </c>
      <c r="AK125" s="107" t="s">
        <v>58</v>
      </c>
      <c r="AL125" s="152"/>
      <c r="AM125" s="89" t="s">
        <v>58</v>
      </c>
      <c r="AN125" s="86" t="s">
        <v>57</v>
      </c>
      <c r="AO125" s="52"/>
      <c r="AP125" s="53" t="s">
        <v>57</v>
      </c>
      <c r="AQ125" s="107" t="s">
        <v>58</v>
      </c>
      <c r="AR125" s="152"/>
      <c r="AS125" s="89" t="s">
        <v>58</v>
      </c>
      <c r="AT125" s="104" t="s">
        <v>57</v>
      </c>
      <c r="AU125" s="105"/>
      <c r="AV125" s="106" t="s">
        <v>57</v>
      </c>
      <c r="AW125" s="107" t="s">
        <v>58</v>
      </c>
      <c r="AX125" s="108"/>
      <c r="AY125" s="89" t="s">
        <v>58</v>
      </c>
      <c r="AZ125" s="104" t="s">
        <v>57</v>
      </c>
      <c r="BA125" s="105"/>
      <c r="BB125" s="106" t="s">
        <v>57</v>
      </c>
      <c r="BC125" s="109" t="s">
        <v>58</v>
      </c>
      <c r="BD125" s="55"/>
      <c r="BE125" s="56"/>
      <c r="BF125" s="104" t="s">
        <v>57</v>
      </c>
      <c r="BG125" s="105"/>
      <c r="BH125" s="106" t="s">
        <v>57</v>
      </c>
      <c r="BI125" s="107" t="s">
        <v>57</v>
      </c>
      <c r="BJ125" s="108"/>
      <c r="BK125" s="89" t="s">
        <v>57</v>
      </c>
      <c r="BL125" s="104" t="n">
        <v>1</v>
      </c>
      <c r="BM125" s="52" t="n">
        <f aca="false">AVERAGEA(BL125,BN125)</f>
        <v>1</v>
      </c>
      <c r="BN125" s="106" t="n">
        <v>1</v>
      </c>
    </row>
    <row r="126" customFormat="false" ht="15" hidden="false" customHeight="true" outlineLevel="0" collapsed="false">
      <c r="B126" s="132"/>
      <c r="C126" s="142"/>
      <c r="D126" s="147"/>
      <c r="E126" s="148" t="s">
        <v>84</v>
      </c>
      <c r="F126" s="148"/>
      <c r="G126" s="84" t="n">
        <v>45.5539068284142</v>
      </c>
      <c r="H126" s="73" t="n">
        <f aca="false">AVERAGE(G126,I126)</f>
        <v>47.1295707540583</v>
      </c>
      <c r="I126" s="85" t="n">
        <v>48.7052346797024</v>
      </c>
      <c r="J126" s="51" t="s">
        <v>44</v>
      </c>
      <c r="K126" s="52"/>
      <c r="L126" s="53" t="s">
        <v>44</v>
      </c>
      <c r="M126" s="54" t="s">
        <v>44</v>
      </c>
      <c r="N126" s="55"/>
      <c r="O126" s="56" t="s">
        <v>44</v>
      </c>
      <c r="P126" s="54" t="s">
        <v>44</v>
      </c>
      <c r="Q126" s="55"/>
      <c r="R126" s="55" t="s">
        <v>44</v>
      </c>
      <c r="S126" s="51" t="n">
        <v>84</v>
      </c>
      <c r="T126" s="52" t="n">
        <f aca="false">AVERAGEA(U126,S126)</f>
        <v>87.05</v>
      </c>
      <c r="U126" s="53" t="n">
        <v>90.1</v>
      </c>
      <c r="V126" s="107" t="s">
        <v>58</v>
      </c>
      <c r="W126" s="102"/>
      <c r="X126" s="89" t="s">
        <v>58</v>
      </c>
      <c r="Y126" s="86" t="s">
        <v>57</v>
      </c>
      <c r="Z126" s="52"/>
      <c r="AA126" s="86" t="s">
        <v>57</v>
      </c>
      <c r="AB126" s="107" t="s">
        <v>58</v>
      </c>
      <c r="AC126" s="102"/>
      <c r="AD126" s="89" t="s">
        <v>58</v>
      </c>
      <c r="AE126" s="51" t="s">
        <v>57</v>
      </c>
      <c r="AF126" s="52"/>
      <c r="AG126" s="53" t="s">
        <v>57</v>
      </c>
      <c r="AH126" s="86" t="s">
        <v>57</v>
      </c>
      <c r="AI126" s="153"/>
      <c r="AJ126" s="53" t="s">
        <v>57</v>
      </c>
      <c r="AK126" s="107" t="s">
        <v>58</v>
      </c>
      <c r="AL126" s="152"/>
      <c r="AM126" s="89" t="s">
        <v>58</v>
      </c>
      <c r="AN126" s="86" t="s">
        <v>57</v>
      </c>
      <c r="AO126" s="52"/>
      <c r="AP126" s="53" t="s">
        <v>57</v>
      </c>
      <c r="AQ126" s="107" t="s">
        <v>58</v>
      </c>
      <c r="AR126" s="152"/>
      <c r="AS126" s="89" t="s">
        <v>58</v>
      </c>
      <c r="AT126" s="104" t="s">
        <v>57</v>
      </c>
      <c r="AU126" s="105"/>
      <c r="AV126" s="106" t="s">
        <v>57</v>
      </c>
      <c r="AW126" s="107" t="s">
        <v>58</v>
      </c>
      <c r="AX126" s="108"/>
      <c r="AY126" s="89" t="s">
        <v>58</v>
      </c>
      <c r="AZ126" s="104" t="s">
        <v>57</v>
      </c>
      <c r="BA126" s="105"/>
      <c r="BB126" s="106" t="s">
        <v>57</v>
      </c>
      <c r="BC126" s="109" t="s">
        <v>58</v>
      </c>
      <c r="BD126" s="55"/>
      <c r="BE126" s="89" t="s">
        <v>58</v>
      </c>
      <c r="BF126" s="104" t="s">
        <v>57</v>
      </c>
      <c r="BG126" s="105"/>
      <c r="BH126" s="106" t="s">
        <v>57</v>
      </c>
      <c r="BI126" s="107" t="s">
        <v>57</v>
      </c>
      <c r="BJ126" s="108"/>
      <c r="BK126" s="89" t="s">
        <v>57</v>
      </c>
      <c r="BL126" s="104" t="n">
        <v>1</v>
      </c>
      <c r="BM126" s="52" t="n">
        <f aca="false">AVERAGEA(BL126,BN126)</f>
        <v>1</v>
      </c>
      <c r="BN126" s="106" t="n">
        <v>1</v>
      </c>
    </row>
    <row r="127" customFormat="false" ht="15" hidden="false" customHeight="true" outlineLevel="0" collapsed="false">
      <c r="B127" s="132"/>
      <c r="C127" s="142"/>
      <c r="D127" s="147"/>
      <c r="E127" s="148" t="s">
        <v>85</v>
      </c>
      <c r="F127" s="148"/>
      <c r="G127" s="84" t="n">
        <v>41.0430905919516</v>
      </c>
      <c r="H127" s="73" t="n">
        <f aca="false">AVERAGE(G127,I127)</f>
        <v>42.7273887620863</v>
      </c>
      <c r="I127" s="85" t="n">
        <v>44.411686932221</v>
      </c>
      <c r="J127" s="51" t="s">
        <v>44</v>
      </c>
      <c r="K127" s="52"/>
      <c r="L127" s="53" t="s">
        <v>44</v>
      </c>
      <c r="M127" s="54" t="s">
        <v>44</v>
      </c>
      <c r="N127" s="55"/>
      <c r="O127" s="56" t="s">
        <v>44</v>
      </c>
      <c r="P127" s="54" t="s">
        <v>44</v>
      </c>
      <c r="Q127" s="55"/>
      <c r="R127" s="55" t="s">
        <v>44</v>
      </c>
      <c r="S127" s="51" t="n">
        <v>84</v>
      </c>
      <c r="T127" s="52" t="n">
        <f aca="false">AVERAGEA(U127,S127)</f>
        <v>87.05</v>
      </c>
      <c r="U127" s="53" t="n">
        <v>90.1</v>
      </c>
      <c r="V127" s="107" t="s">
        <v>58</v>
      </c>
      <c r="W127" s="102"/>
      <c r="X127" s="89" t="s">
        <v>58</v>
      </c>
      <c r="Y127" s="86" t="s">
        <v>57</v>
      </c>
      <c r="Z127" s="52"/>
      <c r="AA127" s="86" t="s">
        <v>57</v>
      </c>
      <c r="AB127" s="107" t="s">
        <v>58</v>
      </c>
      <c r="AC127" s="102"/>
      <c r="AD127" s="89" t="s">
        <v>58</v>
      </c>
      <c r="AE127" s="51" t="s">
        <v>57</v>
      </c>
      <c r="AF127" s="52"/>
      <c r="AG127" s="53" t="s">
        <v>57</v>
      </c>
      <c r="AH127" s="86" t="s">
        <v>57</v>
      </c>
      <c r="AI127" s="153"/>
      <c r="AJ127" s="53" t="s">
        <v>57</v>
      </c>
      <c r="AK127" s="107" t="s">
        <v>58</v>
      </c>
      <c r="AL127" s="152"/>
      <c r="AM127" s="89" t="s">
        <v>58</v>
      </c>
      <c r="AN127" s="86" t="s">
        <v>57</v>
      </c>
      <c r="AO127" s="52"/>
      <c r="AP127" s="53" t="s">
        <v>57</v>
      </c>
      <c r="AQ127" s="107" t="s">
        <v>58</v>
      </c>
      <c r="AR127" s="152"/>
      <c r="AS127" s="89" t="s">
        <v>58</v>
      </c>
      <c r="AT127" s="104" t="s">
        <v>57</v>
      </c>
      <c r="AU127" s="105"/>
      <c r="AV127" s="106" t="s">
        <v>57</v>
      </c>
      <c r="AW127" s="107" t="s">
        <v>58</v>
      </c>
      <c r="AX127" s="108"/>
      <c r="AY127" s="89" t="s">
        <v>58</v>
      </c>
      <c r="AZ127" s="104" t="s">
        <v>57</v>
      </c>
      <c r="BA127" s="105"/>
      <c r="BB127" s="106" t="s">
        <v>57</v>
      </c>
      <c r="BC127" s="109" t="s">
        <v>58</v>
      </c>
      <c r="BD127" s="55"/>
      <c r="BE127" s="89" t="s">
        <v>58</v>
      </c>
      <c r="BF127" s="104" t="s">
        <v>57</v>
      </c>
      <c r="BG127" s="105"/>
      <c r="BH127" s="106" t="s">
        <v>57</v>
      </c>
      <c r="BI127" s="107" t="s">
        <v>57</v>
      </c>
      <c r="BJ127" s="108"/>
      <c r="BK127" s="89" t="s">
        <v>57</v>
      </c>
      <c r="BL127" s="104" t="n">
        <v>1</v>
      </c>
      <c r="BM127" s="52" t="n">
        <f aca="false">AVERAGEA(BL127,BN127)</f>
        <v>1</v>
      </c>
      <c r="BN127" s="106" t="n">
        <v>1</v>
      </c>
    </row>
    <row r="128" customFormat="false" ht="15" hidden="false" customHeight="true" outlineLevel="0" collapsed="false">
      <c r="B128" s="132"/>
      <c r="C128" s="142"/>
      <c r="D128" s="147"/>
      <c r="E128" s="148" t="s">
        <v>86</v>
      </c>
      <c r="F128" s="148"/>
      <c r="G128" s="84" t="n">
        <v>33.0734303165184</v>
      </c>
      <c r="H128" s="73" t="n">
        <f aca="false">AVERAGE(G128,I128)</f>
        <v>36.9388214963504</v>
      </c>
      <c r="I128" s="85" t="n">
        <v>40.8042126761825</v>
      </c>
      <c r="J128" s="51" t="s">
        <v>44</v>
      </c>
      <c r="K128" s="52"/>
      <c r="L128" s="53" t="s">
        <v>44</v>
      </c>
      <c r="M128" s="54" t="s">
        <v>44</v>
      </c>
      <c r="N128" s="55"/>
      <c r="O128" s="56" t="s">
        <v>44</v>
      </c>
      <c r="P128" s="54" t="s">
        <v>44</v>
      </c>
      <c r="Q128" s="55"/>
      <c r="R128" s="55" t="s">
        <v>44</v>
      </c>
      <c r="S128" s="51" t="n">
        <v>84</v>
      </c>
      <c r="T128" s="52" t="n">
        <f aca="false">AVERAGEA(U128,S128)</f>
        <v>87.05</v>
      </c>
      <c r="U128" s="53" t="n">
        <v>90.1</v>
      </c>
      <c r="V128" s="107" t="s">
        <v>58</v>
      </c>
      <c r="W128" s="102"/>
      <c r="X128" s="89" t="s">
        <v>58</v>
      </c>
      <c r="Y128" s="86" t="s">
        <v>57</v>
      </c>
      <c r="Z128" s="52"/>
      <c r="AA128" s="86" t="s">
        <v>57</v>
      </c>
      <c r="AB128" s="107" t="s">
        <v>58</v>
      </c>
      <c r="AC128" s="102"/>
      <c r="AD128" s="89" t="s">
        <v>58</v>
      </c>
      <c r="AE128" s="51" t="s">
        <v>57</v>
      </c>
      <c r="AF128" s="52"/>
      <c r="AG128" s="53" t="s">
        <v>57</v>
      </c>
      <c r="AH128" s="86" t="s">
        <v>57</v>
      </c>
      <c r="AI128" s="153"/>
      <c r="AJ128" s="53" t="s">
        <v>57</v>
      </c>
      <c r="AK128" s="107" t="s">
        <v>58</v>
      </c>
      <c r="AL128" s="152"/>
      <c r="AM128" s="89" t="s">
        <v>58</v>
      </c>
      <c r="AN128" s="86" t="s">
        <v>57</v>
      </c>
      <c r="AO128" s="52"/>
      <c r="AP128" s="53" t="s">
        <v>57</v>
      </c>
      <c r="AQ128" s="107" t="s">
        <v>58</v>
      </c>
      <c r="AR128" s="152"/>
      <c r="AS128" s="89" t="s">
        <v>58</v>
      </c>
      <c r="AT128" s="104" t="s">
        <v>57</v>
      </c>
      <c r="AU128" s="105"/>
      <c r="AV128" s="106" t="s">
        <v>57</v>
      </c>
      <c r="AW128" s="107" t="s">
        <v>58</v>
      </c>
      <c r="AX128" s="108"/>
      <c r="AY128" s="89" t="s">
        <v>58</v>
      </c>
      <c r="AZ128" s="104" t="s">
        <v>57</v>
      </c>
      <c r="BA128" s="105"/>
      <c r="BB128" s="106" t="s">
        <v>57</v>
      </c>
      <c r="BC128" s="109" t="s">
        <v>58</v>
      </c>
      <c r="BD128" s="55"/>
      <c r="BE128" s="89" t="s">
        <v>58</v>
      </c>
      <c r="BF128" s="104" t="s">
        <v>57</v>
      </c>
      <c r="BG128" s="105"/>
      <c r="BH128" s="106" t="s">
        <v>57</v>
      </c>
      <c r="BI128" s="107" t="s">
        <v>57</v>
      </c>
      <c r="BJ128" s="108"/>
      <c r="BK128" s="89" t="s">
        <v>57</v>
      </c>
      <c r="BL128" s="104" t="n">
        <v>1</v>
      </c>
      <c r="BM128" s="52" t="n">
        <f aca="false">AVERAGEA(BL128,BN128)</f>
        <v>1</v>
      </c>
      <c r="BN128" s="106" t="n">
        <v>1</v>
      </c>
    </row>
    <row r="129" customFormat="false" ht="15" hidden="false" customHeight="true" outlineLevel="0" collapsed="false">
      <c r="B129" s="132"/>
      <c r="C129" s="142" t="s">
        <v>87</v>
      </c>
      <c r="D129" s="148"/>
      <c r="E129" s="148"/>
      <c r="F129" s="148"/>
      <c r="G129" s="80" t="s">
        <v>44</v>
      </c>
      <c r="H129" s="55"/>
      <c r="I129" s="152" t="s">
        <v>44</v>
      </c>
      <c r="J129" s="51" t="n">
        <v>38</v>
      </c>
      <c r="K129" s="154" t="n">
        <f aca="false">AVERAGE(J129,L129)</f>
        <v>45.5</v>
      </c>
      <c r="L129" s="53" t="n">
        <v>53</v>
      </c>
      <c r="M129" s="54" t="n">
        <v>35</v>
      </c>
      <c r="N129" s="55" t="n">
        <f aca="false">AVERAGEA(M129,O129)</f>
        <v>42.5</v>
      </c>
      <c r="O129" s="56" t="n">
        <v>50</v>
      </c>
      <c r="P129" s="54" t="n">
        <v>73</v>
      </c>
      <c r="Q129" s="55" t="n">
        <f aca="false">AVERAGEA(P129,R129)</f>
        <v>82.5</v>
      </c>
      <c r="R129" s="56" t="n">
        <v>92</v>
      </c>
      <c r="S129" s="51" t="n">
        <v>60</v>
      </c>
      <c r="T129" s="52" t="n">
        <f aca="false">AVERAGEA(U129,S129)</f>
        <v>72.25</v>
      </c>
      <c r="U129" s="53" t="n">
        <v>84.5</v>
      </c>
      <c r="V129" s="80" t="n">
        <v>40</v>
      </c>
      <c r="W129" s="102" t="n">
        <f aca="false">AVERAGEA(X129, V129)</f>
        <v>40</v>
      </c>
      <c r="X129" s="56" t="n">
        <v>40</v>
      </c>
      <c r="Y129" s="86" t="s">
        <v>57</v>
      </c>
      <c r="Z129" s="52"/>
      <c r="AA129" s="86" t="s">
        <v>57</v>
      </c>
      <c r="AB129" s="107" t="s">
        <v>58</v>
      </c>
      <c r="AC129" s="102"/>
      <c r="AD129" s="89" t="s">
        <v>58</v>
      </c>
      <c r="AE129" s="51" t="s">
        <v>57</v>
      </c>
      <c r="AF129" s="52"/>
      <c r="AG129" s="53" t="s">
        <v>57</v>
      </c>
      <c r="AH129" s="86" t="s">
        <v>57</v>
      </c>
      <c r="AI129" s="153"/>
      <c r="AJ129" s="53" t="s">
        <v>57</v>
      </c>
      <c r="AK129" s="80" t="n">
        <v>700</v>
      </c>
      <c r="AL129" s="55" t="n">
        <f aca="false">AVERAGEA(AM129, AK129)</f>
        <v>850</v>
      </c>
      <c r="AM129" s="56" t="n">
        <v>1000</v>
      </c>
      <c r="AN129" s="86" t="s">
        <v>57</v>
      </c>
      <c r="AO129" s="52"/>
      <c r="AP129" s="53" t="s">
        <v>57</v>
      </c>
      <c r="AQ129" s="80" t="n">
        <f aca="false">40/1000</f>
        <v>0.04</v>
      </c>
      <c r="AR129" s="152" t="n">
        <f aca="false">AVERAGEA(AS129, AQ129)</f>
        <v>0.04</v>
      </c>
      <c r="AS129" s="56" t="n">
        <f aca="false">40/1000</f>
        <v>0.04</v>
      </c>
      <c r="AT129" s="104" t="s">
        <v>57</v>
      </c>
      <c r="AU129" s="105"/>
      <c r="AV129" s="106" t="s">
        <v>57</v>
      </c>
      <c r="AW129" s="107" t="s">
        <v>58</v>
      </c>
      <c r="AX129" s="108"/>
      <c r="AY129" s="89" t="s">
        <v>58</v>
      </c>
      <c r="AZ129" s="104" t="s">
        <v>57</v>
      </c>
      <c r="BA129" s="105"/>
      <c r="BB129" s="106" t="s">
        <v>57</v>
      </c>
      <c r="BC129" s="109" t="s">
        <v>58</v>
      </c>
      <c r="BD129" s="55"/>
      <c r="BE129" s="89" t="s">
        <v>58</v>
      </c>
      <c r="BF129" s="104" t="s">
        <v>57</v>
      </c>
      <c r="BG129" s="105"/>
      <c r="BH129" s="106" t="s">
        <v>57</v>
      </c>
      <c r="BI129" s="107" t="s">
        <v>57</v>
      </c>
      <c r="BJ129" s="108"/>
      <c r="BK129" s="89" t="s">
        <v>57</v>
      </c>
      <c r="BL129" s="104"/>
      <c r="BM129" s="105"/>
      <c r="BN129" s="106"/>
    </row>
    <row r="130" customFormat="false" ht="15" hidden="false" customHeight="true" outlineLevel="0" collapsed="false">
      <c r="B130" s="132"/>
      <c r="C130" s="142" t="s">
        <v>88</v>
      </c>
      <c r="D130" s="148"/>
      <c r="E130" s="148"/>
      <c r="F130" s="148"/>
      <c r="G130" s="80" t="s">
        <v>44</v>
      </c>
      <c r="H130" s="55"/>
      <c r="I130" s="152" t="s">
        <v>44</v>
      </c>
      <c r="J130" s="51" t="s">
        <v>57</v>
      </c>
      <c r="K130" s="52"/>
      <c r="L130" s="53" t="s">
        <v>57</v>
      </c>
      <c r="M130" s="54" t="n">
        <v>50</v>
      </c>
      <c r="N130" s="55" t="n">
        <f aca="false">AVERAGEA(M130,O130)</f>
        <v>52.5</v>
      </c>
      <c r="O130" s="56" t="n">
        <v>55</v>
      </c>
      <c r="P130" s="54" t="n">
        <v>65</v>
      </c>
      <c r="Q130" s="55" t="n">
        <f aca="false">AVERAGEA(P130,R130)</f>
        <v>75</v>
      </c>
      <c r="R130" s="56" t="n">
        <v>85</v>
      </c>
      <c r="S130" s="51" t="n">
        <v>93</v>
      </c>
      <c r="T130" s="52" t="n">
        <f aca="false">AVERAGEA(U130,S130)</f>
        <v>94.5</v>
      </c>
      <c r="U130" s="53" t="n">
        <v>96</v>
      </c>
      <c r="V130" s="107" t="s">
        <v>58</v>
      </c>
      <c r="W130" s="102"/>
      <c r="X130" s="89" t="s">
        <v>58</v>
      </c>
      <c r="Y130" s="86" t="s">
        <v>57</v>
      </c>
      <c r="Z130" s="52"/>
      <c r="AA130" s="86" t="s">
        <v>57</v>
      </c>
      <c r="AB130" s="107" t="s">
        <v>58</v>
      </c>
      <c r="AC130" s="102"/>
      <c r="AD130" s="89" t="s">
        <v>58</v>
      </c>
      <c r="AE130" s="51" t="s">
        <v>57</v>
      </c>
      <c r="AF130" s="52"/>
      <c r="AG130" s="53" t="s">
        <v>57</v>
      </c>
      <c r="AH130" s="86" t="s">
        <v>57</v>
      </c>
      <c r="AI130" s="153"/>
      <c r="AJ130" s="53" t="s">
        <v>57</v>
      </c>
      <c r="AK130" s="80" t="n">
        <v>250</v>
      </c>
      <c r="AL130" s="152" t="n">
        <f aca="false">AVERAGEA(AM130, AK130)</f>
        <v>250</v>
      </c>
      <c r="AM130" s="56" t="n">
        <v>250</v>
      </c>
      <c r="AN130" s="86" t="s">
        <v>57</v>
      </c>
      <c r="AO130" s="52"/>
      <c r="AP130" s="53" t="s">
        <v>57</v>
      </c>
      <c r="AQ130" s="107" t="s">
        <v>58</v>
      </c>
      <c r="AR130" s="152"/>
      <c r="AS130" s="89" t="s">
        <v>58</v>
      </c>
      <c r="AT130" s="104" t="s">
        <v>57</v>
      </c>
      <c r="AU130" s="105"/>
      <c r="AV130" s="106" t="s">
        <v>57</v>
      </c>
      <c r="AW130" s="107" t="s">
        <v>58</v>
      </c>
      <c r="AX130" s="108"/>
      <c r="AY130" s="89" t="s">
        <v>58</v>
      </c>
      <c r="AZ130" s="104" t="s">
        <v>57</v>
      </c>
      <c r="BA130" s="105"/>
      <c r="BB130" s="106" t="s">
        <v>57</v>
      </c>
      <c r="BC130" s="109" t="s">
        <v>58</v>
      </c>
      <c r="BD130" s="55"/>
      <c r="BE130" s="89" t="s">
        <v>58</v>
      </c>
      <c r="BF130" s="104" t="s">
        <v>57</v>
      </c>
      <c r="BG130" s="105"/>
      <c r="BH130" s="106" t="s">
        <v>57</v>
      </c>
      <c r="BI130" s="107" t="s">
        <v>57</v>
      </c>
      <c r="BJ130" s="108"/>
      <c r="BK130" s="89" t="s">
        <v>57</v>
      </c>
      <c r="BL130" s="104" t="n">
        <v>0.166</v>
      </c>
      <c r="BM130" s="105" t="n">
        <f aca="false">AVERAGEA(BL130,BN130)</f>
        <v>0.583</v>
      </c>
      <c r="BN130" s="106" t="n">
        <v>1</v>
      </c>
    </row>
    <row r="131" customFormat="false" ht="15" hidden="false" customHeight="true" outlineLevel="0" collapsed="false">
      <c r="B131" s="132"/>
      <c r="C131" s="142" t="s">
        <v>89</v>
      </c>
      <c r="D131" s="148"/>
      <c r="E131" s="148"/>
      <c r="F131" s="148"/>
      <c r="G131" s="80" t="s">
        <v>44</v>
      </c>
      <c r="H131" s="55"/>
      <c r="I131" s="152" t="s">
        <v>44</v>
      </c>
      <c r="J131" s="51" t="n">
        <v>47.1</v>
      </c>
      <c r="K131" s="154" t="n">
        <f aca="false">AVERAGE(J131,L131)</f>
        <v>49.6</v>
      </c>
      <c r="L131" s="53" t="n">
        <v>52.1</v>
      </c>
      <c r="M131" s="54" t="n">
        <v>38</v>
      </c>
      <c r="N131" s="55" t="n">
        <f aca="false">AVERAGEA(M131,O131)</f>
        <v>39.5</v>
      </c>
      <c r="O131" s="56" t="n">
        <v>41</v>
      </c>
      <c r="P131" s="54" t="n">
        <v>88.2</v>
      </c>
      <c r="Q131" s="55" t="n">
        <f aca="false">AVERAGEA(P131,R131)</f>
        <v>89.2</v>
      </c>
      <c r="R131" s="56" t="n">
        <v>90.2</v>
      </c>
      <c r="S131" s="86" t="s">
        <v>57</v>
      </c>
      <c r="T131" s="52"/>
      <c r="U131" s="53" t="s">
        <v>57</v>
      </c>
      <c r="V131" s="155" t="s">
        <v>58</v>
      </c>
      <c r="W131" s="102"/>
      <c r="X131" s="89" t="s">
        <v>58</v>
      </c>
      <c r="Y131" s="86" t="s">
        <v>57</v>
      </c>
      <c r="Z131" s="52"/>
      <c r="AA131" s="86" t="s">
        <v>57</v>
      </c>
      <c r="AB131" s="107" t="s">
        <v>58</v>
      </c>
      <c r="AC131" s="102"/>
      <c r="AD131" s="89" t="s">
        <v>58</v>
      </c>
      <c r="AE131" s="51" t="s">
        <v>57</v>
      </c>
      <c r="AF131" s="52"/>
      <c r="AG131" s="53" t="s">
        <v>57</v>
      </c>
      <c r="AH131" s="86" t="s">
        <v>57</v>
      </c>
      <c r="AI131" s="153"/>
      <c r="AJ131" s="53" t="s">
        <v>57</v>
      </c>
      <c r="AK131" s="80" t="n">
        <v>1292</v>
      </c>
      <c r="AL131" s="152" t="n">
        <f aca="false">AVERAGEA(AM131, AK131)</f>
        <v>2096</v>
      </c>
      <c r="AM131" s="56" t="n">
        <v>2900</v>
      </c>
      <c r="AN131" s="86" t="s">
        <v>57</v>
      </c>
      <c r="AO131" s="52"/>
      <c r="AP131" s="53" t="s">
        <v>57</v>
      </c>
      <c r="AQ131" s="107" t="s">
        <v>58</v>
      </c>
      <c r="AR131" s="152"/>
      <c r="AS131" s="89" t="s">
        <v>58</v>
      </c>
      <c r="AT131" s="104" t="s">
        <v>57</v>
      </c>
      <c r="AU131" s="105"/>
      <c r="AV131" s="106" t="s">
        <v>57</v>
      </c>
      <c r="AW131" s="107" t="s">
        <v>58</v>
      </c>
      <c r="AX131" s="108"/>
      <c r="AY131" s="89" t="s">
        <v>58</v>
      </c>
      <c r="AZ131" s="104" t="s">
        <v>57</v>
      </c>
      <c r="BA131" s="105"/>
      <c r="BB131" s="106" t="s">
        <v>57</v>
      </c>
      <c r="BC131" s="109" t="s">
        <v>58</v>
      </c>
      <c r="BD131" s="55"/>
      <c r="BE131" s="89" t="s">
        <v>58</v>
      </c>
      <c r="BF131" s="104" t="s">
        <v>57</v>
      </c>
      <c r="BG131" s="105"/>
      <c r="BH131" s="106" t="s">
        <v>57</v>
      </c>
      <c r="BI131" s="107" t="s">
        <v>57</v>
      </c>
      <c r="BJ131" s="108"/>
      <c r="BK131" s="89" t="s">
        <v>57</v>
      </c>
      <c r="BL131" s="156" t="s">
        <v>90</v>
      </c>
      <c r="BM131" s="157"/>
      <c r="BN131" s="158" t="s">
        <v>90</v>
      </c>
    </row>
    <row r="132" customFormat="false" ht="15" hidden="false" customHeight="true" outlineLevel="0" collapsed="false">
      <c r="B132" s="132"/>
      <c r="C132" s="142" t="s">
        <v>59</v>
      </c>
      <c r="D132" s="148"/>
      <c r="E132" s="148"/>
      <c r="F132" s="148"/>
      <c r="G132" s="80" t="s">
        <v>44</v>
      </c>
      <c r="H132" s="55"/>
      <c r="I132" s="152" t="s">
        <v>44</v>
      </c>
      <c r="J132" s="51" t="n">
        <v>60</v>
      </c>
      <c r="K132" s="154" t="n">
        <f aca="false">AVERAGE(J132,L132)</f>
        <v>60</v>
      </c>
      <c r="L132" s="53" t="n">
        <v>60</v>
      </c>
      <c r="M132" s="155" t="n">
        <v>5</v>
      </c>
      <c r="N132" s="55" t="n">
        <f aca="false">AVERAGEA(M132,O132)</f>
        <v>15</v>
      </c>
      <c r="O132" s="56" t="n">
        <v>25</v>
      </c>
      <c r="P132" s="54" t="n">
        <v>75</v>
      </c>
      <c r="Q132" s="55" t="n">
        <f aca="false">AVERAGEA(P132,R132)</f>
        <v>83.5</v>
      </c>
      <c r="R132" s="56" t="n">
        <v>92</v>
      </c>
      <c r="S132" s="51" t="n">
        <v>72</v>
      </c>
      <c r="T132" s="52" t="n">
        <f aca="false">AVERAGEA(U132,S132)</f>
        <v>85.5</v>
      </c>
      <c r="U132" s="53" t="n">
        <v>99</v>
      </c>
      <c r="V132" s="155" t="s">
        <v>58</v>
      </c>
      <c r="W132" s="102"/>
      <c r="X132" s="89" t="s">
        <v>58</v>
      </c>
      <c r="Y132" s="86" t="s">
        <v>57</v>
      </c>
      <c r="Z132" s="52"/>
      <c r="AA132" s="86" t="s">
        <v>57</v>
      </c>
      <c r="AB132" s="107" t="s">
        <v>58</v>
      </c>
      <c r="AC132" s="102"/>
      <c r="AD132" s="89" t="s">
        <v>58</v>
      </c>
      <c r="AE132" s="51" t="s">
        <v>57</v>
      </c>
      <c r="AF132" s="52"/>
      <c r="AG132" s="53" t="s">
        <v>57</v>
      </c>
      <c r="AH132" s="86" t="s">
        <v>57</v>
      </c>
      <c r="AI132" s="153"/>
      <c r="AJ132" s="53" t="s">
        <v>57</v>
      </c>
      <c r="AK132" s="107" t="s">
        <v>58</v>
      </c>
      <c r="AL132" s="152"/>
      <c r="AM132" s="89" t="s">
        <v>58</v>
      </c>
      <c r="AN132" s="86" t="s">
        <v>57</v>
      </c>
      <c r="AO132" s="52"/>
      <c r="AP132" s="53" t="s">
        <v>57</v>
      </c>
      <c r="AQ132" s="107" t="s">
        <v>58</v>
      </c>
      <c r="AR132" s="152"/>
      <c r="AS132" s="89" t="s">
        <v>58</v>
      </c>
      <c r="AT132" s="104" t="s">
        <v>57</v>
      </c>
      <c r="AU132" s="105"/>
      <c r="AV132" s="106" t="s">
        <v>57</v>
      </c>
      <c r="AW132" s="107" t="s">
        <v>58</v>
      </c>
      <c r="AX132" s="108"/>
      <c r="AY132" s="89" t="s">
        <v>58</v>
      </c>
      <c r="AZ132" s="104" t="s">
        <v>57</v>
      </c>
      <c r="BA132" s="105"/>
      <c r="BB132" s="106" t="s">
        <v>57</v>
      </c>
      <c r="BC132" s="109" t="s">
        <v>58</v>
      </c>
      <c r="BD132" s="55"/>
      <c r="BE132" s="89" t="s">
        <v>58</v>
      </c>
      <c r="BF132" s="104" t="s">
        <v>57</v>
      </c>
      <c r="BG132" s="105"/>
      <c r="BH132" s="106" t="s">
        <v>57</v>
      </c>
      <c r="BI132" s="107" t="s">
        <v>57</v>
      </c>
      <c r="BJ132" s="108"/>
      <c r="BK132" s="89" t="s">
        <v>57</v>
      </c>
      <c r="BL132" s="104"/>
      <c r="BM132" s="105"/>
      <c r="BN132" s="106"/>
    </row>
    <row r="133" customFormat="false" ht="15" hidden="false" customHeight="true" outlineLevel="0" collapsed="false">
      <c r="B133" s="132"/>
      <c r="C133" s="150" t="s">
        <v>60</v>
      </c>
      <c r="D133" s="159"/>
      <c r="E133" s="159"/>
      <c r="F133" s="159"/>
      <c r="G133" s="96" t="s">
        <v>44</v>
      </c>
      <c r="H133" s="101"/>
      <c r="I133" s="102" t="s">
        <v>44</v>
      </c>
      <c r="J133" s="98" t="n">
        <v>60</v>
      </c>
      <c r="K133" s="154" t="n">
        <f aca="false">AVERAGE(J133,L133)</f>
        <v>60</v>
      </c>
      <c r="L133" s="99" t="n">
        <v>60</v>
      </c>
      <c r="M133" s="160" t="n">
        <v>5</v>
      </c>
      <c r="N133" s="101" t="n">
        <f aca="false">AVERAGEA(M133,O133)</f>
        <v>15</v>
      </c>
      <c r="O133" s="97" t="n">
        <v>25</v>
      </c>
      <c r="P133" s="161" t="n">
        <v>60</v>
      </c>
      <c r="Q133" s="55" t="n">
        <f aca="false">AVERAGEA(P133,R133)</f>
        <v>72.5</v>
      </c>
      <c r="R133" s="97" t="n">
        <v>85</v>
      </c>
      <c r="S133" s="119" t="n">
        <v>72</v>
      </c>
      <c r="T133" s="120" t="n">
        <f aca="false">AVERAGEA(U133,S133)</f>
        <v>85.5</v>
      </c>
      <c r="U133" s="121" t="n">
        <v>99</v>
      </c>
      <c r="V133" s="155" t="s">
        <v>58</v>
      </c>
      <c r="W133" s="102"/>
      <c r="X133" s="130" t="s">
        <v>58</v>
      </c>
      <c r="Y133" s="86" t="s">
        <v>57</v>
      </c>
      <c r="Z133" s="120"/>
      <c r="AA133" s="86" t="s">
        <v>57</v>
      </c>
      <c r="AB133" s="107" t="s">
        <v>58</v>
      </c>
      <c r="AC133" s="102"/>
      <c r="AD133" s="89" t="s">
        <v>58</v>
      </c>
      <c r="AE133" s="119" t="s">
        <v>57</v>
      </c>
      <c r="AF133" s="120"/>
      <c r="AG133" s="121" t="s">
        <v>57</v>
      </c>
      <c r="AH133" s="162" t="s">
        <v>57</v>
      </c>
      <c r="AI133" s="163"/>
      <c r="AJ133" s="121" t="s">
        <v>57</v>
      </c>
      <c r="AK133" s="107" t="s">
        <v>58</v>
      </c>
      <c r="AL133" s="118"/>
      <c r="AM133" s="130" t="s">
        <v>58</v>
      </c>
      <c r="AN133" s="162" t="s">
        <v>57</v>
      </c>
      <c r="AO133" s="120"/>
      <c r="AP133" s="121" t="s">
        <v>57</v>
      </c>
      <c r="AQ133" s="107" t="s">
        <v>58</v>
      </c>
      <c r="AR133" s="118"/>
      <c r="AS133" s="130" t="s">
        <v>58</v>
      </c>
      <c r="AT133" s="164" t="s">
        <v>57</v>
      </c>
      <c r="AU133" s="165"/>
      <c r="AV133" s="166" t="s">
        <v>57</v>
      </c>
      <c r="AW133" s="167" t="s">
        <v>58</v>
      </c>
      <c r="AX133" s="168"/>
      <c r="AY133" s="169" t="s">
        <v>58</v>
      </c>
      <c r="AZ133" s="164" t="s">
        <v>57</v>
      </c>
      <c r="BA133" s="165"/>
      <c r="BB133" s="166" t="s">
        <v>57</v>
      </c>
      <c r="BC133" s="170" t="s">
        <v>58</v>
      </c>
      <c r="BD133" s="101"/>
      <c r="BE133" s="130" t="s">
        <v>58</v>
      </c>
      <c r="BF133" s="164" t="s">
        <v>57</v>
      </c>
      <c r="BG133" s="165"/>
      <c r="BH133" s="166" t="s">
        <v>57</v>
      </c>
      <c r="BI133" s="167" t="s">
        <v>57</v>
      </c>
      <c r="BJ133" s="129"/>
      <c r="BK133" s="169" t="s">
        <v>57</v>
      </c>
      <c r="BL133" s="164"/>
      <c r="BM133" s="165"/>
      <c r="BN133" s="166"/>
    </row>
    <row r="134" customFormat="false" ht="15" hidden="false" customHeight="true" outlineLevel="0" collapsed="false">
      <c r="B134" s="171" t="s">
        <v>91</v>
      </c>
      <c r="C134" s="172" t="s">
        <v>92</v>
      </c>
      <c r="D134" s="173"/>
      <c r="E134" s="173" t="s">
        <v>93</v>
      </c>
      <c r="F134" s="174"/>
      <c r="G134" s="60" t="n">
        <v>33</v>
      </c>
      <c r="H134" s="61" t="n">
        <f aca="false">AVERAGEA(G134,I134)</f>
        <v>35.5</v>
      </c>
      <c r="I134" s="175" t="n">
        <v>38</v>
      </c>
      <c r="J134" s="63" t="s">
        <v>44</v>
      </c>
      <c r="K134" s="64"/>
      <c r="L134" s="65" t="s">
        <v>44</v>
      </c>
      <c r="M134" s="138" t="s">
        <v>44</v>
      </c>
      <c r="N134" s="61"/>
      <c r="O134" s="62" t="s">
        <v>44</v>
      </c>
      <c r="P134" s="138" t="s">
        <v>44</v>
      </c>
      <c r="Q134" s="61"/>
      <c r="R134" s="62" t="s">
        <v>44</v>
      </c>
      <c r="S134" s="57" t="n">
        <v>71</v>
      </c>
      <c r="T134" s="52" t="n">
        <f aca="false">AVERAGEA(U134,S134)</f>
        <v>35.5</v>
      </c>
      <c r="U134" s="59" t="s">
        <v>94</v>
      </c>
      <c r="V134" s="138" t="n">
        <v>50</v>
      </c>
      <c r="W134" s="176" t="n">
        <f aca="false">AVERAGEA(X134, V134)</f>
        <v>35</v>
      </c>
      <c r="X134" s="62" t="n">
        <v>20</v>
      </c>
      <c r="Y134" s="177" t="n">
        <v>0.25</v>
      </c>
      <c r="Z134" s="64" t="n">
        <f aca="false">AVERAGEA(AA134, Y134)</f>
        <v>5.125</v>
      </c>
      <c r="AA134" s="65" t="n">
        <v>10</v>
      </c>
      <c r="AB134" s="60" t="n">
        <v>0.25</v>
      </c>
      <c r="AC134" s="176" t="n">
        <f aca="false">AVERAGEA(AD134, AB134)</f>
        <v>5.125</v>
      </c>
      <c r="AD134" s="62" t="n">
        <v>10</v>
      </c>
      <c r="AE134" s="63" t="n">
        <v>6</v>
      </c>
      <c r="AF134" s="64" t="n">
        <f aca="false">AVERAGEA(AG134, AE134)</f>
        <v>87</v>
      </c>
      <c r="AG134" s="65" t="n">
        <v>168</v>
      </c>
      <c r="AH134" s="67" t="n">
        <v>4</v>
      </c>
      <c r="AI134" s="64" t="n">
        <f aca="false">AVERAGEA(AJ134, AH134)</f>
        <v>26</v>
      </c>
      <c r="AJ134" s="65" t="n">
        <v>48</v>
      </c>
      <c r="AK134" s="60" t="n">
        <v>3000</v>
      </c>
      <c r="AL134" s="61" t="n">
        <f aca="false">AVERAGEA(AM134, AK134)</f>
        <v>5085.5</v>
      </c>
      <c r="AM134" s="62" t="n">
        <v>7171</v>
      </c>
      <c r="AN134" s="63" t="n">
        <v>5</v>
      </c>
      <c r="AO134" s="64" t="n">
        <f aca="false">AVERAGEA(AP134, AN134)</f>
        <v>57.5</v>
      </c>
      <c r="AP134" s="65" t="n">
        <v>110</v>
      </c>
      <c r="AQ134" s="60" t="n">
        <v>0</v>
      </c>
      <c r="AR134" s="61" t="n">
        <f aca="false">AVERAGEA(AS134, AQ134)</f>
        <v>2.5</v>
      </c>
      <c r="AS134" s="62" t="n">
        <v>5</v>
      </c>
      <c r="AT134" s="178" t="s">
        <v>57</v>
      </c>
      <c r="AU134" s="179"/>
      <c r="AV134" s="180" t="s">
        <v>57</v>
      </c>
      <c r="AW134" s="181" t="s">
        <v>58</v>
      </c>
      <c r="AX134" s="182"/>
      <c r="AY134" s="183" t="s">
        <v>58</v>
      </c>
      <c r="AZ134" s="178" t="n">
        <v>16.7</v>
      </c>
      <c r="BA134" s="179" t="n">
        <f aca="false">AVERAGEA(AZ134,BB134)</f>
        <v>78.35</v>
      </c>
      <c r="BB134" s="180" t="n">
        <v>140</v>
      </c>
      <c r="BC134" s="181" t="s">
        <v>58</v>
      </c>
      <c r="BD134" s="61"/>
      <c r="BE134" s="184" t="s">
        <v>58</v>
      </c>
      <c r="BF134" s="178" t="n">
        <v>20</v>
      </c>
      <c r="BG134" s="179" t="n">
        <f aca="false">AVERAGEA(BF134,BH134)</f>
        <v>130</v>
      </c>
      <c r="BH134" s="180" t="n">
        <v>240</v>
      </c>
      <c r="BI134" s="181" t="n">
        <v>2</v>
      </c>
      <c r="BJ134" s="185" t="n">
        <f aca="false">AVERAGEA(BI134,BK134)</f>
        <v>6</v>
      </c>
      <c r="BK134" s="183" t="n">
        <v>10</v>
      </c>
      <c r="BL134" s="178" t="n">
        <v>24</v>
      </c>
      <c r="BM134" s="179" t="n">
        <f aca="false">AVERAGEA(BL134,BN134)</f>
        <v>37</v>
      </c>
      <c r="BN134" s="180" t="n">
        <v>50</v>
      </c>
    </row>
    <row r="135" customFormat="false" ht="15" hidden="false" customHeight="true" outlineLevel="0" collapsed="false">
      <c r="B135" s="171"/>
      <c r="C135" s="172"/>
      <c r="D135" s="186"/>
      <c r="E135" s="186" t="s">
        <v>95</v>
      </c>
      <c r="F135" s="187"/>
      <c r="G135" s="188" t="n">
        <v>33</v>
      </c>
      <c r="H135" s="189" t="n">
        <f aca="false">AVERAGEA(G135,I135)</f>
        <v>35.5</v>
      </c>
      <c r="I135" s="190" t="n">
        <v>38</v>
      </c>
      <c r="J135" s="51" t="s">
        <v>44</v>
      </c>
      <c r="K135" s="52"/>
      <c r="L135" s="53" t="s">
        <v>44</v>
      </c>
      <c r="M135" s="54" t="s">
        <v>44</v>
      </c>
      <c r="N135" s="55"/>
      <c r="O135" s="56" t="s">
        <v>44</v>
      </c>
      <c r="P135" s="54" t="s">
        <v>44</v>
      </c>
      <c r="Q135" s="55"/>
      <c r="R135" s="56" t="s">
        <v>44</v>
      </c>
      <c r="S135" s="51" t="n">
        <v>71</v>
      </c>
      <c r="T135" s="52" t="n">
        <f aca="false">AVERAGEA(U135,S135)</f>
        <v>35.5</v>
      </c>
      <c r="U135" s="53" t="s">
        <v>94</v>
      </c>
      <c r="V135" s="191" t="n">
        <v>50</v>
      </c>
      <c r="W135" s="102" t="n">
        <f aca="false">AVERAGEA(X135, V135)</f>
        <v>35</v>
      </c>
      <c r="X135" s="192" t="n">
        <v>20</v>
      </c>
      <c r="Y135" s="193" t="n">
        <v>0.25</v>
      </c>
      <c r="Z135" s="194" t="n">
        <f aca="false">AVERAGEA(AA135, Y135)</f>
        <v>5.125</v>
      </c>
      <c r="AA135" s="194" t="n">
        <v>10</v>
      </c>
      <c r="AB135" s="188" t="n">
        <v>0.25</v>
      </c>
      <c r="AC135" s="102" t="n">
        <f aca="false">AVERAGEA(AD135, AB135)</f>
        <v>5.125</v>
      </c>
      <c r="AD135" s="192" t="n">
        <v>10</v>
      </c>
      <c r="AE135" s="195" t="n">
        <v>6</v>
      </c>
      <c r="AF135" s="52" t="n">
        <f aca="false">AVERAGEA(AG135, AE135)</f>
        <v>87</v>
      </c>
      <c r="AG135" s="196" t="n">
        <v>168</v>
      </c>
      <c r="AH135" s="197" t="n">
        <v>4</v>
      </c>
      <c r="AI135" s="52" t="n">
        <f aca="false">AVERAGEA(AJ135, AH135)</f>
        <v>26</v>
      </c>
      <c r="AJ135" s="196" t="n">
        <v>48</v>
      </c>
      <c r="AK135" s="188" t="n">
        <v>3000</v>
      </c>
      <c r="AL135" s="189" t="n">
        <f aca="false">AVERAGEA(AM135, AK135)</f>
        <v>5085.5</v>
      </c>
      <c r="AM135" s="192" t="n">
        <v>7171</v>
      </c>
      <c r="AN135" s="195" t="n">
        <v>5</v>
      </c>
      <c r="AO135" s="194" t="n">
        <f aca="false">AVERAGEA(AP135, AN135)</f>
        <v>57.5</v>
      </c>
      <c r="AP135" s="196" t="n">
        <v>110</v>
      </c>
      <c r="AQ135" s="188" t="n">
        <v>0</v>
      </c>
      <c r="AR135" s="189" t="n">
        <f aca="false">AVERAGEA(AS135, AQ135)</f>
        <v>2.5</v>
      </c>
      <c r="AS135" s="192" t="n">
        <v>5</v>
      </c>
      <c r="AT135" s="104" t="s">
        <v>57</v>
      </c>
      <c r="AU135" s="105"/>
      <c r="AV135" s="106" t="s">
        <v>57</v>
      </c>
      <c r="AW135" s="107" t="s">
        <v>58</v>
      </c>
      <c r="AX135" s="108"/>
      <c r="AY135" s="89" t="s">
        <v>58</v>
      </c>
      <c r="AZ135" s="104" t="n">
        <v>16.7</v>
      </c>
      <c r="BA135" s="105" t="n">
        <f aca="false">AVERAGEA(AZ135,BB135)</f>
        <v>78.35</v>
      </c>
      <c r="BB135" s="106" t="n">
        <v>140</v>
      </c>
      <c r="BC135" s="109" t="s">
        <v>58</v>
      </c>
      <c r="BD135" s="55"/>
      <c r="BE135" s="89" t="s">
        <v>58</v>
      </c>
      <c r="BF135" s="104" t="n">
        <v>20</v>
      </c>
      <c r="BG135" s="105" t="n">
        <f aca="false">AVERAGEA(BF135,BH135)</f>
        <v>130</v>
      </c>
      <c r="BH135" s="106" t="n">
        <v>240</v>
      </c>
      <c r="BI135" s="107" t="n">
        <v>2</v>
      </c>
      <c r="BJ135" s="108" t="n">
        <f aca="false">AVERAGEA(BI135,BK135)</f>
        <v>6</v>
      </c>
      <c r="BK135" s="89" t="n">
        <v>10</v>
      </c>
      <c r="BL135" s="104" t="n">
        <v>24</v>
      </c>
      <c r="BM135" s="105" t="n">
        <f aca="false">AVERAGEA(BL135,BN135)</f>
        <v>37</v>
      </c>
      <c r="BN135" s="106" t="n">
        <v>50</v>
      </c>
    </row>
    <row r="136" customFormat="false" ht="15" hidden="false" customHeight="true" outlineLevel="0" collapsed="false">
      <c r="B136" s="171"/>
      <c r="C136" s="198" t="s">
        <v>96</v>
      </c>
      <c r="D136" s="199"/>
      <c r="E136" s="199" t="s">
        <v>93</v>
      </c>
      <c r="F136" s="112"/>
      <c r="G136" s="80" t="n">
        <v>33</v>
      </c>
      <c r="H136" s="55" t="n">
        <f aca="false">AVERAGEA(G136,I136)</f>
        <v>33</v>
      </c>
      <c r="I136" s="152" t="n">
        <v>33</v>
      </c>
      <c r="J136" s="51" t="s">
        <v>44</v>
      </c>
      <c r="K136" s="52"/>
      <c r="L136" s="53" t="s">
        <v>44</v>
      </c>
      <c r="M136" s="54" t="s">
        <v>44</v>
      </c>
      <c r="N136" s="55"/>
      <c r="O136" s="56" t="s">
        <v>44</v>
      </c>
      <c r="P136" s="54" t="s">
        <v>44</v>
      </c>
      <c r="Q136" s="55"/>
      <c r="R136" s="56" t="s">
        <v>44</v>
      </c>
      <c r="S136" s="51" t="n">
        <v>71</v>
      </c>
      <c r="T136" s="52" t="n">
        <f aca="false">AVERAGEA(U136,S136)</f>
        <v>35.5</v>
      </c>
      <c r="U136" s="53" t="s">
        <v>94</v>
      </c>
      <c r="V136" s="54" t="n">
        <v>60</v>
      </c>
      <c r="W136" s="102" t="n">
        <f aca="false">AVERAGEA(X136, V136)</f>
        <v>40</v>
      </c>
      <c r="X136" s="56" t="n">
        <v>20</v>
      </c>
      <c r="Y136" s="146" t="n">
        <v>0.25</v>
      </c>
      <c r="Z136" s="52" t="n">
        <f aca="false">AVERAGEA(AA136, Y136)</f>
        <v>5.125</v>
      </c>
      <c r="AA136" s="52" t="n">
        <v>10</v>
      </c>
      <c r="AB136" s="80" t="n">
        <v>0.25</v>
      </c>
      <c r="AC136" s="102" t="n">
        <f aca="false">AVERAGEA(AD136, AB136)</f>
        <v>5.125</v>
      </c>
      <c r="AD136" s="56" t="n">
        <v>10</v>
      </c>
      <c r="AE136" s="51" t="n">
        <v>6</v>
      </c>
      <c r="AF136" s="52" t="n">
        <f aca="false">AVERAGEA(AG136, AE136)</f>
        <v>87</v>
      </c>
      <c r="AG136" s="53" t="n">
        <v>168</v>
      </c>
      <c r="AH136" s="86" t="n">
        <v>4</v>
      </c>
      <c r="AI136" s="52" t="n">
        <f aca="false">AVERAGEA(AJ136, AH136)</f>
        <v>26</v>
      </c>
      <c r="AJ136" s="53" t="n">
        <v>48</v>
      </c>
      <c r="AK136" s="80" t="n">
        <v>3000</v>
      </c>
      <c r="AL136" s="55" t="n">
        <f aca="false">AVERAGEA(AM136, AK136)</f>
        <v>5085.5</v>
      </c>
      <c r="AM136" s="56" t="n">
        <v>7171</v>
      </c>
      <c r="AN136" s="51" t="n">
        <v>5</v>
      </c>
      <c r="AO136" s="52" t="n">
        <f aca="false">AVERAGEA(AP136, AN136)</f>
        <v>57.5</v>
      </c>
      <c r="AP136" s="53" t="n">
        <v>110</v>
      </c>
      <c r="AQ136" s="80" t="n">
        <v>0</v>
      </c>
      <c r="AR136" s="55" t="n">
        <f aca="false">AVERAGEA(AS136, AQ136)</f>
        <v>2.5</v>
      </c>
      <c r="AS136" s="56" t="n">
        <v>5</v>
      </c>
      <c r="AT136" s="104" t="s">
        <v>57</v>
      </c>
      <c r="AU136" s="105"/>
      <c r="AV136" s="106" t="s">
        <v>57</v>
      </c>
      <c r="AW136" s="107" t="s">
        <v>58</v>
      </c>
      <c r="AX136" s="108"/>
      <c r="AY136" s="89" t="s">
        <v>58</v>
      </c>
      <c r="AZ136" s="104" t="n">
        <v>16.7</v>
      </c>
      <c r="BA136" s="105" t="n">
        <f aca="false">AVERAGEA(AZ136,BB136)</f>
        <v>78.35</v>
      </c>
      <c r="BB136" s="106" t="n">
        <v>140</v>
      </c>
      <c r="BC136" s="109" t="s">
        <v>58</v>
      </c>
      <c r="BD136" s="55"/>
      <c r="BE136" s="89" t="s">
        <v>58</v>
      </c>
      <c r="BF136" s="104" t="n">
        <v>20</v>
      </c>
      <c r="BG136" s="105" t="n">
        <f aca="false">AVERAGEA(BF136,BH136)</f>
        <v>130</v>
      </c>
      <c r="BH136" s="106" t="n">
        <v>240</v>
      </c>
      <c r="BI136" s="107" t="n">
        <v>2</v>
      </c>
      <c r="BJ136" s="108" t="n">
        <f aca="false">AVERAGEA(BI136,BK136)</f>
        <v>6</v>
      </c>
      <c r="BK136" s="89" t="n">
        <v>10</v>
      </c>
      <c r="BL136" s="104" t="n">
        <v>24</v>
      </c>
      <c r="BM136" s="105" t="n">
        <f aca="false">AVERAGEA(BL136,BN136)</f>
        <v>37</v>
      </c>
      <c r="BN136" s="106" t="n">
        <v>50</v>
      </c>
    </row>
    <row r="137" customFormat="false" ht="15" hidden="false" customHeight="true" outlineLevel="0" collapsed="false">
      <c r="B137" s="171"/>
      <c r="C137" s="198"/>
      <c r="D137" s="200"/>
      <c r="E137" s="200" t="s">
        <v>95</v>
      </c>
      <c r="F137" s="201"/>
      <c r="G137" s="202" t="n">
        <v>33</v>
      </c>
      <c r="H137" s="123" t="n">
        <f aca="false">AVERAGEA(G137,I137)</f>
        <v>33</v>
      </c>
      <c r="I137" s="118" t="n">
        <v>33</v>
      </c>
      <c r="J137" s="119" t="s">
        <v>44</v>
      </c>
      <c r="K137" s="120"/>
      <c r="L137" s="121" t="s">
        <v>44</v>
      </c>
      <c r="M137" s="122" t="s">
        <v>44</v>
      </c>
      <c r="N137" s="123"/>
      <c r="O137" s="124" t="s">
        <v>44</v>
      </c>
      <c r="P137" s="122" t="s">
        <v>44</v>
      </c>
      <c r="Q137" s="123"/>
      <c r="R137" s="124" t="s">
        <v>44</v>
      </c>
      <c r="S137" s="119" t="n">
        <v>71</v>
      </c>
      <c r="T137" s="120" t="n">
        <f aca="false">AVERAGEA(U137,S137)</f>
        <v>35.5</v>
      </c>
      <c r="U137" s="121" t="s">
        <v>94</v>
      </c>
      <c r="V137" s="122" t="n">
        <v>60</v>
      </c>
      <c r="W137" s="102" t="n">
        <f aca="false">AVERAGEA(X137, V137)</f>
        <v>40</v>
      </c>
      <c r="X137" s="56" t="n">
        <v>20</v>
      </c>
      <c r="Y137" s="203" t="n">
        <v>0.25</v>
      </c>
      <c r="Z137" s="120" t="n">
        <f aca="false">AVERAGEA(AA137, Y137)</f>
        <v>5.125</v>
      </c>
      <c r="AA137" s="120" t="n">
        <v>10</v>
      </c>
      <c r="AB137" s="202" t="n">
        <v>0.25</v>
      </c>
      <c r="AC137" s="102" t="n">
        <f aca="false">AVERAGEA(AD137, AB137)</f>
        <v>5.125</v>
      </c>
      <c r="AD137" s="124" t="n">
        <v>10</v>
      </c>
      <c r="AE137" s="119" t="n">
        <v>6</v>
      </c>
      <c r="AF137" s="52" t="n">
        <f aca="false">AVERAGEA(AG137, AE137)</f>
        <v>87</v>
      </c>
      <c r="AG137" s="121" t="n">
        <v>168</v>
      </c>
      <c r="AH137" s="162" t="n">
        <v>4</v>
      </c>
      <c r="AI137" s="52" t="n">
        <f aca="false">AVERAGEA(AJ137, AH137)</f>
        <v>26</v>
      </c>
      <c r="AJ137" s="121" t="n">
        <v>48</v>
      </c>
      <c r="AK137" s="202" t="n">
        <v>3000</v>
      </c>
      <c r="AL137" s="123" t="n">
        <f aca="false">AVERAGEA(AM137, AK137)</f>
        <v>5085.5</v>
      </c>
      <c r="AM137" s="124" t="n">
        <v>7171</v>
      </c>
      <c r="AN137" s="119" t="n">
        <v>5</v>
      </c>
      <c r="AO137" s="120" t="n">
        <f aca="false">AVERAGEA(AP137, AN137)</f>
        <v>57.5</v>
      </c>
      <c r="AP137" s="121" t="n">
        <v>110</v>
      </c>
      <c r="AQ137" s="202" t="n">
        <v>0</v>
      </c>
      <c r="AR137" s="123" t="n">
        <f aca="false">AVERAGEA(AS137, AQ137)</f>
        <v>2.5</v>
      </c>
      <c r="AS137" s="124" t="n">
        <v>5</v>
      </c>
      <c r="AT137" s="125" t="s">
        <v>57</v>
      </c>
      <c r="AU137" s="126"/>
      <c r="AV137" s="127" t="s">
        <v>57</v>
      </c>
      <c r="AW137" s="128" t="s">
        <v>58</v>
      </c>
      <c r="AX137" s="129"/>
      <c r="AY137" s="130" t="s">
        <v>58</v>
      </c>
      <c r="AZ137" s="125" t="n">
        <v>16.7</v>
      </c>
      <c r="BA137" s="105" t="n">
        <f aca="false">AVERAGEA(AZ137,BB137)</f>
        <v>78.35</v>
      </c>
      <c r="BB137" s="127" t="n">
        <v>140</v>
      </c>
      <c r="BC137" s="170" t="s">
        <v>58</v>
      </c>
      <c r="BD137" s="123"/>
      <c r="BE137" s="169" t="s">
        <v>58</v>
      </c>
      <c r="BF137" s="125" t="n">
        <v>20</v>
      </c>
      <c r="BG137" s="126" t="n">
        <f aca="false">AVERAGEA(BF137,BH137)</f>
        <v>130</v>
      </c>
      <c r="BH137" s="127" t="n">
        <v>240</v>
      </c>
      <c r="BI137" s="128" t="n">
        <v>2</v>
      </c>
      <c r="BJ137" s="108" t="n">
        <f aca="false">AVERAGEA(BI137,BK137)</f>
        <v>6</v>
      </c>
      <c r="BK137" s="130" t="n">
        <v>10</v>
      </c>
      <c r="BL137" s="125" t="n">
        <v>24</v>
      </c>
      <c r="BM137" s="105" t="n">
        <f aca="false">AVERAGEA(BL137,BN137)</f>
        <v>37</v>
      </c>
      <c r="BN137" s="127" t="n">
        <v>50</v>
      </c>
    </row>
    <row r="138" customFormat="false" ht="15" hidden="false" customHeight="true" outlineLevel="0" collapsed="false">
      <c r="B138" s="204" t="s">
        <v>97</v>
      </c>
      <c r="C138" s="205" t="s">
        <v>81</v>
      </c>
      <c r="D138" s="140"/>
      <c r="E138" s="140"/>
      <c r="F138" s="206"/>
      <c r="G138" s="75" t="n">
        <v>30</v>
      </c>
      <c r="H138" s="76" t="n">
        <f aca="false">AVERAGEA(G138,I138)</f>
        <v>35</v>
      </c>
      <c r="I138" s="207" t="n">
        <v>40</v>
      </c>
      <c r="J138" s="57" t="s">
        <v>44</v>
      </c>
      <c r="K138" s="58"/>
      <c r="L138" s="59" t="s">
        <v>44</v>
      </c>
      <c r="M138" s="137" t="s">
        <v>44</v>
      </c>
      <c r="N138" s="76"/>
      <c r="O138" s="77" t="s">
        <v>44</v>
      </c>
      <c r="P138" s="137" t="s">
        <v>44</v>
      </c>
      <c r="Q138" s="76"/>
      <c r="R138" s="76" t="s">
        <v>44</v>
      </c>
      <c r="S138" s="63" t="n">
        <v>85</v>
      </c>
      <c r="T138" s="64" t="n">
        <f aca="false">AVERAGEA(S138,U138)</f>
        <v>85</v>
      </c>
      <c r="U138" s="65" t="n">
        <v>85</v>
      </c>
      <c r="V138" s="138" t="n">
        <v>30</v>
      </c>
      <c r="W138" s="175" t="n">
        <f aca="false">AVERAGEA(X138, V138)</f>
        <v>30</v>
      </c>
      <c r="X138" s="62" t="n">
        <v>30</v>
      </c>
      <c r="Y138" s="86" t="s">
        <v>57</v>
      </c>
      <c r="Z138" s="64"/>
      <c r="AA138" s="86" t="s">
        <v>57</v>
      </c>
      <c r="AB138" s="107" t="s">
        <v>58</v>
      </c>
      <c r="AC138" s="176"/>
      <c r="AD138" s="89" t="s">
        <v>58</v>
      </c>
      <c r="AE138" s="63" t="s">
        <v>57</v>
      </c>
      <c r="AF138" s="64"/>
      <c r="AG138" s="65" t="s">
        <v>57</v>
      </c>
      <c r="AH138" s="67" t="s">
        <v>57</v>
      </c>
      <c r="AI138" s="208"/>
      <c r="AJ138" s="65" t="s">
        <v>57</v>
      </c>
      <c r="AK138" s="60" t="n">
        <v>883</v>
      </c>
      <c r="AL138" s="175" t="n">
        <f aca="false">AVERAGEA(AM138, AK138)</f>
        <v>2765.5</v>
      </c>
      <c r="AM138" s="62" t="n">
        <v>4648</v>
      </c>
      <c r="AN138" s="63" t="n">
        <v>116</v>
      </c>
      <c r="AO138" s="64" t="n">
        <f aca="false">AVERAGEA(AP138, AN138)</f>
        <v>120.5</v>
      </c>
      <c r="AP138" s="65" t="n">
        <v>125</v>
      </c>
      <c r="AQ138" s="107" t="s">
        <v>58</v>
      </c>
      <c r="AR138" s="175"/>
      <c r="AS138" s="183" t="s">
        <v>58</v>
      </c>
      <c r="AT138" s="178" t="s">
        <v>57</v>
      </c>
      <c r="AU138" s="179"/>
      <c r="AV138" s="180" t="s">
        <v>57</v>
      </c>
      <c r="AW138" s="181" t="s">
        <v>58</v>
      </c>
      <c r="AX138" s="182"/>
      <c r="AY138" s="183" t="s">
        <v>58</v>
      </c>
      <c r="AZ138" s="178" t="s">
        <v>57</v>
      </c>
      <c r="BA138" s="179"/>
      <c r="BB138" s="180" t="s">
        <v>57</v>
      </c>
      <c r="BC138" s="181" t="s">
        <v>58</v>
      </c>
      <c r="BD138" s="61"/>
      <c r="BE138" s="183" t="s">
        <v>58</v>
      </c>
      <c r="BF138" s="178" t="s">
        <v>57</v>
      </c>
      <c r="BG138" s="179"/>
      <c r="BH138" s="180" t="s">
        <v>57</v>
      </c>
      <c r="BI138" s="181" t="s">
        <v>57</v>
      </c>
      <c r="BJ138" s="182"/>
      <c r="BK138" s="183" t="s">
        <v>57</v>
      </c>
      <c r="BL138" s="178" t="s">
        <v>57</v>
      </c>
      <c r="BM138" s="179"/>
      <c r="BN138" s="180" t="s">
        <v>57</v>
      </c>
    </row>
    <row r="139" customFormat="false" ht="15" hidden="false" customHeight="true" outlineLevel="0" collapsed="false">
      <c r="B139" s="204"/>
      <c r="C139" s="142" t="s">
        <v>98</v>
      </c>
      <c r="D139" s="148"/>
      <c r="E139" s="148"/>
      <c r="F139" s="209"/>
      <c r="G139" s="80" t="s">
        <v>44</v>
      </c>
      <c r="H139" s="55"/>
      <c r="I139" s="152" t="s">
        <v>44</v>
      </c>
      <c r="J139" s="51" t="s">
        <v>44</v>
      </c>
      <c r="K139" s="52"/>
      <c r="L139" s="53" t="s">
        <v>44</v>
      </c>
      <c r="M139" s="54" t="s">
        <v>44</v>
      </c>
      <c r="N139" s="55"/>
      <c r="O139" s="56" t="s">
        <v>44</v>
      </c>
      <c r="P139" s="54" t="s">
        <v>44</v>
      </c>
      <c r="Q139" s="55"/>
      <c r="R139" s="56" t="s">
        <v>44</v>
      </c>
      <c r="S139" s="51" t="s">
        <v>57</v>
      </c>
      <c r="T139" s="52"/>
      <c r="U139" s="53" t="s">
        <v>57</v>
      </c>
      <c r="V139" s="54" t="n">
        <v>30</v>
      </c>
      <c r="W139" s="152" t="n">
        <f aca="false">AVERAGEA(X139, V139)</f>
        <v>30</v>
      </c>
      <c r="X139" s="56" t="n">
        <v>30</v>
      </c>
      <c r="Y139" s="86" t="s">
        <v>57</v>
      </c>
      <c r="Z139" s="52"/>
      <c r="AA139" s="86" t="s">
        <v>57</v>
      </c>
      <c r="AB139" s="107" t="s">
        <v>58</v>
      </c>
      <c r="AC139" s="102"/>
      <c r="AD139" s="89" t="s">
        <v>58</v>
      </c>
      <c r="AE139" s="51" t="s">
        <v>57</v>
      </c>
      <c r="AF139" s="52"/>
      <c r="AG139" s="53" t="s">
        <v>57</v>
      </c>
      <c r="AH139" s="86" t="s">
        <v>57</v>
      </c>
      <c r="AI139" s="153"/>
      <c r="AJ139" s="53" t="s">
        <v>57</v>
      </c>
      <c r="AK139" s="107" t="s">
        <v>58</v>
      </c>
      <c r="AL139" s="152"/>
      <c r="AM139" s="108" t="s">
        <v>58</v>
      </c>
      <c r="AN139" s="51" t="n">
        <v>252</v>
      </c>
      <c r="AO139" s="52" t="n">
        <f aca="false">AVERAGEA(AP139, AN139)</f>
        <v>259.5</v>
      </c>
      <c r="AP139" s="53" t="n">
        <v>267</v>
      </c>
      <c r="AQ139" s="107" t="s">
        <v>58</v>
      </c>
      <c r="AR139" s="152"/>
      <c r="AS139" s="89" t="s">
        <v>58</v>
      </c>
      <c r="AT139" s="104" t="s">
        <v>57</v>
      </c>
      <c r="AU139" s="105"/>
      <c r="AV139" s="106" t="s">
        <v>57</v>
      </c>
      <c r="AW139" s="107" t="s">
        <v>58</v>
      </c>
      <c r="AX139" s="108"/>
      <c r="AY139" s="89" t="s">
        <v>58</v>
      </c>
      <c r="AZ139" s="104" t="s">
        <v>57</v>
      </c>
      <c r="BA139" s="105"/>
      <c r="BB139" s="106" t="s">
        <v>57</v>
      </c>
      <c r="BC139" s="109" t="s">
        <v>58</v>
      </c>
      <c r="BD139" s="55"/>
      <c r="BE139" s="89" t="s">
        <v>58</v>
      </c>
      <c r="BF139" s="104" t="s">
        <v>57</v>
      </c>
      <c r="BG139" s="105"/>
      <c r="BH139" s="106" t="s">
        <v>57</v>
      </c>
      <c r="BI139" s="107" t="s">
        <v>57</v>
      </c>
      <c r="BJ139" s="108"/>
      <c r="BK139" s="89" t="s">
        <v>57</v>
      </c>
      <c r="BL139" s="104" t="s">
        <v>57</v>
      </c>
      <c r="BM139" s="105"/>
      <c r="BN139" s="106" t="s">
        <v>57</v>
      </c>
    </row>
    <row r="140" customFormat="false" ht="15" hidden="false" customHeight="true" outlineLevel="0" collapsed="false">
      <c r="B140" s="204"/>
      <c r="C140" s="142" t="s">
        <v>60</v>
      </c>
      <c r="D140" s="148"/>
      <c r="E140" s="148"/>
      <c r="F140" s="209"/>
      <c r="G140" s="80" t="s">
        <v>44</v>
      </c>
      <c r="H140" s="55"/>
      <c r="I140" s="152" t="s">
        <v>44</v>
      </c>
      <c r="J140" s="51" t="s">
        <v>44</v>
      </c>
      <c r="K140" s="52"/>
      <c r="L140" s="53" t="s">
        <v>44</v>
      </c>
      <c r="M140" s="54" t="s">
        <v>44</v>
      </c>
      <c r="N140" s="55"/>
      <c r="O140" s="56" t="s">
        <v>44</v>
      </c>
      <c r="P140" s="54" t="s">
        <v>44</v>
      </c>
      <c r="Q140" s="55"/>
      <c r="R140" s="56" t="s">
        <v>44</v>
      </c>
      <c r="S140" s="51" t="s">
        <v>57</v>
      </c>
      <c r="T140" s="52"/>
      <c r="U140" s="53" t="s">
        <v>57</v>
      </c>
      <c r="V140" s="54" t="n">
        <v>30</v>
      </c>
      <c r="W140" s="152" t="n">
        <f aca="false">AVERAGEA(X140, V140)</f>
        <v>30</v>
      </c>
      <c r="X140" s="56" t="n">
        <v>30</v>
      </c>
      <c r="Y140" s="86" t="s">
        <v>57</v>
      </c>
      <c r="Z140" s="52"/>
      <c r="AA140" s="86" t="s">
        <v>57</v>
      </c>
      <c r="AB140" s="107" t="s">
        <v>58</v>
      </c>
      <c r="AC140" s="102"/>
      <c r="AD140" s="89" t="s">
        <v>58</v>
      </c>
      <c r="AE140" s="51" t="s">
        <v>57</v>
      </c>
      <c r="AF140" s="52"/>
      <c r="AG140" s="53" t="s">
        <v>57</v>
      </c>
      <c r="AH140" s="86" t="s">
        <v>57</v>
      </c>
      <c r="AI140" s="153"/>
      <c r="AJ140" s="53" t="s">
        <v>57</v>
      </c>
      <c r="AK140" s="107" t="s">
        <v>58</v>
      </c>
      <c r="AL140" s="152"/>
      <c r="AM140" s="108" t="s">
        <v>58</v>
      </c>
      <c r="AN140" s="51" t="n">
        <v>252</v>
      </c>
      <c r="AO140" s="52" t="n">
        <f aca="false">AVERAGEA(AP140, AN140)</f>
        <v>259.5</v>
      </c>
      <c r="AP140" s="53" t="n">
        <v>267</v>
      </c>
      <c r="AQ140" s="107" t="s">
        <v>58</v>
      </c>
      <c r="AR140" s="152"/>
      <c r="AS140" s="89" t="s">
        <v>58</v>
      </c>
      <c r="AT140" s="104" t="s">
        <v>57</v>
      </c>
      <c r="AU140" s="105"/>
      <c r="AV140" s="106" t="s">
        <v>57</v>
      </c>
      <c r="AW140" s="107" t="s">
        <v>58</v>
      </c>
      <c r="AX140" s="108"/>
      <c r="AY140" s="89" t="s">
        <v>58</v>
      </c>
      <c r="AZ140" s="104" t="s">
        <v>57</v>
      </c>
      <c r="BA140" s="105"/>
      <c r="BB140" s="106" t="s">
        <v>57</v>
      </c>
      <c r="BC140" s="109" t="s">
        <v>58</v>
      </c>
      <c r="BD140" s="55"/>
      <c r="BE140" s="89" t="s">
        <v>58</v>
      </c>
      <c r="BF140" s="104" t="s">
        <v>57</v>
      </c>
      <c r="BG140" s="105"/>
      <c r="BH140" s="106" t="s">
        <v>57</v>
      </c>
      <c r="BI140" s="107" t="s">
        <v>57</v>
      </c>
      <c r="BJ140" s="108"/>
      <c r="BK140" s="89" t="s">
        <v>57</v>
      </c>
      <c r="BL140" s="104" t="s">
        <v>57</v>
      </c>
      <c r="BM140" s="105"/>
      <c r="BN140" s="106" t="s">
        <v>57</v>
      </c>
    </row>
    <row r="141" customFormat="false" ht="15" hidden="false" customHeight="true" outlineLevel="0" collapsed="false">
      <c r="B141" s="204"/>
      <c r="C141" s="210" t="s">
        <v>99</v>
      </c>
      <c r="D141" s="211"/>
      <c r="E141" s="211"/>
      <c r="F141" s="212"/>
      <c r="G141" s="80" t="s">
        <v>44</v>
      </c>
      <c r="H141" s="123"/>
      <c r="I141" s="152" t="s">
        <v>44</v>
      </c>
      <c r="J141" s="119" t="s">
        <v>44</v>
      </c>
      <c r="K141" s="120"/>
      <c r="L141" s="121" t="s">
        <v>44</v>
      </c>
      <c r="M141" s="122" t="s">
        <v>44</v>
      </c>
      <c r="N141" s="123"/>
      <c r="O141" s="124" t="s">
        <v>44</v>
      </c>
      <c r="P141" s="122" t="s">
        <v>44</v>
      </c>
      <c r="Q141" s="123"/>
      <c r="R141" s="124" t="s">
        <v>44</v>
      </c>
      <c r="S141" s="119" t="s">
        <v>57</v>
      </c>
      <c r="T141" s="120"/>
      <c r="U141" s="121" t="s">
        <v>57</v>
      </c>
      <c r="V141" s="122" t="n">
        <v>30</v>
      </c>
      <c r="W141" s="118" t="n">
        <f aca="false">AVERAGEA(X141, V141)</f>
        <v>30</v>
      </c>
      <c r="X141" s="124" t="n">
        <v>30</v>
      </c>
      <c r="Y141" s="203" t="s">
        <v>57</v>
      </c>
      <c r="Z141" s="120"/>
      <c r="AA141" s="162" t="s">
        <v>57</v>
      </c>
      <c r="AB141" s="128" t="s">
        <v>58</v>
      </c>
      <c r="AC141" s="118"/>
      <c r="AD141" s="130" t="s">
        <v>58</v>
      </c>
      <c r="AE141" s="119" t="s">
        <v>57</v>
      </c>
      <c r="AF141" s="120"/>
      <c r="AG141" s="121" t="s">
        <v>57</v>
      </c>
      <c r="AH141" s="162" t="s">
        <v>57</v>
      </c>
      <c r="AI141" s="163"/>
      <c r="AJ141" s="121" t="s">
        <v>57</v>
      </c>
      <c r="AK141" s="128" t="s">
        <v>58</v>
      </c>
      <c r="AL141" s="118"/>
      <c r="AM141" s="131" t="s">
        <v>58</v>
      </c>
      <c r="AN141" s="119" t="s">
        <v>57</v>
      </c>
      <c r="AO141" s="120"/>
      <c r="AP141" s="121" t="s">
        <v>57</v>
      </c>
      <c r="AQ141" s="128" t="s">
        <v>58</v>
      </c>
      <c r="AR141" s="118"/>
      <c r="AS141" s="130" t="s">
        <v>58</v>
      </c>
      <c r="AT141" s="125" t="s">
        <v>57</v>
      </c>
      <c r="AU141" s="126"/>
      <c r="AV141" s="127" t="s">
        <v>57</v>
      </c>
      <c r="AW141" s="128" t="s">
        <v>58</v>
      </c>
      <c r="AX141" s="129"/>
      <c r="AY141" s="130" t="s">
        <v>58</v>
      </c>
      <c r="AZ141" s="125" t="s">
        <v>57</v>
      </c>
      <c r="BA141" s="126"/>
      <c r="BB141" s="127" t="s">
        <v>57</v>
      </c>
      <c r="BC141" s="131" t="s">
        <v>58</v>
      </c>
      <c r="BD141" s="123"/>
      <c r="BE141" s="130" t="s">
        <v>58</v>
      </c>
      <c r="BF141" s="125" t="s">
        <v>57</v>
      </c>
      <c r="BG141" s="126"/>
      <c r="BH141" s="127" t="s">
        <v>57</v>
      </c>
      <c r="BI141" s="128" t="s">
        <v>57</v>
      </c>
      <c r="BJ141" s="129"/>
      <c r="BK141" s="130" t="s">
        <v>57</v>
      </c>
      <c r="BL141" s="125" t="s">
        <v>57</v>
      </c>
      <c r="BM141" s="126"/>
      <c r="BN141" s="127" t="s">
        <v>57</v>
      </c>
    </row>
    <row r="142" customFormat="false" ht="15" hidden="false" customHeight="true" outlineLevel="0" collapsed="false">
      <c r="B142" s="171" t="s">
        <v>100</v>
      </c>
      <c r="C142" s="44" t="s">
        <v>82</v>
      </c>
      <c r="D142" s="173"/>
      <c r="E142" s="173"/>
      <c r="F142" s="213"/>
      <c r="G142" s="60" t="s">
        <v>44</v>
      </c>
      <c r="H142" s="61"/>
      <c r="I142" s="175" t="s">
        <v>44</v>
      </c>
      <c r="J142" s="57" t="s">
        <v>44</v>
      </c>
      <c r="K142" s="58"/>
      <c r="L142" s="59" t="s">
        <v>44</v>
      </c>
      <c r="M142" s="137" t="s">
        <v>44</v>
      </c>
      <c r="N142" s="76"/>
      <c r="O142" s="77" t="s">
        <v>44</v>
      </c>
      <c r="P142" s="137" t="s">
        <v>44</v>
      </c>
      <c r="Q142" s="76"/>
      <c r="R142" s="77" t="s">
        <v>44</v>
      </c>
      <c r="S142" s="57" t="n">
        <v>85</v>
      </c>
      <c r="T142" s="58" t="n">
        <f aca="false">AVERAGEA(S142,U142)</f>
        <v>85</v>
      </c>
      <c r="U142" s="59" t="n">
        <v>85</v>
      </c>
      <c r="V142" s="214" t="s">
        <v>58</v>
      </c>
      <c r="W142" s="207"/>
      <c r="X142" s="184" t="s">
        <v>58</v>
      </c>
      <c r="Y142" s="78" t="s">
        <v>57</v>
      </c>
      <c r="Z142" s="58"/>
      <c r="AA142" s="78" t="s">
        <v>57</v>
      </c>
      <c r="AB142" s="215" t="s">
        <v>58</v>
      </c>
      <c r="AC142" s="190"/>
      <c r="AD142" s="184" t="s">
        <v>58</v>
      </c>
      <c r="AE142" s="57" t="s">
        <v>57</v>
      </c>
      <c r="AF142" s="58"/>
      <c r="AG142" s="59" t="s">
        <v>57</v>
      </c>
      <c r="AH142" s="78" t="s">
        <v>57</v>
      </c>
      <c r="AI142" s="216"/>
      <c r="AJ142" s="59" t="s">
        <v>57</v>
      </c>
      <c r="AK142" s="75" t="n">
        <v>2015</v>
      </c>
      <c r="AL142" s="76" t="n">
        <f aca="false">AVERAGEA(AM142, AK142)</f>
        <v>2207.5</v>
      </c>
      <c r="AM142" s="77" t="n">
        <v>2400</v>
      </c>
      <c r="AN142" s="216" t="s">
        <v>57</v>
      </c>
      <c r="AO142" s="64"/>
      <c r="AP142" s="59" t="s">
        <v>57</v>
      </c>
      <c r="AQ142" s="75" t="n">
        <v>31</v>
      </c>
      <c r="AR142" s="76" t="n">
        <f aca="false">AVERAGEA(AS142, AQ142)</f>
        <v>31</v>
      </c>
      <c r="AS142" s="77" t="n">
        <v>31</v>
      </c>
      <c r="AT142" s="217" t="s">
        <v>57</v>
      </c>
      <c r="AU142" s="218"/>
      <c r="AV142" s="219" t="s">
        <v>57</v>
      </c>
      <c r="AW142" s="215" t="s">
        <v>58</v>
      </c>
      <c r="AX142" s="185"/>
      <c r="AY142" s="184" t="s">
        <v>58</v>
      </c>
      <c r="AZ142" s="217" t="s">
        <v>57</v>
      </c>
      <c r="BA142" s="218"/>
      <c r="BB142" s="219" t="s">
        <v>57</v>
      </c>
      <c r="BC142" s="220" t="s">
        <v>58</v>
      </c>
      <c r="BD142" s="76"/>
      <c r="BE142" s="184" t="s">
        <v>58</v>
      </c>
      <c r="BF142" s="217" t="s">
        <v>57</v>
      </c>
      <c r="BG142" s="218"/>
      <c r="BH142" s="219" t="s">
        <v>57</v>
      </c>
      <c r="BI142" s="215" t="s">
        <v>57</v>
      </c>
      <c r="BJ142" s="185"/>
      <c r="BK142" s="184" t="s">
        <v>57</v>
      </c>
      <c r="BL142" s="217" t="s">
        <v>57</v>
      </c>
      <c r="BM142" s="218"/>
      <c r="BN142" s="219" t="s">
        <v>57</v>
      </c>
    </row>
    <row r="143" customFormat="false" ht="15" hidden="false" customHeight="true" outlineLevel="0" collapsed="false">
      <c r="B143" s="171"/>
      <c r="C143" s="114" t="s">
        <v>89</v>
      </c>
      <c r="D143" s="200"/>
      <c r="E143" s="200"/>
      <c r="F143" s="221"/>
      <c r="G143" s="202" t="s">
        <v>44</v>
      </c>
      <c r="H143" s="123"/>
      <c r="I143" s="118" t="s">
        <v>44</v>
      </c>
      <c r="J143" s="119" t="n">
        <v>26.86</v>
      </c>
      <c r="K143" s="120" t="n">
        <f aca="false">AVERAGEA(J143,L143)</f>
        <v>26.86</v>
      </c>
      <c r="L143" s="121" t="n">
        <v>26.86</v>
      </c>
      <c r="M143" s="122" t="n">
        <v>28.45</v>
      </c>
      <c r="N143" s="123" t="n">
        <f aca="false">AVERAGEA(M143,O143)</f>
        <v>28.45</v>
      </c>
      <c r="O143" s="124" t="n">
        <v>28.45</v>
      </c>
      <c r="P143" s="122" t="n">
        <v>87.05</v>
      </c>
      <c r="Q143" s="123" t="n">
        <f aca="false">AVERAGEA(P143,R143)</f>
        <v>87.05</v>
      </c>
      <c r="R143" s="124" t="n">
        <v>87.05</v>
      </c>
      <c r="S143" s="119" t="n">
        <v>85</v>
      </c>
      <c r="T143" s="120" t="n">
        <f aca="false">AVERAGEA(S143,U143)</f>
        <v>85</v>
      </c>
      <c r="U143" s="121" t="n">
        <v>85</v>
      </c>
      <c r="V143" s="222" t="s">
        <v>58</v>
      </c>
      <c r="W143" s="118"/>
      <c r="X143" s="130" t="s">
        <v>58</v>
      </c>
      <c r="Y143" s="162" t="s">
        <v>57</v>
      </c>
      <c r="Z143" s="120"/>
      <c r="AA143" s="162" t="s">
        <v>57</v>
      </c>
      <c r="AB143" s="128" t="s">
        <v>58</v>
      </c>
      <c r="AC143" s="118"/>
      <c r="AD143" s="130" t="s">
        <v>58</v>
      </c>
      <c r="AE143" s="119" t="s">
        <v>57</v>
      </c>
      <c r="AF143" s="120"/>
      <c r="AG143" s="121" t="s">
        <v>57</v>
      </c>
      <c r="AH143" s="162" t="s">
        <v>57</v>
      </c>
      <c r="AI143" s="163"/>
      <c r="AJ143" s="121" t="s">
        <v>57</v>
      </c>
      <c r="AK143" s="202" t="n">
        <v>2600</v>
      </c>
      <c r="AL143" s="123" t="n">
        <f aca="false">AVERAGEA(AM143, AK143)</f>
        <v>5487</v>
      </c>
      <c r="AM143" s="124" t="n">
        <v>8374</v>
      </c>
      <c r="AN143" s="119" t="n">
        <v>125</v>
      </c>
      <c r="AO143" s="120" t="n">
        <f aca="false">AVERAGEA(AP143, AN143)</f>
        <v>173.5</v>
      </c>
      <c r="AP143" s="121" t="n">
        <v>222</v>
      </c>
      <c r="AQ143" s="202"/>
      <c r="AR143" s="123"/>
      <c r="AS143" s="124"/>
      <c r="AT143" s="125" t="s">
        <v>57</v>
      </c>
      <c r="AU143" s="126"/>
      <c r="AV143" s="127" t="s">
        <v>57</v>
      </c>
      <c r="AW143" s="128" t="s">
        <v>58</v>
      </c>
      <c r="AX143" s="129"/>
      <c r="AY143" s="130" t="s">
        <v>58</v>
      </c>
      <c r="AZ143" s="125" t="s">
        <v>57</v>
      </c>
      <c r="BA143" s="126"/>
      <c r="BB143" s="127" t="s">
        <v>57</v>
      </c>
      <c r="BC143" s="131" t="s">
        <v>58</v>
      </c>
      <c r="BD143" s="123"/>
      <c r="BE143" s="130" t="s">
        <v>58</v>
      </c>
      <c r="BF143" s="125" t="s">
        <v>57</v>
      </c>
      <c r="BG143" s="126"/>
      <c r="BH143" s="127" t="s">
        <v>57</v>
      </c>
      <c r="BI143" s="128" t="s">
        <v>57</v>
      </c>
      <c r="BJ143" s="129"/>
      <c r="BK143" s="130" t="s">
        <v>57</v>
      </c>
      <c r="BL143" s="125" t="s">
        <v>57</v>
      </c>
      <c r="BM143" s="126"/>
      <c r="BN143" s="127" t="s">
        <v>57</v>
      </c>
    </row>
    <row r="144" customFormat="false" ht="15" hidden="false" customHeight="true" outlineLevel="0" collapsed="false">
      <c r="B144" s="204" t="s">
        <v>101</v>
      </c>
      <c r="C144" s="133" t="s">
        <v>102</v>
      </c>
      <c r="D144" s="134"/>
      <c r="E144" s="135" t="s">
        <v>103</v>
      </c>
      <c r="F144" s="136" t="s">
        <v>104</v>
      </c>
      <c r="G144" s="75" t="n">
        <v>95</v>
      </c>
      <c r="H144" s="76" t="n">
        <f aca="false">AVERAGEA(G144,I144)</f>
        <v>95</v>
      </c>
      <c r="I144" s="207" t="n">
        <v>95</v>
      </c>
      <c r="J144" s="57" t="s">
        <v>44</v>
      </c>
      <c r="K144" s="58"/>
      <c r="L144" s="59" t="s">
        <v>44</v>
      </c>
      <c r="M144" s="137" t="s">
        <v>44</v>
      </c>
      <c r="N144" s="76"/>
      <c r="O144" s="77" t="s">
        <v>44</v>
      </c>
      <c r="P144" s="137" t="s">
        <v>44</v>
      </c>
      <c r="Q144" s="76"/>
      <c r="R144" s="76" t="s">
        <v>44</v>
      </c>
      <c r="S144" s="57" t="n">
        <v>98</v>
      </c>
      <c r="T144" s="58" t="n">
        <f aca="false">AVERAGEA(S144,U144)</f>
        <v>98</v>
      </c>
      <c r="U144" s="59" t="n">
        <v>98</v>
      </c>
      <c r="V144" s="214" t="s">
        <v>58</v>
      </c>
      <c r="W144" s="220"/>
      <c r="X144" s="184" t="s">
        <v>58</v>
      </c>
      <c r="Y144" s="78" t="s">
        <v>57</v>
      </c>
      <c r="Z144" s="58"/>
      <c r="AA144" s="78" t="s">
        <v>57</v>
      </c>
      <c r="AB144" s="215" t="s">
        <v>58</v>
      </c>
      <c r="AC144" s="190"/>
      <c r="AD144" s="184" t="s">
        <v>58</v>
      </c>
      <c r="AE144" s="57" t="s">
        <v>57</v>
      </c>
      <c r="AF144" s="58"/>
      <c r="AG144" s="59" t="s">
        <v>57</v>
      </c>
      <c r="AH144" s="78" t="s">
        <v>57</v>
      </c>
      <c r="AI144" s="216"/>
      <c r="AJ144" s="59" t="s">
        <v>57</v>
      </c>
      <c r="AK144" s="75" t="n">
        <v>1800</v>
      </c>
      <c r="AL144" s="76" t="n">
        <f aca="false">AVERAGEA(AM144, AK144)</f>
        <v>3391</v>
      </c>
      <c r="AM144" s="77" t="n">
        <v>4982</v>
      </c>
      <c r="AN144" s="57" t="n">
        <v>38</v>
      </c>
      <c r="AO144" s="58" t="n">
        <f aca="false">AVERAGEA(AP144, AN144)</f>
        <v>39.5</v>
      </c>
      <c r="AP144" s="59" t="n">
        <v>41</v>
      </c>
      <c r="AQ144" s="75" t="n">
        <v>0</v>
      </c>
      <c r="AR144" s="76" t="n">
        <v>0</v>
      </c>
      <c r="AS144" s="77" t="n">
        <v>0</v>
      </c>
      <c r="AT144" s="217" t="s">
        <v>57</v>
      </c>
      <c r="AU144" s="218"/>
      <c r="AV144" s="219" t="s">
        <v>57</v>
      </c>
      <c r="AW144" s="215" t="s">
        <v>58</v>
      </c>
      <c r="AX144" s="185"/>
      <c r="AY144" s="184" t="s">
        <v>58</v>
      </c>
      <c r="AZ144" s="217" t="s">
        <v>57</v>
      </c>
      <c r="BA144" s="218"/>
      <c r="BB144" s="219" t="s">
        <v>57</v>
      </c>
      <c r="BC144" s="220" t="s">
        <v>58</v>
      </c>
      <c r="BD144" s="76"/>
      <c r="BE144" s="184" t="s">
        <v>58</v>
      </c>
      <c r="BF144" s="217" t="s">
        <v>57</v>
      </c>
      <c r="BG144" s="218"/>
      <c r="BH144" s="219" t="s">
        <v>57</v>
      </c>
      <c r="BI144" s="215" t="s">
        <v>57</v>
      </c>
      <c r="BJ144" s="185"/>
      <c r="BK144" s="184" t="s">
        <v>57</v>
      </c>
      <c r="BL144" s="217" t="s">
        <v>57</v>
      </c>
      <c r="BM144" s="218"/>
      <c r="BN144" s="219" t="s">
        <v>57</v>
      </c>
    </row>
    <row r="145" customFormat="false" ht="15" hidden="false" customHeight="true" outlineLevel="0" collapsed="false">
      <c r="B145" s="204"/>
      <c r="C145" s="133"/>
      <c r="D145" s="134"/>
      <c r="E145" s="140" t="s">
        <v>105</v>
      </c>
      <c r="F145" s="136"/>
      <c r="G145" s="75" t="n">
        <v>95</v>
      </c>
      <c r="H145" s="76" t="n">
        <f aca="false">AVERAGEA(G145,I145)</f>
        <v>95</v>
      </c>
      <c r="I145" s="207" t="n">
        <v>95</v>
      </c>
      <c r="J145" s="51" t="s">
        <v>44</v>
      </c>
      <c r="K145" s="52"/>
      <c r="L145" s="53" t="s">
        <v>44</v>
      </c>
      <c r="M145" s="54" t="s">
        <v>44</v>
      </c>
      <c r="N145" s="55"/>
      <c r="O145" s="56" t="s">
        <v>44</v>
      </c>
      <c r="P145" s="54" t="s">
        <v>44</v>
      </c>
      <c r="Q145" s="55"/>
      <c r="R145" s="55" t="s">
        <v>44</v>
      </c>
      <c r="S145" s="51" t="n">
        <v>98</v>
      </c>
      <c r="T145" s="58" t="n">
        <f aca="false">AVERAGEA(S145,U145)</f>
        <v>98</v>
      </c>
      <c r="U145" s="53" t="n">
        <v>98</v>
      </c>
      <c r="V145" s="155" t="s">
        <v>58</v>
      </c>
      <c r="W145" s="109"/>
      <c r="X145" s="89" t="s">
        <v>58</v>
      </c>
      <c r="Y145" s="86" t="s">
        <v>57</v>
      </c>
      <c r="Z145" s="58"/>
      <c r="AA145" s="86" t="s">
        <v>57</v>
      </c>
      <c r="AB145" s="107" t="s">
        <v>58</v>
      </c>
      <c r="AC145" s="102"/>
      <c r="AD145" s="89" t="s">
        <v>58</v>
      </c>
      <c r="AE145" s="57" t="s">
        <v>57</v>
      </c>
      <c r="AF145" s="58"/>
      <c r="AG145" s="59" t="s">
        <v>57</v>
      </c>
      <c r="AH145" s="78" t="s">
        <v>57</v>
      </c>
      <c r="AI145" s="216"/>
      <c r="AJ145" s="59" t="s">
        <v>57</v>
      </c>
      <c r="AK145" s="75" t="n">
        <v>1800</v>
      </c>
      <c r="AL145" s="76" t="n">
        <f aca="false">AVERAGEA(AM145, AK145)</f>
        <v>3391</v>
      </c>
      <c r="AM145" s="77" t="n">
        <v>4982</v>
      </c>
      <c r="AN145" s="57" t="n">
        <v>41</v>
      </c>
      <c r="AO145" s="58" t="n">
        <f aca="false">AVERAGEA(AP145, AN145)</f>
        <v>41</v>
      </c>
      <c r="AP145" s="59" t="n">
        <v>41</v>
      </c>
      <c r="AQ145" s="75" t="n">
        <v>0</v>
      </c>
      <c r="AR145" s="76" t="n">
        <v>0</v>
      </c>
      <c r="AS145" s="77" t="n">
        <v>0</v>
      </c>
      <c r="AT145" s="104" t="s">
        <v>57</v>
      </c>
      <c r="AU145" s="105"/>
      <c r="AV145" s="106" t="s">
        <v>57</v>
      </c>
      <c r="AW145" s="107" t="s">
        <v>58</v>
      </c>
      <c r="AX145" s="108"/>
      <c r="AY145" s="89" t="s">
        <v>58</v>
      </c>
      <c r="AZ145" s="104" t="s">
        <v>57</v>
      </c>
      <c r="BA145" s="105"/>
      <c r="BB145" s="106" t="s">
        <v>57</v>
      </c>
      <c r="BC145" s="109" t="s">
        <v>58</v>
      </c>
      <c r="BD145" s="55"/>
      <c r="BE145" s="89" t="s">
        <v>58</v>
      </c>
      <c r="BF145" s="104" t="s">
        <v>57</v>
      </c>
      <c r="BG145" s="105"/>
      <c r="BH145" s="106" t="s">
        <v>57</v>
      </c>
      <c r="BI145" s="107" t="s">
        <v>57</v>
      </c>
      <c r="BJ145" s="108"/>
      <c r="BK145" s="89" t="s">
        <v>57</v>
      </c>
      <c r="BL145" s="104" t="s">
        <v>57</v>
      </c>
      <c r="BM145" s="105"/>
      <c r="BN145" s="106" t="s">
        <v>57</v>
      </c>
    </row>
    <row r="146" customFormat="false" ht="15" hidden="false" customHeight="true" outlineLevel="0" collapsed="false">
      <c r="B146" s="204"/>
      <c r="C146" s="133"/>
      <c r="D146" s="134"/>
      <c r="E146" s="140" t="s">
        <v>106</v>
      </c>
      <c r="F146" s="136"/>
      <c r="G146" s="75" t="n">
        <v>90</v>
      </c>
      <c r="H146" s="76" t="n">
        <f aca="false">AVERAGEA(G146,I146)</f>
        <v>90</v>
      </c>
      <c r="I146" s="207" t="n">
        <v>90</v>
      </c>
      <c r="J146" s="51" t="s">
        <v>44</v>
      </c>
      <c r="K146" s="52"/>
      <c r="L146" s="53" t="s">
        <v>44</v>
      </c>
      <c r="M146" s="54" t="s">
        <v>44</v>
      </c>
      <c r="N146" s="55"/>
      <c r="O146" s="56" t="s">
        <v>44</v>
      </c>
      <c r="P146" s="54" t="s">
        <v>44</v>
      </c>
      <c r="Q146" s="55"/>
      <c r="R146" s="55" t="s">
        <v>44</v>
      </c>
      <c r="S146" s="51" t="n">
        <v>98</v>
      </c>
      <c r="T146" s="58" t="n">
        <f aca="false">AVERAGEA(S146,U146)</f>
        <v>98</v>
      </c>
      <c r="U146" s="53" t="n">
        <v>98</v>
      </c>
      <c r="V146" s="155" t="s">
        <v>58</v>
      </c>
      <c r="W146" s="109"/>
      <c r="X146" s="89" t="s">
        <v>58</v>
      </c>
      <c r="Y146" s="86" t="s">
        <v>57</v>
      </c>
      <c r="Z146" s="58"/>
      <c r="AA146" s="86" t="s">
        <v>57</v>
      </c>
      <c r="AB146" s="107" t="s">
        <v>58</v>
      </c>
      <c r="AC146" s="102"/>
      <c r="AD146" s="89" t="s">
        <v>58</v>
      </c>
      <c r="AE146" s="57" t="s">
        <v>57</v>
      </c>
      <c r="AF146" s="58"/>
      <c r="AG146" s="59" t="s">
        <v>57</v>
      </c>
      <c r="AH146" s="78" t="s">
        <v>57</v>
      </c>
      <c r="AI146" s="216"/>
      <c r="AJ146" s="59" t="s">
        <v>57</v>
      </c>
      <c r="AK146" s="75" t="n">
        <v>1800</v>
      </c>
      <c r="AL146" s="76" t="n">
        <f aca="false">AVERAGEA(AM146, AK146)</f>
        <v>3391</v>
      </c>
      <c r="AM146" s="77" t="n">
        <v>4982</v>
      </c>
      <c r="AN146" s="57" t="n">
        <v>36</v>
      </c>
      <c r="AO146" s="58" t="n">
        <f aca="false">AVERAGEA(AP146, AN146)</f>
        <v>48</v>
      </c>
      <c r="AP146" s="59" t="n">
        <v>60</v>
      </c>
      <c r="AQ146" s="75" t="n">
        <v>0</v>
      </c>
      <c r="AR146" s="76" t="n">
        <v>0</v>
      </c>
      <c r="AS146" s="77" t="n">
        <v>0</v>
      </c>
      <c r="AT146" s="104" t="s">
        <v>57</v>
      </c>
      <c r="AU146" s="105"/>
      <c r="AV146" s="106" t="s">
        <v>57</v>
      </c>
      <c r="AW146" s="107" t="s">
        <v>58</v>
      </c>
      <c r="AX146" s="108"/>
      <c r="AY146" s="89" t="s">
        <v>58</v>
      </c>
      <c r="AZ146" s="104" t="s">
        <v>57</v>
      </c>
      <c r="BA146" s="105"/>
      <c r="BB146" s="106" t="s">
        <v>57</v>
      </c>
      <c r="BC146" s="109" t="s">
        <v>58</v>
      </c>
      <c r="BD146" s="55"/>
      <c r="BE146" s="89" t="s">
        <v>58</v>
      </c>
      <c r="BF146" s="104" t="s">
        <v>57</v>
      </c>
      <c r="BG146" s="105"/>
      <c r="BH146" s="106" t="s">
        <v>57</v>
      </c>
      <c r="BI146" s="107" t="s">
        <v>57</v>
      </c>
      <c r="BJ146" s="108"/>
      <c r="BK146" s="89" t="s">
        <v>57</v>
      </c>
      <c r="BL146" s="104" t="s">
        <v>57</v>
      </c>
      <c r="BM146" s="105"/>
      <c r="BN146" s="106" t="s">
        <v>57</v>
      </c>
    </row>
    <row r="147" customFormat="false" ht="15" hidden="false" customHeight="true" outlineLevel="0" collapsed="false">
      <c r="B147" s="204"/>
      <c r="C147" s="133"/>
      <c r="D147" s="134"/>
      <c r="E147" s="140" t="s">
        <v>107</v>
      </c>
      <c r="F147" s="136"/>
      <c r="G147" s="75" t="n">
        <v>90</v>
      </c>
      <c r="H147" s="76" t="n">
        <f aca="false">AVERAGEA(G147,I147)</f>
        <v>90</v>
      </c>
      <c r="I147" s="207" t="n">
        <v>90</v>
      </c>
      <c r="J147" s="51" t="s">
        <v>44</v>
      </c>
      <c r="K147" s="52"/>
      <c r="L147" s="53" t="s">
        <v>44</v>
      </c>
      <c r="M147" s="54" t="s">
        <v>44</v>
      </c>
      <c r="N147" s="55"/>
      <c r="O147" s="56" t="s">
        <v>44</v>
      </c>
      <c r="P147" s="54" t="s">
        <v>44</v>
      </c>
      <c r="Q147" s="55"/>
      <c r="R147" s="55" t="s">
        <v>44</v>
      </c>
      <c r="S147" s="51" t="n">
        <v>98</v>
      </c>
      <c r="T147" s="58" t="n">
        <f aca="false">AVERAGEA(S147,U147)</f>
        <v>98</v>
      </c>
      <c r="U147" s="53" t="n">
        <v>98</v>
      </c>
      <c r="V147" s="155" t="s">
        <v>58</v>
      </c>
      <c r="W147" s="109"/>
      <c r="X147" s="89" t="s">
        <v>58</v>
      </c>
      <c r="Y147" s="86" t="s">
        <v>57</v>
      </c>
      <c r="Z147" s="58"/>
      <c r="AA147" s="86" t="s">
        <v>57</v>
      </c>
      <c r="AB147" s="107" t="s">
        <v>58</v>
      </c>
      <c r="AC147" s="102"/>
      <c r="AD147" s="89" t="s">
        <v>58</v>
      </c>
      <c r="AE147" s="57" t="s">
        <v>57</v>
      </c>
      <c r="AF147" s="58"/>
      <c r="AG147" s="59" t="s">
        <v>57</v>
      </c>
      <c r="AH147" s="78" t="s">
        <v>57</v>
      </c>
      <c r="AI147" s="216"/>
      <c r="AJ147" s="59" t="s">
        <v>57</v>
      </c>
      <c r="AK147" s="75" t="n">
        <v>1800</v>
      </c>
      <c r="AL147" s="76" t="n">
        <f aca="false">AVERAGEA(AM147, AK147)</f>
        <v>3391</v>
      </c>
      <c r="AM147" s="77" t="n">
        <v>4982</v>
      </c>
      <c r="AN147" s="57" t="n">
        <v>41</v>
      </c>
      <c r="AO147" s="58" t="n">
        <f aca="false">AVERAGEA(AP147, AN147)</f>
        <v>133</v>
      </c>
      <c r="AP147" s="59" t="n">
        <v>225</v>
      </c>
      <c r="AQ147" s="75" t="n">
        <v>0</v>
      </c>
      <c r="AR147" s="76" t="n">
        <v>0</v>
      </c>
      <c r="AS147" s="77" t="n">
        <v>0</v>
      </c>
      <c r="AT147" s="104" t="s">
        <v>57</v>
      </c>
      <c r="AU147" s="105"/>
      <c r="AV147" s="106" t="s">
        <v>57</v>
      </c>
      <c r="AW147" s="107" t="s">
        <v>58</v>
      </c>
      <c r="AX147" s="108"/>
      <c r="AY147" s="89" t="s">
        <v>58</v>
      </c>
      <c r="AZ147" s="104" t="s">
        <v>57</v>
      </c>
      <c r="BA147" s="105"/>
      <c r="BB147" s="106" t="s">
        <v>57</v>
      </c>
      <c r="BC147" s="109" t="s">
        <v>58</v>
      </c>
      <c r="BD147" s="55"/>
      <c r="BE147" s="89" t="s">
        <v>58</v>
      </c>
      <c r="BF147" s="104" t="s">
        <v>57</v>
      </c>
      <c r="BG147" s="105"/>
      <c r="BH147" s="106" t="s">
        <v>57</v>
      </c>
      <c r="BI147" s="107" t="s">
        <v>57</v>
      </c>
      <c r="BJ147" s="108"/>
      <c r="BK147" s="89" t="s">
        <v>57</v>
      </c>
      <c r="BL147" s="104" t="s">
        <v>57</v>
      </c>
      <c r="BM147" s="105"/>
      <c r="BN147" s="106" t="s">
        <v>57</v>
      </c>
    </row>
    <row r="148" customFormat="false" ht="15" hidden="false" customHeight="true" outlineLevel="0" collapsed="false">
      <c r="B148" s="204"/>
      <c r="C148" s="133"/>
      <c r="D148" s="147"/>
      <c r="E148" s="140" t="s">
        <v>108</v>
      </c>
      <c r="F148" s="149" t="s">
        <v>109</v>
      </c>
      <c r="G148" s="75" t="n">
        <v>95</v>
      </c>
      <c r="H148" s="76" t="n">
        <f aca="false">AVERAGEA(G148,I148)</f>
        <v>95</v>
      </c>
      <c r="I148" s="207" t="n">
        <v>95</v>
      </c>
      <c r="J148" s="51" t="s">
        <v>44</v>
      </c>
      <c r="K148" s="52"/>
      <c r="L148" s="53" t="s">
        <v>44</v>
      </c>
      <c r="M148" s="54" t="s">
        <v>44</v>
      </c>
      <c r="N148" s="55"/>
      <c r="O148" s="56" t="s">
        <v>44</v>
      </c>
      <c r="P148" s="54" t="s">
        <v>44</v>
      </c>
      <c r="Q148" s="55"/>
      <c r="R148" s="55" t="s">
        <v>44</v>
      </c>
      <c r="S148" s="51" t="n">
        <v>98</v>
      </c>
      <c r="T148" s="58" t="n">
        <f aca="false">AVERAGEA(S148,U148)</f>
        <v>98</v>
      </c>
      <c r="U148" s="53" t="n">
        <v>98</v>
      </c>
      <c r="V148" s="155" t="s">
        <v>58</v>
      </c>
      <c r="W148" s="109"/>
      <c r="X148" s="89" t="s">
        <v>58</v>
      </c>
      <c r="Y148" s="86" t="s">
        <v>57</v>
      </c>
      <c r="Z148" s="58"/>
      <c r="AA148" s="86" t="s">
        <v>57</v>
      </c>
      <c r="AB148" s="107" t="s">
        <v>58</v>
      </c>
      <c r="AC148" s="102"/>
      <c r="AD148" s="89" t="s">
        <v>58</v>
      </c>
      <c r="AE148" s="57" t="s">
        <v>57</v>
      </c>
      <c r="AF148" s="58"/>
      <c r="AG148" s="59" t="s">
        <v>57</v>
      </c>
      <c r="AH148" s="78" t="s">
        <v>57</v>
      </c>
      <c r="AI148" s="216"/>
      <c r="AJ148" s="59" t="s">
        <v>57</v>
      </c>
      <c r="AK148" s="75" t="n">
        <v>1673</v>
      </c>
      <c r="AL148" s="76" t="n">
        <f aca="false">AVERAGEA(AM148, AK148)</f>
        <v>8825</v>
      </c>
      <c r="AM148" s="77" t="n">
        <v>15977</v>
      </c>
      <c r="AN148" s="57" t="n">
        <v>38</v>
      </c>
      <c r="AO148" s="58" t="n">
        <f aca="false">AVERAGEA(AP148, AN148)</f>
        <v>39.5</v>
      </c>
      <c r="AP148" s="59" t="n">
        <v>41</v>
      </c>
      <c r="AQ148" s="75" t="n">
        <v>0</v>
      </c>
      <c r="AR148" s="76" t="n">
        <v>0</v>
      </c>
      <c r="AS148" s="77" t="n">
        <v>0</v>
      </c>
      <c r="AT148" s="104" t="s">
        <v>57</v>
      </c>
      <c r="AU148" s="105"/>
      <c r="AV148" s="106" t="s">
        <v>57</v>
      </c>
      <c r="AW148" s="107" t="s">
        <v>58</v>
      </c>
      <c r="AX148" s="108"/>
      <c r="AY148" s="89" t="s">
        <v>58</v>
      </c>
      <c r="AZ148" s="104" t="s">
        <v>57</v>
      </c>
      <c r="BA148" s="105"/>
      <c r="BB148" s="106" t="s">
        <v>57</v>
      </c>
      <c r="BC148" s="109" t="s">
        <v>58</v>
      </c>
      <c r="BD148" s="55"/>
      <c r="BE148" s="89" t="s">
        <v>58</v>
      </c>
      <c r="BF148" s="104" t="s">
        <v>57</v>
      </c>
      <c r="BG148" s="105"/>
      <c r="BH148" s="106" t="s">
        <v>57</v>
      </c>
      <c r="BI148" s="107" t="s">
        <v>57</v>
      </c>
      <c r="BJ148" s="108"/>
      <c r="BK148" s="89" t="s">
        <v>57</v>
      </c>
      <c r="BL148" s="104" t="s">
        <v>57</v>
      </c>
      <c r="BM148" s="105"/>
      <c r="BN148" s="106" t="s">
        <v>57</v>
      </c>
    </row>
    <row r="149" customFormat="false" ht="15" hidden="false" customHeight="true" outlineLevel="0" collapsed="false">
      <c r="B149" s="204"/>
      <c r="C149" s="133"/>
      <c r="D149" s="147"/>
      <c r="E149" s="140" t="s">
        <v>110</v>
      </c>
      <c r="F149" s="149"/>
      <c r="G149" s="75" t="n">
        <v>95</v>
      </c>
      <c r="H149" s="76" t="n">
        <f aca="false">AVERAGEA(G149,I149)</f>
        <v>95</v>
      </c>
      <c r="I149" s="207" t="n">
        <v>95</v>
      </c>
      <c r="J149" s="51" t="s">
        <v>44</v>
      </c>
      <c r="K149" s="52"/>
      <c r="L149" s="53" t="s">
        <v>44</v>
      </c>
      <c r="M149" s="54" t="s">
        <v>44</v>
      </c>
      <c r="N149" s="55"/>
      <c r="O149" s="56" t="s">
        <v>44</v>
      </c>
      <c r="P149" s="54" t="s">
        <v>44</v>
      </c>
      <c r="Q149" s="55"/>
      <c r="R149" s="55" t="s">
        <v>44</v>
      </c>
      <c r="S149" s="51" t="n">
        <v>98</v>
      </c>
      <c r="T149" s="58" t="n">
        <f aca="false">AVERAGEA(S149,U149)</f>
        <v>98</v>
      </c>
      <c r="U149" s="53" t="n">
        <v>98</v>
      </c>
      <c r="V149" s="155" t="s">
        <v>58</v>
      </c>
      <c r="W149" s="109"/>
      <c r="X149" s="89" t="s">
        <v>58</v>
      </c>
      <c r="Y149" s="86" t="s">
        <v>57</v>
      </c>
      <c r="Z149" s="58"/>
      <c r="AA149" s="86" t="s">
        <v>57</v>
      </c>
      <c r="AB149" s="107" t="s">
        <v>58</v>
      </c>
      <c r="AC149" s="102"/>
      <c r="AD149" s="89" t="s">
        <v>58</v>
      </c>
      <c r="AE149" s="57" t="s">
        <v>57</v>
      </c>
      <c r="AF149" s="58"/>
      <c r="AG149" s="59" t="s">
        <v>57</v>
      </c>
      <c r="AH149" s="78" t="s">
        <v>57</v>
      </c>
      <c r="AI149" s="216"/>
      <c r="AJ149" s="59" t="s">
        <v>57</v>
      </c>
      <c r="AK149" s="75" t="n">
        <v>1673</v>
      </c>
      <c r="AL149" s="76" t="n">
        <f aca="false">AVERAGEA(AM149, AK149)</f>
        <v>8825</v>
      </c>
      <c r="AM149" s="77" t="n">
        <v>15977</v>
      </c>
      <c r="AN149" s="57" t="n">
        <v>41</v>
      </c>
      <c r="AO149" s="58" t="n">
        <f aca="false">AVERAGEA(AP149, AN149)</f>
        <v>41</v>
      </c>
      <c r="AP149" s="59" t="n">
        <v>41</v>
      </c>
      <c r="AQ149" s="75" t="n">
        <v>0</v>
      </c>
      <c r="AR149" s="76" t="n">
        <v>0</v>
      </c>
      <c r="AS149" s="77" t="n">
        <v>0</v>
      </c>
      <c r="AT149" s="104" t="s">
        <v>57</v>
      </c>
      <c r="AU149" s="105"/>
      <c r="AV149" s="106" t="s">
        <v>57</v>
      </c>
      <c r="AW149" s="107" t="s">
        <v>58</v>
      </c>
      <c r="AX149" s="108"/>
      <c r="AY149" s="89" t="s">
        <v>58</v>
      </c>
      <c r="AZ149" s="104" t="s">
        <v>57</v>
      </c>
      <c r="BA149" s="105"/>
      <c r="BB149" s="106" t="s">
        <v>57</v>
      </c>
      <c r="BC149" s="109" t="s">
        <v>58</v>
      </c>
      <c r="BD149" s="55"/>
      <c r="BE149" s="89" t="s">
        <v>58</v>
      </c>
      <c r="BF149" s="104" t="s">
        <v>57</v>
      </c>
      <c r="BG149" s="105"/>
      <c r="BH149" s="106" t="s">
        <v>57</v>
      </c>
      <c r="BI149" s="107" t="s">
        <v>57</v>
      </c>
      <c r="BJ149" s="108"/>
      <c r="BK149" s="89" t="s">
        <v>57</v>
      </c>
      <c r="BL149" s="104" t="s">
        <v>57</v>
      </c>
      <c r="BM149" s="105"/>
      <c r="BN149" s="106" t="s">
        <v>57</v>
      </c>
    </row>
    <row r="150" customFormat="false" ht="15" hidden="false" customHeight="true" outlineLevel="0" collapsed="false">
      <c r="B150" s="204"/>
      <c r="C150" s="133"/>
      <c r="D150" s="147"/>
      <c r="E150" s="140" t="s">
        <v>106</v>
      </c>
      <c r="F150" s="149"/>
      <c r="G150" s="75" t="n">
        <v>90</v>
      </c>
      <c r="H150" s="76" t="n">
        <f aca="false">AVERAGEA(G150,I150)</f>
        <v>90</v>
      </c>
      <c r="I150" s="207" t="n">
        <v>90</v>
      </c>
      <c r="J150" s="51" t="s">
        <v>44</v>
      </c>
      <c r="K150" s="52"/>
      <c r="L150" s="53" t="s">
        <v>44</v>
      </c>
      <c r="M150" s="54" t="s">
        <v>44</v>
      </c>
      <c r="N150" s="55"/>
      <c r="O150" s="56" t="s">
        <v>44</v>
      </c>
      <c r="P150" s="54" t="s">
        <v>44</v>
      </c>
      <c r="Q150" s="55"/>
      <c r="R150" s="55" t="s">
        <v>44</v>
      </c>
      <c r="S150" s="51" t="n">
        <v>98</v>
      </c>
      <c r="T150" s="58" t="n">
        <f aca="false">AVERAGEA(S150,U150)</f>
        <v>98</v>
      </c>
      <c r="U150" s="53" t="n">
        <v>98</v>
      </c>
      <c r="V150" s="155" t="s">
        <v>58</v>
      </c>
      <c r="W150" s="109"/>
      <c r="X150" s="89" t="s">
        <v>58</v>
      </c>
      <c r="Y150" s="86" t="s">
        <v>57</v>
      </c>
      <c r="Z150" s="58"/>
      <c r="AA150" s="86" t="s">
        <v>57</v>
      </c>
      <c r="AB150" s="107" t="s">
        <v>58</v>
      </c>
      <c r="AC150" s="102"/>
      <c r="AD150" s="89" t="s">
        <v>58</v>
      </c>
      <c r="AE150" s="57" t="s">
        <v>57</v>
      </c>
      <c r="AF150" s="58"/>
      <c r="AG150" s="59" t="s">
        <v>57</v>
      </c>
      <c r="AH150" s="78" t="s">
        <v>57</v>
      </c>
      <c r="AI150" s="216"/>
      <c r="AJ150" s="59" t="s">
        <v>57</v>
      </c>
      <c r="AK150" s="75" t="n">
        <v>1800</v>
      </c>
      <c r="AL150" s="76" t="n">
        <f aca="false">AVERAGEA(AM150, AK150)</f>
        <v>6689.5</v>
      </c>
      <c r="AM150" s="77" t="n">
        <v>11579</v>
      </c>
      <c r="AN150" s="57" t="n">
        <v>36</v>
      </c>
      <c r="AO150" s="58" t="n">
        <f aca="false">AVERAGEA(AP150, AN150)</f>
        <v>48</v>
      </c>
      <c r="AP150" s="59" t="n">
        <v>60</v>
      </c>
      <c r="AQ150" s="75" t="n">
        <v>0</v>
      </c>
      <c r="AR150" s="76" t="n">
        <v>0</v>
      </c>
      <c r="AS150" s="77" t="n">
        <v>0</v>
      </c>
      <c r="AT150" s="104" t="s">
        <v>57</v>
      </c>
      <c r="AU150" s="105"/>
      <c r="AV150" s="106" t="s">
        <v>57</v>
      </c>
      <c r="AW150" s="107" t="s">
        <v>58</v>
      </c>
      <c r="AX150" s="108"/>
      <c r="AY150" s="89" t="s">
        <v>58</v>
      </c>
      <c r="AZ150" s="104" t="s">
        <v>57</v>
      </c>
      <c r="BA150" s="105"/>
      <c r="BB150" s="106" t="s">
        <v>57</v>
      </c>
      <c r="BC150" s="109" t="s">
        <v>58</v>
      </c>
      <c r="BD150" s="55"/>
      <c r="BE150" s="89" t="s">
        <v>58</v>
      </c>
      <c r="BF150" s="104" t="s">
        <v>57</v>
      </c>
      <c r="BG150" s="105"/>
      <c r="BH150" s="106" t="s">
        <v>57</v>
      </c>
      <c r="BI150" s="107" t="s">
        <v>57</v>
      </c>
      <c r="BJ150" s="108"/>
      <c r="BK150" s="89" t="s">
        <v>57</v>
      </c>
      <c r="BL150" s="104" t="s">
        <v>57</v>
      </c>
      <c r="BM150" s="105"/>
      <c r="BN150" s="106" t="s">
        <v>57</v>
      </c>
    </row>
    <row r="151" customFormat="false" ht="15" hidden="false" customHeight="true" outlineLevel="0" collapsed="false">
      <c r="B151" s="204"/>
      <c r="C151" s="133"/>
      <c r="D151" s="147"/>
      <c r="E151" s="140" t="s">
        <v>107</v>
      </c>
      <c r="F151" s="149"/>
      <c r="G151" s="75" t="n">
        <v>90</v>
      </c>
      <c r="H151" s="76" t="n">
        <f aca="false">AVERAGEA(G151,I151)</f>
        <v>90</v>
      </c>
      <c r="I151" s="207" t="n">
        <v>90</v>
      </c>
      <c r="J151" s="51" t="s">
        <v>44</v>
      </c>
      <c r="K151" s="52"/>
      <c r="L151" s="53" t="s">
        <v>44</v>
      </c>
      <c r="M151" s="54" t="s">
        <v>44</v>
      </c>
      <c r="N151" s="55"/>
      <c r="O151" s="56" t="s">
        <v>44</v>
      </c>
      <c r="P151" s="54" t="s">
        <v>44</v>
      </c>
      <c r="Q151" s="55"/>
      <c r="R151" s="55" t="s">
        <v>44</v>
      </c>
      <c r="S151" s="51" t="n">
        <v>98</v>
      </c>
      <c r="T151" s="58" t="n">
        <f aca="false">AVERAGEA(S151,U151)</f>
        <v>98</v>
      </c>
      <c r="U151" s="53" t="n">
        <v>98</v>
      </c>
      <c r="V151" s="155" t="s">
        <v>58</v>
      </c>
      <c r="W151" s="109"/>
      <c r="X151" s="89" t="s">
        <v>58</v>
      </c>
      <c r="Y151" s="86" t="s">
        <v>57</v>
      </c>
      <c r="Z151" s="58"/>
      <c r="AA151" s="86" t="s">
        <v>57</v>
      </c>
      <c r="AB151" s="107" t="s">
        <v>58</v>
      </c>
      <c r="AC151" s="102"/>
      <c r="AD151" s="89" t="s">
        <v>58</v>
      </c>
      <c r="AE151" s="57" t="s">
        <v>57</v>
      </c>
      <c r="AF151" s="58"/>
      <c r="AG151" s="59" t="s">
        <v>57</v>
      </c>
      <c r="AH151" s="78" t="s">
        <v>57</v>
      </c>
      <c r="AI151" s="216"/>
      <c r="AJ151" s="59" t="s">
        <v>57</v>
      </c>
      <c r="AK151" s="75" t="n">
        <v>1800</v>
      </c>
      <c r="AL151" s="76" t="n">
        <f aca="false">AVERAGEA(AM151, AK151)</f>
        <v>6689.5</v>
      </c>
      <c r="AM151" s="77" t="n">
        <v>11579</v>
      </c>
      <c r="AN151" s="57" t="n">
        <v>41</v>
      </c>
      <c r="AO151" s="58" t="n">
        <f aca="false">AVERAGEA(AP151, AN151)</f>
        <v>133</v>
      </c>
      <c r="AP151" s="59" t="n">
        <v>225</v>
      </c>
      <c r="AQ151" s="75" t="n">
        <v>0</v>
      </c>
      <c r="AR151" s="76" t="n">
        <v>0</v>
      </c>
      <c r="AS151" s="77" t="n">
        <v>0</v>
      </c>
      <c r="AT151" s="104" t="s">
        <v>57</v>
      </c>
      <c r="AU151" s="105"/>
      <c r="AV151" s="106" t="s">
        <v>57</v>
      </c>
      <c r="AW151" s="107" t="s">
        <v>58</v>
      </c>
      <c r="AX151" s="108"/>
      <c r="AY151" s="89" t="s">
        <v>58</v>
      </c>
      <c r="AZ151" s="104" t="s">
        <v>57</v>
      </c>
      <c r="BA151" s="105"/>
      <c r="BB151" s="106" t="s">
        <v>57</v>
      </c>
      <c r="BC151" s="109" t="s">
        <v>58</v>
      </c>
      <c r="BD151" s="55"/>
      <c r="BE151" s="89" t="s">
        <v>58</v>
      </c>
      <c r="BF151" s="104" t="s">
        <v>57</v>
      </c>
      <c r="BG151" s="105"/>
      <c r="BH151" s="106" t="s">
        <v>57</v>
      </c>
      <c r="BI151" s="107" t="s">
        <v>57</v>
      </c>
      <c r="BJ151" s="108"/>
      <c r="BK151" s="89" t="s">
        <v>57</v>
      </c>
      <c r="BL151" s="104" t="s">
        <v>57</v>
      </c>
      <c r="BM151" s="105"/>
      <c r="BN151" s="106" t="s">
        <v>57</v>
      </c>
    </row>
    <row r="152" customFormat="false" ht="15" hidden="false" customHeight="true" outlineLevel="0" collapsed="false">
      <c r="B152" s="204"/>
      <c r="C152" s="142" t="s">
        <v>111</v>
      </c>
      <c r="D152" s="147"/>
      <c r="E152" s="148" t="s">
        <v>108</v>
      </c>
      <c r="F152" s="209"/>
      <c r="G152" s="80" t="n">
        <v>50</v>
      </c>
      <c r="H152" s="55" t="n">
        <f aca="false">AVERAGEA(G152,I152)</f>
        <v>67.5</v>
      </c>
      <c r="I152" s="152" t="n">
        <v>85</v>
      </c>
      <c r="J152" s="51" t="s">
        <v>44</v>
      </c>
      <c r="K152" s="52"/>
      <c r="L152" s="53" t="s">
        <v>44</v>
      </c>
      <c r="M152" s="54" t="s">
        <v>44</v>
      </c>
      <c r="N152" s="55"/>
      <c r="O152" s="56" t="s">
        <v>44</v>
      </c>
      <c r="P152" s="54" t="s">
        <v>44</v>
      </c>
      <c r="Q152" s="55"/>
      <c r="R152" s="56" t="s">
        <v>44</v>
      </c>
      <c r="S152" s="86" t="s">
        <v>57</v>
      </c>
      <c r="T152" s="58"/>
      <c r="U152" s="53" t="s">
        <v>57</v>
      </c>
      <c r="V152" s="155" t="s">
        <v>58</v>
      </c>
      <c r="W152" s="152"/>
      <c r="X152" s="89" t="s">
        <v>58</v>
      </c>
      <c r="Y152" s="86" t="s">
        <v>57</v>
      </c>
      <c r="Z152" s="52"/>
      <c r="AA152" s="86" t="s">
        <v>57</v>
      </c>
      <c r="AB152" s="107" t="s">
        <v>58</v>
      </c>
      <c r="AC152" s="102"/>
      <c r="AD152" s="89" t="s">
        <v>58</v>
      </c>
      <c r="AE152" s="51" t="s">
        <v>57</v>
      </c>
      <c r="AF152" s="52"/>
      <c r="AG152" s="53" t="s">
        <v>57</v>
      </c>
      <c r="AH152" s="86" t="s">
        <v>57</v>
      </c>
      <c r="AI152" s="153"/>
      <c r="AJ152" s="53" t="s">
        <v>57</v>
      </c>
      <c r="AK152" s="80" t="n">
        <v>850</v>
      </c>
      <c r="AL152" s="55" t="n">
        <f aca="false">AVERAGEA(AM152, AK152)</f>
        <v>2482.9</v>
      </c>
      <c r="AM152" s="56" t="n">
        <v>4115.8</v>
      </c>
      <c r="AN152" s="153" t="n">
        <v>18</v>
      </c>
      <c r="AO152" s="58" t="n">
        <f aca="false">AVERAGEA(AP152, AN152)</f>
        <v>18</v>
      </c>
      <c r="AP152" s="53" t="n">
        <v>18</v>
      </c>
      <c r="AQ152" s="107" t="n">
        <v>0</v>
      </c>
      <c r="AR152" s="152" t="n">
        <v>0</v>
      </c>
      <c r="AS152" s="89" t="n">
        <v>0</v>
      </c>
      <c r="AT152" s="104" t="s">
        <v>57</v>
      </c>
      <c r="AU152" s="105"/>
      <c r="AV152" s="106" t="s">
        <v>57</v>
      </c>
      <c r="AW152" s="107" t="s">
        <v>58</v>
      </c>
      <c r="AX152" s="108"/>
      <c r="AY152" s="89" t="s">
        <v>58</v>
      </c>
      <c r="AZ152" s="104" t="s">
        <v>57</v>
      </c>
      <c r="BA152" s="105"/>
      <c r="BB152" s="106" t="s">
        <v>57</v>
      </c>
      <c r="BC152" s="109" t="s">
        <v>58</v>
      </c>
      <c r="BD152" s="55"/>
      <c r="BE152" s="89" t="s">
        <v>58</v>
      </c>
      <c r="BF152" s="104" t="s">
        <v>57</v>
      </c>
      <c r="BG152" s="105"/>
      <c r="BH152" s="106" t="s">
        <v>57</v>
      </c>
      <c r="BI152" s="107" t="s">
        <v>57</v>
      </c>
      <c r="BJ152" s="108"/>
      <c r="BK152" s="89" t="s">
        <v>57</v>
      </c>
      <c r="BL152" s="104" t="s">
        <v>57</v>
      </c>
      <c r="BM152" s="105"/>
      <c r="BN152" s="106" t="s">
        <v>57</v>
      </c>
    </row>
    <row r="153" customFormat="false" ht="15" hidden="false" customHeight="true" outlineLevel="0" collapsed="false">
      <c r="B153" s="204"/>
      <c r="C153" s="142"/>
      <c r="D153" s="147"/>
      <c r="E153" s="148" t="s">
        <v>110</v>
      </c>
      <c r="F153" s="209"/>
      <c r="G153" s="80" t="n">
        <v>50</v>
      </c>
      <c r="H153" s="55" t="n">
        <f aca="false">AVERAGEA(G153,I153)</f>
        <v>67.5</v>
      </c>
      <c r="I153" s="152" t="n">
        <v>85</v>
      </c>
      <c r="J153" s="51" t="s">
        <v>44</v>
      </c>
      <c r="K153" s="52"/>
      <c r="L153" s="53" t="s">
        <v>44</v>
      </c>
      <c r="M153" s="54" t="s">
        <v>44</v>
      </c>
      <c r="N153" s="55"/>
      <c r="O153" s="56" t="s">
        <v>44</v>
      </c>
      <c r="P153" s="54" t="s">
        <v>44</v>
      </c>
      <c r="Q153" s="55"/>
      <c r="R153" s="56" t="s">
        <v>44</v>
      </c>
      <c r="S153" s="86" t="s">
        <v>57</v>
      </c>
      <c r="T153" s="58"/>
      <c r="U153" s="53" t="s">
        <v>57</v>
      </c>
      <c r="V153" s="155" t="s">
        <v>58</v>
      </c>
      <c r="W153" s="152"/>
      <c r="X153" s="89" t="s">
        <v>58</v>
      </c>
      <c r="Y153" s="86" t="s">
        <v>57</v>
      </c>
      <c r="Z153" s="52"/>
      <c r="AA153" s="86" t="s">
        <v>57</v>
      </c>
      <c r="AB153" s="107" t="s">
        <v>58</v>
      </c>
      <c r="AC153" s="102"/>
      <c r="AD153" s="89" t="s">
        <v>58</v>
      </c>
      <c r="AE153" s="51" t="s">
        <v>57</v>
      </c>
      <c r="AF153" s="52"/>
      <c r="AG153" s="53" t="s">
        <v>57</v>
      </c>
      <c r="AH153" s="86" t="s">
        <v>57</v>
      </c>
      <c r="AI153" s="153"/>
      <c r="AJ153" s="53" t="s">
        <v>57</v>
      </c>
      <c r="AK153" s="80" t="n">
        <v>850</v>
      </c>
      <c r="AL153" s="55" t="n">
        <f aca="false">AVERAGEA(AM153, AK153)</f>
        <v>2482.9</v>
      </c>
      <c r="AM153" s="56" t="n">
        <v>4115.8</v>
      </c>
      <c r="AN153" s="153" t="n">
        <v>18</v>
      </c>
      <c r="AO153" s="58" t="n">
        <f aca="false">AVERAGEA(AP153, AN153)</f>
        <v>18</v>
      </c>
      <c r="AP153" s="53" t="n">
        <v>18</v>
      </c>
      <c r="AQ153" s="107" t="n">
        <v>0</v>
      </c>
      <c r="AR153" s="152" t="n">
        <v>0</v>
      </c>
      <c r="AS153" s="89" t="n">
        <v>0</v>
      </c>
      <c r="AT153" s="104" t="s">
        <v>57</v>
      </c>
      <c r="AU153" s="105"/>
      <c r="AV153" s="106" t="s">
        <v>57</v>
      </c>
      <c r="AW153" s="107" t="s">
        <v>58</v>
      </c>
      <c r="AX153" s="108"/>
      <c r="AY153" s="89" t="s">
        <v>58</v>
      </c>
      <c r="AZ153" s="104" t="s">
        <v>57</v>
      </c>
      <c r="BA153" s="105"/>
      <c r="BB153" s="106" t="s">
        <v>57</v>
      </c>
      <c r="BC153" s="109" t="s">
        <v>58</v>
      </c>
      <c r="BD153" s="55"/>
      <c r="BE153" s="89" t="s">
        <v>58</v>
      </c>
      <c r="BF153" s="104" t="s">
        <v>57</v>
      </c>
      <c r="BG153" s="105"/>
      <c r="BH153" s="106" t="s">
        <v>57</v>
      </c>
      <c r="BI153" s="107" t="s">
        <v>57</v>
      </c>
      <c r="BJ153" s="108"/>
      <c r="BK153" s="89" t="s">
        <v>57</v>
      </c>
      <c r="BL153" s="104" t="s">
        <v>57</v>
      </c>
      <c r="BM153" s="105"/>
      <c r="BN153" s="106" t="s">
        <v>57</v>
      </c>
    </row>
    <row r="154" customFormat="false" ht="15" hidden="false" customHeight="true" outlineLevel="0" collapsed="false">
      <c r="B154" s="204"/>
      <c r="C154" s="142"/>
      <c r="D154" s="147"/>
      <c r="E154" s="148" t="s">
        <v>106</v>
      </c>
      <c r="F154" s="209"/>
      <c r="G154" s="80" t="n">
        <v>50</v>
      </c>
      <c r="H154" s="55" t="n">
        <f aca="false">AVERAGEA(G154,I154)</f>
        <v>67.5</v>
      </c>
      <c r="I154" s="152" t="n">
        <v>85</v>
      </c>
      <c r="J154" s="51" t="s">
        <v>44</v>
      </c>
      <c r="K154" s="52"/>
      <c r="L154" s="53" t="s">
        <v>44</v>
      </c>
      <c r="M154" s="54" t="s">
        <v>44</v>
      </c>
      <c r="N154" s="55"/>
      <c r="O154" s="56" t="s">
        <v>44</v>
      </c>
      <c r="P154" s="54" t="s">
        <v>44</v>
      </c>
      <c r="Q154" s="55"/>
      <c r="R154" s="56" t="s">
        <v>44</v>
      </c>
      <c r="S154" s="86" t="s">
        <v>57</v>
      </c>
      <c r="T154" s="58"/>
      <c r="U154" s="53" t="s">
        <v>57</v>
      </c>
      <c r="V154" s="155" t="s">
        <v>58</v>
      </c>
      <c r="W154" s="102"/>
      <c r="X154" s="89" t="s">
        <v>58</v>
      </c>
      <c r="Y154" s="86" t="s">
        <v>57</v>
      </c>
      <c r="Z154" s="52"/>
      <c r="AA154" s="86" t="s">
        <v>57</v>
      </c>
      <c r="AB154" s="107" t="s">
        <v>58</v>
      </c>
      <c r="AC154" s="102"/>
      <c r="AD154" s="89" t="s">
        <v>58</v>
      </c>
      <c r="AE154" s="51" t="s">
        <v>57</v>
      </c>
      <c r="AF154" s="52"/>
      <c r="AG154" s="53" t="s">
        <v>57</v>
      </c>
      <c r="AH154" s="86" t="s">
        <v>57</v>
      </c>
      <c r="AI154" s="153"/>
      <c r="AJ154" s="53" t="s">
        <v>57</v>
      </c>
      <c r="AK154" s="80" t="n">
        <v>850</v>
      </c>
      <c r="AL154" s="55" t="n">
        <f aca="false">AVERAGEA(AM154, AK154)</f>
        <v>2482.9</v>
      </c>
      <c r="AM154" s="56" t="n">
        <v>4115.8</v>
      </c>
      <c r="AN154" s="153" t="n">
        <v>18</v>
      </c>
      <c r="AO154" s="58" t="n">
        <f aca="false">AVERAGEA(AP154, AN154)</f>
        <v>18</v>
      </c>
      <c r="AP154" s="53" t="n">
        <v>18</v>
      </c>
      <c r="AQ154" s="107" t="n">
        <v>0</v>
      </c>
      <c r="AR154" s="152" t="n">
        <v>0</v>
      </c>
      <c r="AS154" s="89" t="n">
        <v>0</v>
      </c>
      <c r="AT154" s="104" t="s">
        <v>57</v>
      </c>
      <c r="AU154" s="105"/>
      <c r="AV154" s="106" t="s">
        <v>57</v>
      </c>
      <c r="AW154" s="107" t="s">
        <v>58</v>
      </c>
      <c r="AX154" s="108"/>
      <c r="AY154" s="89" t="s">
        <v>58</v>
      </c>
      <c r="AZ154" s="104" t="s">
        <v>57</v>
      </c>
      <c r="BA154" s="105"/>
      <c r="BB154" s="106" t="s">
        <v>57</v>
      </c>
      <c r="BC154" s="109" t="s">
        <v>58</v>
      </c>
      <c r="BD154" s="55"/>
      <c r="BE154" s="89" t="s">
        <v>58</v>
      </c>
      <c r="BF154" s="104" t="s">
        <v>57</v>
      </c>
      <c r="BG154" s="105"/>
      <c r="BH154" s="106" t="s">
        <v>57</v>
      </c>
      <c r="BI154" s="107" t="s">
        <v>57</v>
      </c>
      <c r="BJ154" s="108"/>
      <c r="BK154" s="89" t="s">
        <v>57</v>
      </c>
      <c r="BL154" s="104" t="s">
        <v>57</v>
      </c>
      <c r="BM154" s="105"/>
      <c r="BN154" s="106" t="s">
        <v>57</v>
      </c>
    </row>
    <row r="155" customFormat="false" ht="15" hidden="false" customHeight="true" outlineLevel="0" collapsed="false">
      <c r="B155" s="204"/>
      <c r="C155" s="142"/>
      <c r="D155" s="147"/>
      <c r="E155" s="148" t="s">
        <v>107</v>
      </c>
      <c r="F155" s="209"/>
      <c r="G155" s="80" t="n">
        <v>50</v>
      </c>
      <c r="H155" s="55" t="n">
        <f aca="false">AVERAGEA(G155,I155)</f>
        <v>67.5</v>
      </c>
      <c r="I155" s="152" t="n">
        <v>85</v>
      </c>
      <c r="J155" s="51" t="s">
        <v>44</v>
      </c>
      <c r="K155" s="52"/>
      <c r="L155" s="53" t="s">
        <v>44</v>
      </c>
      <c r="M155" s="54" t="s">
        <v>44</v>
      </c>
      <c r="N155" s="55"/>
      <c r="O155" s="56" t="s">
        <v>44</v>
      </c>
      <c r="P155" s="54" t="s">
        <v>44</v>
      </c>
      <c r="Q155" s="55"/>
      <c r="R155" s="56" t="s">
        <v>44</v>
      </c>
      <c r="S155" s="86" t="s">
        <v>57</v>
      </c>
      <c r="T155" s="58"/>
      <c r="U155" s="53" t="s">
        <v>57</v>
      </c>
      <c r="V155" s="155" t="s">
        <v>58</v>
      </c>
      <c r="W155" s="102"/>
      <c r="X155" s="89" t="s">
        <v>58</v>
      </c>
      <c r="Y155" s="86" t="s">
        <v>57</v>
      </c>
      <c r="Z155" s="52"/>
      <c r="AA155" s="86" t="s">
        <v>57</v>
      </c>
      <c r="AB155" s="107" t="s">
        <v>58</v>
      </c>
      <c r="AC155" s="102"/>
      <c r="AD155" s="89" t="s">
        <v>58</v>
      </c>
      <c r="AE155" s="51" t="s">
        <v>57</v>
      </c>
      <c r="AF155" s="52"/>
      <c r="AG155" s="53" t="s">
        <v>57</v>
      </c>
      <c r="AH155" s="86" t="s">
        <v>57</v>
      </c>
      <c r="AI155" s="153"/>
      <c r="AJ155" s="53" t="s">
        <v>57</v>
      </c>
      <c r="AK155" s="80" t="n">
        <v>850</v>
      </c>
      <c r="AL155" s="55" t="n">
        <f aca="false">AVERAGEA(AM155, AK155)</f>
        <v>2482.9</v>
      </c>
      <c r="AM155" s="56" t="n">
        <v>4115.8</v>
      </c>
      <c r="AN155" s="153" t="n">
        <v>18</v>
      </c>
      <c r="AO155" s="58" t="n">
        <f aca="false">AVERAGEA(AP155, AN155)</f>
        <v>18</v>
      </c>
      <c r="AP155" s="53" t="n">
        <v>18</v>
      </c>
      <c r="AQ155" s="107" t="n">
        <v>0</v>
      </c>
      <c r="AR155" s="152" t="n">
        <v>0</v>
      </c>
      <c r="AS155" s="89" t="n">
        <v>0</v>
      </c>
      <c r="AT155" s="104" t="s">
        <v>57</v>
      </c>
      <c r="AU155" s="105"/>
      <c r="AV155" s="106" t="s">
        <v>57</v>
      </c>
      <c r="AW155" s="107" t="s">
        <v>58</v>
      </c>
      <c r="AX155" s="108"/>
      <c r="AY155" s="89" t="s">
        <v>58</v>
      </c>
      <c r="AZ155" s="104" t="s">
        <v>57</v>
      </c>
      <c r="BA155" s="105"/>
      <c r="BB155" s="106" t="s">
        <v>57</v>
      </c>
      <c r="BC155" s="109" t="s">
        <v>58</v>
      </c>
      <c r="BD155" s="55"/>
      <c r="BE155" s="89" t="s">
        <v>58</v>
      </c>
      <c r="BF155" s="104" t="s">
        <v>57</v>
      </c>
      <c r="BG155" s="105"/>
      <c r="BH155" s="106" t="s">
        <v>57</v>
      </c>
      <c r="BI155" s="107" t="s">
        <v>57</v>
      </c>
      <c r="BJ155" s="108"/>
      <c r="BK155" s="89" t="s">
        <v>57</v>
      </c>
      <c r="BL155" s="104" t="s">
        <v>57</v>
      </c>
      <c r="BM155" s="105"/>
      <c r="BN155" s="106" t="s">
        <v>57</v>
      </c>
    </row>
    <row r="156" customFormat="false" ht="15" hidden="false" customHeight="true" outlineLevel="0" collapsed="false">
      <c r="B156" s="204"/>
      <c r="C156" s="142" t="s">
        <v>112</v>
      </c>
      <c r="D156" s="148"/>
      <c r="E156" s="148"/>
      <c r="F156" s="209"/>
      <c r="G156" s="80" t="n">
        <v>90</v>
      </c>
      <c r="H156" s="55" t="n">
        <f aca="false">AVERAGEA(G156,I156)</f>
        <v>90</v>
      </c>
      <c r="I156" s="152" t="n">
        <v>90</v>
      </c>
      <c r="J156" s="51" t="s">
        <v>44</v>
      </c>
      <c r="K156" s="52"/>
      <c r="L156" s="53" t="s">
        <v>44</v>
      </c>
      <c r="M156" s="54" t="s">
        <v>44</v>
      </c>
      <c r="N156" s="55"/>
      <c r="O156" s="56" t="s">
        <v>44</v>
      </c>
      <c r="P156" s="54" t="s">
        <v>44</v>
      </c>
      <c r="Q156" s="55"/>
      <c r="R156" s="56" t="s">
        <v>44</v>
      </c>
      <c r="S156" s="86" t="s">
        <v>57</v>
      </c>
      <c r="T156" s="58"/>
      <c r="U156" s="53" t="s">
        <v>57</v>
      </c>
      <c r="V156" s="54" t="n">
        <v>25</v>
      </c>
      <c r="W156" s="102" t="n">
        <f aca="false">AVERAGEA(X156, V156)</f>
        <v>25</v>
      </c>
      <c r="X156" s="56" t="n">
        <v>25</v>
      </c>
      <c r="Y156" s="86" t="s">
        <v>57</v>
      </c>
      <c r="Z156" s="52"/>
      <c r="AA156" s="86" t="s">
        <v>57</v>
      </c>
      <c r="AB156" s="107" t="s">
        <v>58</v>
      </c>
      <c r="AC156" s="102"/>
      <c r="AD156" s="89" t="s">
        <v>58</v>
      </c>
      <c r="AE156" s="51" t="s">
        <v>57</v>
      </c>
      <c r="AF156" s="52"/>
      <c r="AG156" s="53" t="s">
        <v>57</v>
      </c>
      <c r="AH156" s="86" t="s">
        <v>57</v>
      </c>
      <c r="AI156" s="153"/>
      <c r="AJ156" s="53" t="s">
        <v>57</v>
      </c>
      <c r="AK156" s="80" t="n">
        <v>2250</v>
      </c>
      <c r="AL156" s="55" t="n">
        <f aca="false">AVERAGEA(AM156, AK156)</f>
        <v>3000</v>
      </c>
      <c r="AM156" s="56" t="n">
        <v>3750</v>
      </c>
      <c r="AN156" s="153" t="s">
        <v>57</v>
      </c>
      <c r="AO156" s="52"/>
      <c r="AP156" s="53" t="s">
        <v>57</v>
      </c>
      <c r="AQ156" s="107" t="s">
        <v>58</v>
      </c>
      <c r="AR156" s="152"/>
      <c r="AS156" s="89" t="s">
        <v>58</v>
      </c>
      <c r="AT156" s="104" t="s">
        <v>57</v>
      </c>
      <c r="AU156" s="105"/>
      <c r="AV156" s="106" t="s">
        <v>57</v>
      </c>
      <c r="AW156" s="107" t="s">
        <v>58</v>
      </c>
      <c r="AX156" s="108"/>
      <c r="AY156" s="89" t="s">
        <v>58</v>
      </c>
      <c r="AZ156" s="104" t="s">
        <v>57</v>
      </c>
      <c r="BA156" s="105"/>
      <c r="BB156" s="106" t="s">
        <v>57</v>
      </c>
      <c r="BC156" s="109" t="s">
        <v>58</v>
      </c>
      <c r="BD156" s="55"/>
      <c r="BE156" s="89" t="s">
        <v>58</v>
      </c>
      <c r="BF156" s="104" t="s">
        <v>57</v>
      </c>
      <c r="BG156" s="105"/>
      <c r="BH156" s="106" t="s">
        <v>57</v>
      </c>
      <c r="BI156" s="107" t="s">
        <v>57</v>
      </c>
      <c r="BJ156" s="108"/>
      <c r="BK156" s="89" t="s">
        <v>57</v>
      </c>
      <c r="BL156" s="104" t="s">
        <v>57</v>
      </c>
      <c r="BM156" s="105"/>
      <c r="BN156" s="106" t="s">
        <v>57</v>
      </c>
    </row>
    <row r="157" customFormat="false" ht="15" hidden="false" customHeight="true" outlineLevel="0" collapsed="false">
      <c r="B157" s="204"/>
      <c r="C157" s="210" t="s">
        <v>113</v>
      </c>
      <c r="D157" s="211"/>
      <c r="E157" s="211"/>
      <c r="F157" s="212"/>
      <c r="G157" s="202" t="s">
        <v>44</v>
      </c>
      <c r="H157" s="123"/>
      <c r="I157" s="118" t="s">
        <v>44</v>
      </c>
      <c r="J157" s="119" t="s">
        <v>44</v>
      </c>
      <c r="K157" s="120"/>
      <c r="L157" s="121" t="s">
        <v>44</v>
      </c>
      <c r="M157" s="122" t="s">
        <v>44</v>
      </c>
      <c r="N157" s="123"/>
      <c r="O157" s="124" t="s">
        <v>44</v>
      </c>
      <c r="P157" s="122" t="s">
        <v>44</v>
      </c>
      <c r="Q157" s="123"/>
      <c r="R157" s="124" t="s">
        <v>44</v>
      </c>
      <c r="S157" s="119" t="n">
        <v>90</v>
      </c>
      <c r="T157" s="120" t="n">
        <f aca="false">AVERAGEA(S157,U157)</f>
        <v>90</v>
      </c>
      <c r="U157" s="121" t="n">
        <v>90</v>
      </c>
      <c r="V157" s="128" t="s">
        <v>58</v>
      </c>
      <c r="W157" s="118"/>
      <c r="X157" s="130" t="s">
        <v>58</v>
      </c>
      <c r="Y157" s="162" t="s">
        <v>57</v>
      </c>
      <c r="Z157" s="120"/>
      <c r="AA157" s="223" t="s">
        <v>57</v>
      </c>
      <c r="AB157" s="128" t="s">
        <v>58</v>
      </c>
      <c r="AC157" s="118"/>
      <c r="AD157" s="130" t="s">
        <v>58</v>
      </c>
      <c r="AE157" s="119" t="s">
        <v>57</v>
      </c>
      <c r="AF157" s="120"/>
      <c r="AG157" s="121" t="s">
        <v>57</v>
      </c>
      <c r="AH157" s="162" t="s">
        <v>57</v>
      </c>
      <c r="AI157" s="163"/>
      <c r="AJ157" s="121" t="s">
        <v>57</v>
      </c>
      <c r="AK157" s="202" t="n">
        <v>2694</v>
      </c>
      <c r="AL157" s="123" t="n">
        <f aca="false">AVERAGEA(AM157, AK157)</f>
        <v>4820.5</v>
      </c>
      <c r="AM157" s="124" t="n">
        <v>6947</v>
      </c>
      <c r="AN157" s="163" t="s">
        <v>57</v>
      </c>
      <c r="AO157" s="120"/>
      <c r="AP157" s="121" t="s">
        <v>57</v>
      </c>
      <c r="AQ157" s="128" t="s">
        <v>58</v>
      </c>
      <c r="AR157" s="118"/>
      <c r="AS157" s="130" t="s">
        <v>58</v>
      </c>
      <c r="AT157" s="125" t="s">
        <v>57</v>
      </c>
      <c r="AU157" s="126"/>
      <c r="AV157" s="127" t="s">
        <v>57</v>
      </c>
      <c r="AW157" s="128" t="s">
        <v>58</v>
      </c>
      <c r="AX157" s="129"/>
      <c r="AY157" s="130" t="s">
        <v>58</v>
      </c>
      <c r="AZ157" s="125" t="s">
        <v>57</v>
      </c>
      <c r="BA157" s="126"/>
      <c r="BB157" s="127" t="s">
        <v>57</v>
      </c>
      <c r="BC157" s="224" t="s">
        <v>58</v>
      </c>
      <c r="BD157" s="123"/>
      <c r="BE157" s="130" t="s">
        <v>58</v>
      </c>
      <c r="BF157" s="125" t="s">
        <v>57</v>
      </c>
      <c r="BG157" s="126"/>
      <c r="BH157" s="127" t="s">
        <v>57</v>
      </c>
      <c r="BI157" s="128" t="s">
        <v>57</v>
      </c>
      <c r="BJ157" s="129"/>
      <c r="BK157" s="130" t="s">
        <v>57</v>
      </c>
      <c r="BL157" s="125" t="s">
        <v>57</v>
      </c>
      <c r="BM157" s="126"/>
      <c r="BN157" s="127" t="s">
        <v>57</v>
      </c>
    </row>
    <row r="158" customFormat="false" ht="15" hidden="false" customHeight="true" outlineLevel="0" collapsed="false">
      <c r="B158" s="171" t="s">
        <v>114</v>
      </c>
      <c r="C158" s="44" t="s">
        <v>115</v>
      </c>
      <c r="D158" s="173"/>
      <c r="E158" s="46" t="s">
        <v>116</v>
      </c>
      <c r="F158" s="213"/>
      <c r="G158" s="60" t="n">
        <v>16</v>
      </c>
      <c r="H158" s="76" t="n">
        <f aca="false">AVERAGEA(G158,I158)</f>
        <v>19</v>
      </c>
      <c r="I158" s="175" t="n">
        <v>22</v>
      </c>
      <c r="J158" s="57" t="s">
        <v>44</v>
      </c>
      <c r="K158" s="58"/>
      <c r="L158" s="59" t="s">
        <v>44</v>
      </c>
      <c r="M158" s="60" t="s">
        <v>44</v>
      </c>
      <c r="N158" s="61"/>
      <c r="O158" s="175" t="s">
        <v>44</v>
      </c>
      <c r="P158" s="60" t="s">
        <v>44</v>
      </c>
      <c r="Q158" s="61"/>
      <c r="R158" s="175" t="s">
        <v>44</v>
      </c>
      <c r="S158" s="225" t="n">
        <v>8</v>
      </c>
      <c r="T158" s="58" t="n">
        <f aca="false">AVERAGEA(S158,U158)</f>
        <v>15</v>
      </c>
      <c r="U158" s="226" t="n">
        <v>22</v>
      </c>
      <c r="V158" s="107" t="n">
        <v>0</v>
      </c>
      <c r="W158" s="175" t="n">
        <f aca="false">AVERAGEA(X158, V158)</f>
        <v>0</v>
      </c>
      <c r="X158" s="89" t="n">
        <v>0</v>
      </c>
      <c r="Y158" s="86" t="n">
        <v>100</v>
      </c>
      <c r="Z158" s="64" t="n">
        <f aca="false">AVERAGEA(AA158, Y158)</f>
        <v>100</v>
      </c>
      <c r="AA158" s="227" t="n">
        <v>100</v>
      </c>
      <c r="AB158" s="107" t="n">
        <v>100</v>
      </c>
      <c r="AC158" s="176" t="n">
        <f aca="false">AVERAGEA(AD158, AB158)</f>
        <v>100</v>
      </c>
      <c r="AD158" s="89" t="n">
        <v>100</v>
      </c>
      <c r="AE158" s="225" t="n">
        <v>0</v>
      </c>
      <c r="AF158" s="64" t="n">
        <f aca="false">AVERAGEA(AG158, AE158)</f>
        <v>0</v>
      </c>
      <c r="AG158" s="226" t="n">
        <v>0</v>
      </c>
      <c r="AH158" s="51" t="n">
        <v>0</v>
      </c>
      <c r="AI158" s="64" t="n">
        <f aca="false">AVERAGEA(AJ158, AH158)</f>
        <v>0</v>
      </c>
      <c r="AJ158" s="53" t="n">
        <v>0</v>
      </c>
      <c r="AK158" s="80" t="n">
        <v>1200</v>
      </c>
      <c r="AL158" s="76" t="n">
        <f aca="false">AVERAGEA(AM158, AK158)</f>
        <v>1600</v>
      </c>
      <c r="AM158" s="228" t="n">
        <v>2000</v>
      </c>
      <c r="AN158" s="153" t="n">
        <v>20</v>
      </c>
      <c r="AO158" s="52" t="n">
        <f aca="false">AVERAGEA(AP158, AN158)</f>
        <v>30</v>
      </c>
      <c r="AP158" s="226" t="n">
        <v>40</v>
      </c>
      <c r="AQ158" s="107" t="n">
        <v>0</v>
      </c>
      <c r="AR158" s="76" t="n">
        <v>0</v>
      </c>
      <c r="AS158" s="89" t="n">
        <v>0</v>
      </c>
      <c r="AT158" s="51" t="n">
        <v>0</v>
      </c>
      <c r="AU158" s="64" t="n">
        <f aca="false">AVERAGEA(AV158, AT158)</f>
        <v>0</v>
      </c>
      <c r="AV158" s="53" t="n">
        <v>0</v>
      </c>
      <c r="AW158" s="107" t="n">
        <v>0</v>
      </c>
      <c r="AX158" s="76" t="n">
        <v>0</v>
      </c>
      <c r="AY158" s="89" t="n">
        <v>0</v>
      </c>
      <c r="AZ158" s="51" t="n">
        <v>0</v>
      </c>
      <c r="BA158" s="64" t="n">
        <f aca="false">AVERAGEA(BB158, AZ158)</f>
        <v>0</v>
      </c>
      <c r="BB158" s="53" t="n">
        <v>0</v>
      </c>
      <c r="BC158" s="107" t="n">
        <v>0</v>
      </c>
      <c r="BD158" s="76" t="n">
        <v>0</v>
      </c>
      <c r="BE158" s="89" t="n">
        <v>0</v>
      </c>
      <c r="BF158" s="51" t="n">
        <v>0</v>
      </c>
      <c r="BG158" s="64" t="n">
        <f aca="false">AVERAGEA(BH158, BF158)</f>
        <v>0</v>
      </c>
      <c r="BH158" s="53" t="n">
        <v>0</v>
      </c>
      <c r="BI158" s="107" t="n">
        <v>0</v>
      </c>
      <c r="BJ158" s="76" t="n">
        <v>0</v>
      </c>
      <c r="BK158" s="89" t="n">
        <v>0</v>
      </c>
      <c r="BL158" s="51" t="n">
        <v>0</v>
      </c>
      <c r="BM158" s="64" t="n">
        <f aca="false">AVERAGEA(BN158, BL158)</f>
        <v>0</v>
      </c>
      <c r="BN158" s="53" t="n">
        <v>0</v>
      </c>
    </row>
    <row r="159" customFormat="false" ht="15" hidden="false" customHeight="true" outlineLevel="0" collapsed="false">
      <c r="B159" s="171"/>
      <c r="C159" s="87" t="s">
        <v>117</v>
      </c>
      <c r="D159" s="199"/>
      <c r="E159" s="46" t="s">
        <v>118</v>
      </c>
      <c r="F159" s="229"/>
      <c r="G159" s="80" t="n">
        <v>17</v>
      </c>
      <c r="H159" s="76" t="n">
        <f aca="false">AVERAGEA(G159,I159)</f>
        <v>20</v>
      </c>
      <c r="I159" s="152" t="n">
        <v>23</v>
      </c>
      <c r="J159" s="51" t="s">
        <v>44</v>
      </c>
      <c r="K159" s="52"/>
      <c r="L159" s="53" t="s">
        <v>44</v>
      </c>
      <c r="M159" s="80" t="s">
        <v>44</v>
      </c>
      <c r="N159" s="55"/>
      <c r="O159" s="152" t="s">
        <v>44</v>
      </c>
      <c r="P159" s="80" t="s">
        <v>44</v>
      </c>
      <c r="Q159" s="55"/>
      <c r="R159" s="152" t="s">
        <v>44</v>
      </c>
      <c r="S159" s="225" t="n">
        <v>10</v>
      </c>
      <c r="T159" s="58" t="n">
        <f aca="false">AVERAGEA(S159,U159)</f>
        <v>18</v>
      </c>
      <c r="U159" s="226" t="n">
        <v>26</v>
      </c>
      <c r="V159" s="107" t="n">
        <v>0</v>
      </c>
      <c r="W159" s="152" t="n">
        <f aca="false">AVERAGEA(X159, V159)</f>
        <v>0</v>
      </c>
      <c r="X159" s="89" t="n">
        <v>0</v>
      </c>
      <c r="Y159" s="86" t="n">
        <v>100</v>
      </c>
      <c r="Z159" s="194" t="n">
        <f aca="false">AVERAGEA(AA159, Y159)</f>
        <v>100</v>
      </c>
      <c r="AA159" s="227" t="n">
        <v>100</v>
      </c>
      <c r="AB159" s="107" t="n">
        <v>100</v>
      </c>
      <c r="AC159" s="102" t="n">
        <f aca="false">AVERAGEA(AD159, AB159)</f>
        <v>100</v>
      </c>
      <c r="AD159" s="89" t="n">
        <v>100</v>
      </c>
      <c r="AE159" s="225" t="n">
        <v>0</v>
      </c>
      <c r="AF159" s="52" t="n">
        <f aca="false">AVERAGEA(AG159, AE159)</f>
        <v>0</v>
      </c>
      <c r="AG159" s="226" t="n">
        <v>0</v>
      </c>
      <c r="AH159" s="51" t="n">
        <v>0</v>
      </c>
      <c r="AI159" s="52" t="n">
        <f aca="false">AVERAGEA(AJ159, AH159)</f>
        <v>0</v>
      </c>
      <c r="AJ159" s="53" t="n">
        <v>0</v>
      </c>
      <c r="AK159" s="80" t="n">
        <v>900</v>
      </c>
      <c r="AL159" s="55" t="n">
        <f aca="false">AVERAGEA(AM159, AK159)</f>
        <v>1150</v>
      </c>
      <c r="AM159" s="228" t="n">
        <v>1400</v>
      </c>
      <c r="AN159" s="153" t="n">
        <v>15</v>
      </c>
      <c r="AO159" s="58" t="n">
        <f aca="false">AVERAGEA(AP159, AN159)</f>
        <v>22.5</v>
      </c>
      <c r="AP159" s="226" t="n">
        <v>30</v>
      </c>
      <c r="AQ159" s="107" t="n">
        <v>0</v>
      </c>
      <c r="AR159" s="76" t="n">
        <v>0</v>
      </c>
      <c r="AS159" s="89" t="n">
        <v>0</v>
      </c>
      <c r="AT159" s="51" t="n">
        <v>0</v>
      </c>
      <c r="AU159" s="52" t="n">
        <f aca="false">AVERAGEA(AV159, AT159)</f>
        <v>0</v>
      </c>
      <c r="AV159" s="53" t="n">
        <v>0</v>
      </c>
      <c r="AW159" s="107" t="n">
        <v>0</v>
      </c>
      <c r="AX159" s="76" t="n">
        <v>0</v>
      </c>
      <c r="AY159" s="89" t="n">
        <v>0</v>
      </c>
      <c r="AZ159" s="51" t="n">
        <v>0</v>
      </c>
      <c r="BA159" s="52" t="n">
        <f aca="false">AVERAGEA(BB159, AZ159)</f>
        <v>0</v>
      </c>
      <c r="BB159" s="53" t="n">
        <v>0</v>
      </c>
      <c r="BC159" s="107" t="n">
        <v>0</v>
      </c>
      <c r="BD159" s="76" t="n">
        <v>0</v>
      </c>
      <c r="BE159" s="89" t="n">
        <v>0</v>
      </c>
      <c r="BF159" s="51" t="n">
        <v>0</v>
      </c>
      <c r="BG159" s="52" t="n">
        <f aca="false">AVERAGEA(BH159, BF159)</f>
        <v>0</v>
      </c>
      <c r="BH159" s="53" t="n">
        <v>0</v>
      </c>
      <c r="BI159" s="107" t="n">
        <v>0</v>
      </c>
      <c r="BJ159" s="76" t="n">
        <v>0</v>
      </c>
      <c r="BK159" s="89" t="n">
        <v>0</v>
      </c>
      <c r="BL159" s="51" t="n">
        <v>0</v>
      </c>
      <c r="BM159" s="52" t="n">
        <f aca="false">AVERAGEA(BN159, BL159)</f>
        <v>0</v>
      </c>
      <c r="BN159" s="53" t="n">
        <v>0</v>
      </c>
    </row>
    <row r="160" customFormat="false" ht="15" hidden="false" customHeight="true" outlineLevel="0" collapsed="false">
      <c r="B160" s="171"/>
      <c r="C160" s="87" t="s">
        <v>119</v>
      </c>
      <c r="D160" s="199"/>
      <c r="E160" s="46" t="s">
        <v>120</v>
      </c>
      <c r="F160" s="229"/>
      <c r="G160" s="80" t="n">
        <v>18</v>
      </c>
      <c r="H160" s="76" t="n">
        <f aca="false">AVERAGEA(G160,I160)</f>
        <v>21</v>
      </c>
      <c r="I160" s="152" t="n">
        <v>24</v>
      </c>
      <c r="J160" s="51" t="s">
        <v>44</v>
      </c>
      <c r="K160" s="52"/>
      <c r="L160" s="53" t="s">
        <v>44</v>
      </c>
      <c r="M160" s="54" t="s">
        <v>44</v>
      </c>
      <c r="N160" s="55"/>
      <c r="O160" s="56" t="s">
        <v>44</v>
      </c>
      <c r="P160" s="54" t="s">
        <v>44</v>
      </c>
      <c r="Q160" s="55"/>
      <c r="R160" s="56" t="s">
        <v>44</v>
      </c>
      <c r="S160" s="225" t="n">
        <v>12</v>
      </c>
      <c r="T160" s="58" t="n">
        <f aca="false">AVERAGEA(S160,U160)</f>
        <v>22</v>
      </c>
      <c r="U160" s="226" t="n">
        <v>32</v>
      </c>
      <c r="V160" s="107" t="n">
        <v>0</v>
      </c>
      <c r="W160" s="152" t="n">
        <f aca="false">AVERAGEA(X160, V160)</f>
        <v>0</v>
      </c>
      <c r="X160" s="89" t="n">
        <v>0</v>
      </c>
      <c r="Y160" s="86" t="n">
        <v>100</v>
      </c>
      <c r="Z160" s="52" t="n">
        <f aca="false">AVERAGEA(AA160, Y160)</f>
        <v>100</v>
      </c>
      <c r="AA160" s="227" t="n">
        <v>100</v>
      </c>
      <c r="AB160" s="107" t="n">
        <v>100</v>
      </c>
      <c r="AC160" s="102" t="n">
        <f aca="false">AVERAGEA(AD160, AB160)</f>
        <v>100</v>
      </c>
      <c r="AD160" s="89" t="n">
        <v>100</v>
      </c>
      <c r="AE160" s="225" t="n">
        <v>0</v>
      </c>
      <c r="AF160" s="52" t="n">
        <f aca="false">AVERAGEA(AG160, AE160)</f>
        <v>0</v>
      </c>
      <c r="AG160" s="226" t="n">
        <v>0</v>
      </c>
      <c r="AH160" s="51" t="n">
        <v>0</v>
      </c>
      <c r="AI160" s="52" t="n">
        <f aca="false">AVERAGEA(AJ160, AH160)</f>
        <v>0</v>
      </c>
      <c r="AJ160" s="53" t="n">
        <v>0</v>
      </c>
      <c r="AK160" s="80" t="n">
        <v>10</v>
      </c>
      <c r="AL160" s="55" t="n">
        <f aca="false">AVERAGEA(AM160, AK160)</f>
        <v>15</v>
      </c>
      <c r="AM160" s="228" t="n">
        <v>20</v>
      </c>
      <c r="AN160" s="153" t="n">
        <v>10</v>
      </c>
      <c r="AO160" s="58" t="n">
        <f aca="false">AVERAGEA(AP160, AN160)</f>
        <v>15</v>
      </c>
      <c r="AP160" s="226" t="n">
        <v>20</v>
      </c>
      <c r="AQ160" s="107" t="n">
        <v>0</v>
      </c>
      <c r="AR160" s="76" t="n">
        <v>0</v>
      </c>
      <c r="AS160" s="89" t="n">
        <v>0</v>
      </c>
      <c r="AT160" s="51" t="n">
        <v>0</v>
      </c>
      <c r="AU160" s="52" t="n">
        <f aca="false">AVERAGEA(AV160, AT160)</f>
        <v>0</v>
      </c>
      <c r="AV160" s="53" t="n">
        <v>0</v>
      </c>
      <c r="AW160" s="107" t="n">
        <v>0</v>
      </c>
      <c r="AX160" s="76" t="n">
        <v>0</v>
      </c>
      <c r="AY160" s="89" t="n">
        <v>0</v>
      </c>
      <c r="AZ160" s="51" t="n">
        <v>0</v>
      </c>
      <c r="BA160" s="52" t="n">
        <f aca="false">AVERAGEA(BB160, AZ160)</f>
        <v>0</v>
      </c>
      <c r="BB160" s="53" t="n">
        <v>0</v>
      </c>
      <c r="BC160" s="107" t="n">
        <v>0</v>
      </c>
      <c r="BD160" s="76" t="n">
        <v>0</v>
      </c>
      <c r="BE160" s="89" t="n">
        <v>0</v>
      </c>
      <c r="BF160" s="51" t="n">
        <v>0</v>
      </c>
      <c r="BG160" s="52" t="n">
        <f aca="false">AVERAGEA(BH160, BF160)</f>
        <v>0</v>
      </c>
      <c r="BH160" s="53" t="n">
        <v>0</v>
      </c>
      <c r="BI160" s="107" t="n">
        <v>0</v>
      </c>
      <c r="BJ160" s="76" t="n">
        <v>0</v>
      </c>
      <c r="BK160" s="89" t="n">
        <v>0</v>
      </c>
      <c r="BL160" s="51" t="n">
        <v>0</v>
      </c>
      <c r="BM160" s="52" t="n">
        <f aca="false">AVERAGEA(BN160, BL160)</f>
        <v>0</v>
      </c>
      <c r="BN160" s="53" t="n">
        <v>0</v>
      </c>
    </row>
    <row r="161" customFormat="false" ht="15" hidden="false" customHeight="true" outlineLevel="0" collapsed="false">
      <c r="A161" s="0" t="n">
        <v>19</v>
      </c>
      <c r="B161" s="171"/>
      <c r="C161" s="198" t="s">
        <v>121</v>
      </c>
      <c r="D161" s="200"/>
      <c r="E161" s="200" t="s">
        <v>122</v>
      </c>
      <c r="F161" s="221"/>
      <c r="G161" s="202" t="n">
        <v>19</v>
      </c>
      <c r="H161" s="123" t="n">
        <f aca="false">AVERAGEA(G161,I161)</f>
        <v>22</v>
      </c>
      <c r="I161" s="118" t="n">
        <v>25</v>
      </c>
      <c r="J161" s="119" t="s">
        <v>44</v>
      </c>
      <c r="K161" s="120"/>
      <c r="L161" s="121" t="s">
        <v>44</v>
      </c>
      <c r="M161" s="202" t="s">
        <v>44</v>
      </c>
      <c r="N161" s="123"/>
      <c r="O161" s="118" t="s">
        <v>44</v>
      </c>
      <c r="P161" s="202" t="s">
        <v>44</v>
      </c>
      <c r="Q161" s="123"/>
      <c r="R161" s="118" t="s">
        <v>44</v>
      </c>
      <c r="S161" s="119" t="n">
        <v>15</v>
      </c>
      <c r="T161" s="120" t="n">
        <f aca="false">AVERAGEA(S161,U161)</f>
        <v>27.5</v>
      </c>
      <c r="U161" s="121" t="n">
        <v>40</v>
      </c>
      <c r="V161" s="128" t="n">
        <v>0</v>
      </c>
      <c r="W161" s="118" t="n">
        <f aca="false">AVERAGEA(X161, V161)</f>
        <v>0</v>
      </c>
      <c r="X161" s="130" t="n">
        <v>0</v>
      </c>
      <c r="Y161" s="230" t="n">
        <v>100</v>
      </c>
      <c r="Z161" s="120" t="n">
        <f aca="false">AVERAGEA(AA161, Y161)</f>
        <v>100</v>
      </c>
      <c r="AA161" s="231" t="n">
        <v>100</v>
      </c>
      <c r="AB161" s="128" t="n">
        <v>100</v>
      </c>
      <c r="AC161" s="118" t="n">
        <f aca="false">AVERAGEA(AD161, AB161)</f>
        <v>100</v>
      </c>
      <c r="AD161" s="130" t="n">
        <v>100</v>
      </c>
      <c r="AE161" s="119" t="n">
        <v>0</v>
      </c>
      <c r="AF161" s="120" t="n">
        <f aca="false">AVERAGEA(AG161, AE161)</f>
        <v>0</v>
      </c>
      <c r="AG161" s="121" t="n">
        <v>0</v>
      </c>
      <c r="AH161" s="119" t="n">
        <v>0</v>
      </c>
      <c r="AI161" s="120" t="n">
        <f aca="false">AVERAGEA(AJ161, AH161)</f>
        <v>0</v>
      </c>
      <c r="AJ161" s="121" t="n">
        <v>0</v>
      </c>
      <c r="AK161" s="202" t="n">
        <v>500</v>
      </c>
      <c r="AL161" s="123" t="n">
        <f aca="false">AVERAGEA(AM161, AK161)</f>
        <v>700</v>
      </c>
      <c r="AM161" s="124" t="n">
        <v>900</v>
      </c>
      <c r="AN161" s="163" t="n">
        <v>8</v>
      </c>
      <c r="AO161" s="120" t="n">
        <f aca="false">AVERAGEA(AP161, AN161)</f>
        <v>13</v>
      </c>
      <c r="AP161" s="121" t="n">
        <v>18</v>
      </c>
      <c r="AQ161" s="128" t="n">
        <v>0</v>
      </c>
      <c r="AR161" s="123" t="n">
        <f aca="false">AVERAGEA(AS161, AQ161)</f>
        <v>0</v>
      </c>
      <c r="AS161" s="130" t="n">
        <v>0</v>
      </c>
      <c r="AT161" s="119" t="n">
        <v>0</v>
      </c>
      <c r="AU161" s="120" t="n">
        <f aca="false">AVERAGEA(AV161, AT161)</f>
        <v>0</v>
      </c>
      <c r="AV161" s="121" t="n">
        <v>0</v>
      </c>
      <c r="AW161" s="128" t="n">
        <v>0</v>
      </c>
      <c r="AX161" s="123" t="n">
        <f aca="false">AVERAGEA(AY161, AW161)</f>
        <v>0</v>
      </c>
      <c r="AY161" s="130" t="n">
        <v>0</v>
      </c>
      <c r="AZ161" s="119" t="n">
        <v>0</v>
      </c>
      <c r="BA161" s="120" t="n">
        <f aca="false">AVERAGEA(BB161, AZ161)</f>
        <v>0</v>
      </c>
      <c r="BB161" s="121" t="n">
        <v>0</v>
      </c>
      <c r="BC161" s="128" t="n">
        <v>0</v>
      </c>
      <c r="BD161" s="123" t="n">
        <f aca="false">AVERAGEA(BE161, BC161)</f>
        <v>0</v>
      </c>
      <c r="BE161" s="130" t="n">
        <v>0</v>
      </c>
      <c r="BF161" s="119" t="n">
        <v>0</v>
      </c>
      <c r="BG161" s="120" t="n">
        <f aca="false">AVERAGEA(BH161, BF161)</f>
        <v>0</v>
      </c>
      <c r="BH161" s="121" t="n">
        <v>0</v>
      </c>
      <c r="BI161" s="128" t="n">
        <v>0</v>
      </c>
      <c r="BJ161" s="123" t="n">
        <f aca="false">AVERAGEA(BK161, BI161)</f>
        <v>0</v>
      </c>
      <c r="BK161" s="130" t="n">
        <v>0</v>
      </c>
      <c r="BL161" s="119" t="n">
        <v>0</v>
      </c>
      <c r="BM161" s="120" t="n">
        <f aca="false">AVERAGEA(BN161, BL161)</f>
        <v>0</v>
      </c>
      <c r="BN161" s="121" t="n">
        <v>0</v>
      </c>
    </row>
    <row r="162" customFormat="false" ht="13.8" hidden="false" customHeight="false" outlineLevel="0" collapsed="false">
      <c r="B162" s="232" t="s">
        <v>123</v>
      </c>
      <c r="C162" s="232" t="s">
        <v>124</v>
      </c>
      <c r="D162" s="232"/>
      <c r="E162" s="232"/>
      <c r="F162" s="232"/>
    </row>
    <row r="163" customFormat="false" ht="13.8" hidden="false" customHeight="false" outlineLevel="0" collapsed="false">
      <c r="S163" s="233"/>
      <c r="AK163" s="233"/>
      <c r="BC163" s="233"/>
    </row>
    <row r="164" customFormat="false" ht="13.8" hidden="false" customHeight="false" outlineLevel="0" collapsed="false">
      <c r="V164" s="233"/>
      <c r="AK164" s="233"/>
      <c r="AQ164" s="233"/>
      <c r="BC164" s="233"/>
    </row>
    <row r="165" customFormat="false" ht="13.8" hidden="false" customHeight="false" outlineLevel="0" collapsed="false">
      <c r="G165" s="233"/>
      <c r="L165" s="0" t="s">
        <v>125</v>
      </c>
      <c r="V165" s="233"/>
      <c r="AK165" s="233"/>
      <c r="AQ165" s="233"/>
      <c r="BC165" s="233"/>
    </row>
    <row r="166" customFormat="false" ht="13.8" hidden="false" customHeight="false" outlineLevel="0" collapsed="false">
      <c r="V166" s="233"/>
      <c r="AE166" s="233"/>
      <c r="AK166" s="233"/>
      <c r="AQ166" s="233"/>
      <c r="BC166" s="233"/>
    </row>
    <row r="167" customFormat="false" ht="13.8" hidden="false" customHeight="false" outlineLevel="0" collapsed="false">
      <c r="H167" s="233"/>
      <c r="V167" s="233"/>
      <c r="AE167" s="233"/>
      <c r="AK167" s="233"/>
    </row>
    <row r="168" customFormat="false" ht="13.8" hidden="false" customHeight="false" outlineLevel="0" collapsed="false">
      <c r="H168" s="233"/>
      <c r="AK168" s="233"/>
    </row>
    <row r="170" customFormat="false" ht="18" hidden="false" customHeight="true" outlineLevel="0" collapsed="false"/>
  </sheetData>
  <mergeCells count="92">
    <mergeCell ref="B2:E2"/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5:B80"/>
    <mergeCell ref="C5:C16"/>
    <mergeCell ref="D5:D8"/>
    <mergeCell ref="D9:D12"/>
    <mergeCell ref="D13:D16"/>
    <mergeCell ref="C17:C28"/>
    <mergeCell ref="D17:D20"/>
    <mergeCell ref="D21:D24"/>
    <mergeCell ref="D25:D28"/>
    <mergeCell ref="C29:C36"/>
    <mergeCell ref="D29:D32"/>
    <mergeCell ref="D33:D36"/>
    <mergeCell ref="C37:C48"/>
    <mergeCell ref="D37:D40"/>
    <mergeCell ref="D41:D44"/>
    <mergeCell ref="D45:D48"/>
    <mergeCell ref="C49:C60"/>
    <mergeCell ref="D49:D52"/>
    <mergeCell ref="D53:D56"/>
    <mergeCell ref="D57:D60"/>
    <mergeCell ref="C61:C68"/>
    <mergeCell ref="D61:D64"/>
    <mergeCell ref="D65:D68"/>
    <mergeCell ref="C69:C72"/>
    <mergeCell ref="D69:D72"/>
    <mergeCell ref="C73:C76"/>
    <mergeCell ref="D73:D76"/>
    <mergeCell ref="C77:C80"/>
    <mergeCell ref="B81:B133"/>
    <mergeCell ref="C81:C84"/>
    <mergeCell ref="D81:D84"/>
    <mergeCell ref="F81:F84"/>
    <mergeCell ref="C85:C100"/>
    <mergeCell ref="D85:D88"/>
    <mergeCell ref="F85:F88"/>
    <mergeCell ref="D89:D92"/>
    <mergeCell ref="F89:F92"/>
    <mergeCell ref="D93:D96"/>
    <mergeCell ref="F93:F96"/>
    <mergeCell ref="D97:D100"/>
    <mergeCell ref="F97:F100"/>
    <mergeCell ref="C101:C104"/>
    <mergeCell ref="D101:D104"/>
    <mergeCell ref="F101:F104"/>
    <mergeCell ref="C105:C120"/>
    <mergeCell ref="D105:D108"/>
    <mergeCell ref="F105:F108"/>
    <mergeCell ref="D109:D112"/>
    <mergeCell ref="F109:F112"/>
    <mergeCell ref="D113:D116"/>
    <mergeCell ref="F113:F116"/>
    <mergeCell ref="D117:D120"/>
    <mergeCell ref="F117:F120"/>
    <mergeCell ref="C121:C124"/>
    <mergeCell ref="D121:D124"/>
    <mergeCell ref="C125:C128"/>
    <mergeCell ref="D125:D128"/>
    <mergeCell ref="B134:B137"/>
    <mergeCell ref="C134:C135"/>
    <mergeCell ref="C136:C137"/>
    <mergeCell ref="B138:B141"/>
    <mergeCell ref="B142:B143"/>
    <mergeCell ref="B144:B157"/>
    <mergeCell ref="C144:C151"/>
    <mergeCell ref="D144:D147"/>
    <mergeCell ref="F144:F147"/>
    <mergeCell ref="D148:D151"/>
    <mergeCell ref="F148:F151"/>
    <mergeCell ref="C152:C155"/>
    <mergeCell ref="D152:D155"/>
    <mergeCell ref="B158:B1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tabColor rgb="FFED7D31"/>
    <pageSetUpPr fitToPage="false"/>
  </sheetPr>
  <dimension ref="A2:BN1048576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pane xSplit="6" ySplit="4" topLeftCell="G50" activePane="bottomRight" state="frozen"/>
      <selection pane="topLeft" activeCell="A1" activeCellId="0" sqref="A1"/>
      <selection pane="topRight" activeCell="G1" activeCellId="0" sqref="G1"/>
      <selection pane="bottomLeft" activeCell="A50" activeCellId="0" sqref="A50"/>
      <selection pane="bottomRight" activeCell="E35" activeCellId="0" sqref="E35"/>
    </sheetView>
  </sheetViews>
  <sheetFormatPr defaultColWidth="8.54296875" defaultRowHeight="13.8" zeroHeight="false" outlineLevelRow="0" outlineLevelCol="0"/>
  <cols>
    <col collapsed="false" customWidth="true" hidden="false" outlineLevel="0" max="1" min="1" style="0" width="1.43"/>
    <col collapsed="false" customWidth="true" hidden="false" outlineLevel="0" max="2" min="2" style="0" width="15.71"/>
    <col collapsed="false" customWidth="true" hidden="false" outlineLevel="0" max="3" min="3" style="0" width="43.71"/>
    <col collapsed="false" customWidth="true" hidden="false" outlineLevel="0" max="4" min="4" style="0" width="10.14"/>
    <col collapsed="false" customWidth="true" hidden="false" outlineLevel="0" max="5" min="5" style="0" width="26"/>
    <col collapsed="false" customWidth="true" hidden="false" outlineLevel="0" max="6" min="6" style="0" width="14.57"/>
    <col collapsed="false" customWidth="true" hidden="false" outlineLevel="0" max="24" min="7" style="0" width="12"/>
    <col collapsed="false" customWidth="true" hidden="false" outlineLevel="0" max="30" min="25" style="0" width="14"/>
    <col collapsed="false" customWidth="true" hidden="false" outlineLevel="0" max="66" min="31" style="0" width="12"/>
  </cols>
  <sheetData>
    <row r="2" s="1" customFormat="true" ht="43.5" hidden="false" customHeight="true" outlineLevel="0" collapsed="false">
      <c r="B2" s="234" t="s">
        <v>126</v>
      </c>
      <c r="C2" s="234"/>
      <c r="D2" s="234"/>
      <c r="E2" s="234"/>
      <c r="F2" s="3"/>
      <c r="G2" s="235" t="s">
        <v>1</v>
      </c>
      <c r="H2" s="235"/>
      <c r="I2" s="235"/>
      <c r="J2" s="236" t="s">
        <v>2</v>
      </c>
      <c r="K2" s="236"/>
      <c r="L2" s="236"/>
      <c r="M2" s="237" t="s">
        <v>127</v>
      </c>
      <c r="N2" s="237"/>
      <c r="O2" s="237"/>
      <c r="P2" s="237" t="s">
        <v>128</v>
      </c>
      <c r="Q2" s="237"/>
      <c r="R2" s="237"/>
      <c r="S2" s="236" t="s">
        <v>5</v>
      </c>
      <c r="T2" s="236"/>
      <c r="U2" s="236"/>
      <c r="V2" s="235" t="s">
        <v>6</v>
      </c>
      <c r="W2" s="235"/>
      <c r="X2" s="235"/>
      <c r="Y2" s="236" t="s">
        <v>7</v>
      </c>
      <c r="Z2" s="236"/>
      <c r="AA2" s="236"/>
      <c r="AB2" s="235" t="s">
        <v>8</v>
      </c>
      <c r="AC2" s="235"/>
      <c r="AD2" s="235"/>
      <c r="AE2" s="236" t="s">
        <v>9</v>
      </c>
      <c r="AF2" s="236"/>
      <c r="AG2" s="236"/>
      <c r="AH2" s="238" t="s">
        <v>10</v>
      </c>
      <c r="AI2" s="238"/>
      <c r="AJ2" s="238"/>
      <c r="AK2" s="235" t="s">
        <v>11</v>
      </c>
      <c r="AL2" s="235"/>
      <c r="AM2" s="235"/>
      <c r="AN2" s="236" t="s">
        <v>12</v>
      </c>
      <c r="AO2" s="236"/>
      <c r="AP2" s="236"/>
      <c r="AQ2" s="235" t="s">
        <v>13</v>
      </c>
      <c r="AR2" s="235"/>
      <c r="AS2" s="235"/>
      <c r="AT2" s="236" t="s">
        <v>14</v>
      </c>
      <c r="AU2" s="236"/>
      <c r="AV2" s="236"/>
      <c r="AW2" s="235" t="s">
        <v>15</v>
      </c>
      <c r="AX2" s="235"/>
      <c r="AY2" s="235"/>
      <c r="AZ2" s="236" t="s">
        <v>16</v>
      </c>
      <c r="BA2" s="236"/>
      <c r="BB2" s="236"/>
      <c r="BC2" s="235" t="s">
        <v>17</v>
      </c>
      <c r="BD2" s="235"/>
      <c r="BE2" s="235"/>
      <c r="BF2" s="11" t="s">
        <v>18</v>
      </c>
      <c r="BG2" s="11"/>
      <c r="BH2" s="11"/>
      <c r="BI2" s="10" t="s">
        <v>19</v>
      </c>
      <c r="BJ2" s="10"/>
      <c r="BK2" s="10"/>
      <c r="BL2" s="11" t="s">
        <v>20</v>
      </c>
      <c r="BM2" s="11"/>
      <c r="BN2" s="11"/>
    </row>
    <row r="3" s="1" customFormat="true" ht="28.35" hidden="false" customHeight="false" outlineLevel="0" collapsed="false">
      <c r="F3" s="3"/>
      <c r="G3" s="12" t="s">
        <v>21</v>
      </c>
      <c r="H3" s="13" t="s">
        <v>21</v>
      </c>
      <c r="I3" s="19" t="s">
        <v>21</v>
      </c>
      <c r="J3" s="15" t="s">
        <v>21</v>
      </c>
      <c r="K3" s="16" t="s">
        <v>21</v>
      </c>
      <c r="L3" s="17" t="s">
        <v>21</v>
      </c>
      <c r="M3" s="12" t="s">
        <v>21</v>
      </c>
      <c r="N3" s="13" t="s">
        <v>21</v>
      </c>
      <c r="O3" s="19" t="s">
        <v>21</v>
      </c>
      <c r="P3" s="12" t="s">
        <v>21</v>
      </c>
      <c r="Q3" s="13" t="s">
        <v>21</v>
      </c>
      <c r="R3" s="19" t="s">
        <v>21</v>
      </c>
      <c r="S3" s="15" t="s">
        <v>22</v>
      </c>
      <c r="T3" s="16" t="s">
        <v>22</v>
      </c>
      <c r="U3" s="17" t="s">
        <v>22</v>
      </c>
      <c r="V3" s="12" t="s">
        <v>23</v>
      </c>
      <c r="W3" s="13" t="s">
        <v>23</v>
      </c>
      <c r="X3" s="19" t="s">
        <v>23</v>
      </c>
      <c r="Y3" s="15" t="s">
        <v>24</v>
      </c>
      <c r="Z3" s="16" t="s">
        <v>25</v>
      </c>
      <c r="AA3" s="17" t="s">
        <v>25</v>
      </c>
      <c r="AB3" s="12" t="s">
        <v>25</v>
      </c>
      <c r="AC3" s="13" t="s">
        <v>25</v>
      </c>
      <c r="AD3" s="19" t="s">
        <v>25</v>
      </c>
      <c r="AE3" s="15" t="s">
        <v>26</v>
      </c>
      <c r="AF3" s="16" t="s">
        <v>26</v>
      </c>
      <c r="AG3" s="17" t="s">
        <v>26</v>
      </c>
      <c r="AH3" s="12" t="s">
        <v>26</v>
      </c>
      <c r="AI3" s="13" t="s">
        <v>26</v>
      </c>
      <c r="AJ3" s="19" t="s">
        <v>26</v>
      </c>
      <c r="AK3" s="12" t="s">
        <v>27</v>
      </c>
      <c r="AL3" s="13" t="s">
        <v>27</v>
      </c>
      <c r="AM3" s="19" t="s">
        <v>27</v>
      </c>
      <c r="AN3" s="15" t="s">
        <v>28</v>
      </c>
      <c r="AO3" s="15" t="s">
        <v>28</v>
      </c>
      <c r="AP3" s="15" t="s">
        <v>28</v>
      </c>
      <c r="AQ3" s="12" t="s">
        <v>29</v>
      </c>
      <c r="AR3" s="13" t="s">
        <v>29</v>
      </c>
      <c r="AS3" s="19" t="s">
        <v>29</v>
      </c>
      <c r="AT3" s="15" t="s">
        <v>30</v>
      </c>
      <c r="AU3" s="16" t="s">
        <v>30</v>
      </c>
      <c r="AV3" s="17" t="s">
        <v>30</v>
      </c>
      <c r="AW3" s="12" t="s">
        <v>30</v>
      </c>
      <c r="AX3" s="13" t="s">
        <v>30</v>
      </c>
      <c r="AY3" s="19" t="s">
        <v>30</v>
      </c>
      <c r="AZ3" s="15" t="s">
        <v>30</v>
      </c>
      <c r="BA3" s="16" t="s">
        <v>30</v>
      </c>
      <c r="BB3" s="17" t="s">
        <v>30</v>
      </c>
      <c r="BC3" s="12" t="s">
        <v>30</v>
      </c>
      <c r="BD3" s="13" t="s">
        <v>30</v>
      </c>
      <c r="BE3" s="19" t="s">
        <v>30</v>
      </c>
      <c r="BF3" s="20" t="s">
        <v>31</v>
      </c>
      <c r="BG3" s="21" t="s">
        <v>31</v>
      </c>
      <c r="BH3" s="22" t="s">
        <v>31</v>
      </c>
      <c r="BI3" s="23" t="s">
        <v>26</v>
      </c>
      <c r="BJ3" s="24" t="s">
        <v>26</v>
      </c>
      <c r="BK3" s="25" t="s">
        <v>26</v>
      </c>
      <c r="BL3" s="20" t="s">
        <v>26</v>
      </c>
      <c r="BM3" s="21" t="s">
        <v>26</v>
      </c>
      <c r="BN3" s="22" t="s">
        <v>26</v>
      </c>
    </row>
    <row r="4" customFormat="false" ht="37.5" hidden="false" customHeight="true" outlineLevel="0" collapsed="false">
      <c r="B4" s="26" t="s">
        <v>32</v>
      </c>
      <c r="C4" s="27" t="s">
        <v>33</v>
      </c>
      <c r="D4" s="28" t="s">
        <v>34</v>
      </c>
      <c r="E4" s="28" t="s">
        <v>35</v>
      </c>
      <c r="F4" s="28" t="s">
        <v>36</v>
      </c>
      <c r="G4" s="29" t="s">
        <v>37</v>
      </c>
      <c r="H4" s="30" t="s">
        <v>38</v>
      </c>
      <c r="I4" s="36" t="s">
        <v>39</v>
      </c>
      <c r="J4" s="32" t="s">
        <v>37</v>
      </c>
      <c r="K4" s="33" t="s">
        <v>38</v>
      </c>
      <c r="L4" s="39" t="s">
        <v>39</v>
      </c>
      <c r="M4" s="29" t="s">
        <v>37</v>
      </c>
      <c r="N4" s="30" t="s">
        <v>38</v>
      </c>
      <c r="O4" s="36" t="s">
        <v>39</v>
      </c>
      <c r="P4" s="29" t="s">
        <v>37</v>
      </c>
      <c r="Q4" s="30" t="s">
        <v>38</v>
      </c>
      <c r="R4" s="36" t="s">
        <v>39</v>
      </c>
      <c r="S4" s="32" t="s">
        <v>37</v>
      </c>
      <c r="T4" s="33" t="s">
        <v>38</v>
      </c>
      <c r="U4" s="34" t="s">
        <v>39</v>
      </c>
      <c r="V4" s="29" t="s">
        <v>37</v>
      </c>
      <c r="W4" s="30" t="s">
        <v>38</v>
      </c>
      <c r="X4" s="36" t="s">
        <v>39</v>
      </c>
      <c r="Y4" s="32" t="s">
        <v>37</v>
      </c>
      <c r="Z4" s="33" t="s">
        <v>38</v>
      </c>
      <c r="AA4" s="34" t="s">
        <v>39</v>
      </c>
      <c r="AB4" s="29" t="s">
        <v>37</v>
      </c>
      <c r="AC4" s="30" t="s">
        <v>38</v>
      </c>
      <c r="AD4" s="36" t="s">
        <v>39</v>
      </c>
      <c r="AE4" s="32" t="s">
        <v>37</v>
      </c>
      <c r="AF4" s="33" t="s">
        <v>38</v>
      </c>
      <c r="AG4" s="34" t="s">
        <v>39</v>
      </c>
      <c r="AH4" s="29" t="s">
        <v>37</v>
      </c>
      <c r="AI4" s="30" t="s">
        <v>38</v>
      </c>
      <c r="AJ4" s="36" t="s">
        <v>39</v>
      </c>
      <c r="AK4" s="29" t="s">
        <v>37</v>
      </c>
      <c r="AL4" s="30" t="s">
        <v>38</v>
      </c>
      <c r="AM4" s="36" t="s">
        <v>39</v>
      </c>
      <c r="AN4" s="32" t="s">
        <v>37</v>
      </c>
      <c r="AO4" s="33" t="s">
        <v>38</v>
      </c>
      <c r="AP4" s="34" t="s">
        <v>39</v>
      </c>
      <c r="AQ4" s="29" t="s">
        <v>37</v>
      </c>
      <c r="AR4" s="30" t="s">
        <v>38</v>
      </c>
      <c r="AS4" s="36" t="s">
        <v>39</v>
      </c>
      <c r="AT4" s="32" t="s">
        <v>37</v>
      </c>
      <c r="AU4" s="33" t="s">
        <v>38</v>
      </c>
      <c r="AV4" s="34" t="s">
        <v>39</v>
      </c>
      <c r="AW4" s="29" t="s">
        <v>37</v>
      </c>
      <c r="AX4" s="30" t="s">
        <v>38</v>
      </c>
      <c r="AY4" s="36" t="s">
        <v>39</v>
      </c>
      <c r="AZ4" s="32" t="s">
        <v>37</v>
      </c>
      <c r="BA4" s="33" t="s">
        <v>38</v>
      </c>
      <c r="BB4" s="34" t="s">
        <v>39</v>
      </c>
      <c r="BC4" s="29" t="s">
        <v>37</v>
      </c>
      <c r="BD4" s="30" t="s">
        <v>38</v>
      </c>
      <c r="BE4" s="36" t="s">
        <v>39</v>
      </c>
      <c r="BF4" s="32" t="s">
        <v>37</v>
      </c>
      <c r="BG4" s="33" t="s">
        <v>38</v>
      </c>
      <c r="BH4" s="34" t="s">
        <v>39</v>
      </c>
      <c r="BI4" s="29" t="s">
        <v>37</v>
      </c>
      <c r="BJ4" s="30" t="s">
        <v>38</v>
      </c>
      <c r="BK4" s="36" t="s">
        <v>39</v>
      </c>
      <c r="BL4" s="32" t="s">
        <v>37</v>
      </c>
      <c r="BM4" s="33" t="s">
        <v>38</v>
      </c>
      <c r="BN4" s="34" t="s">
        <v>39</v>
      </c>
    </row>
    <row r="5" customFormat="false" ht="17.25" hidden="false" customHeight="true" outlineLevel="0" collapsed="false">
      <c r="B5" s="239" t="s">
        <v>40</v>
      </c>
      <c r="C5" s="44" t="s">
        <v>129</v>
      </c>
      <c r="D5" s="45" t="s">
        <v>42</v>
      </c>
      <c r="E5" s="46" t="s">
        <v>43</v>
      </c>
      <c r="F5" s="47"/>
      <c r="G5" s="60" t="s">
        <v>130</v>
      </c>
      <c r="H5" s="61"/>
      <c r="I5" s="60" t="s">
        <v>130</v>
      </c>
      <c r="J5" s="63" t="s">
        <v>44</v>
      </c>
      <c r="K5" s="208"/>
      <c r="L5" s="216" t="s">
        <v>44</v>
      </c>
      <c r="M5" s="60" t="s">
        <v>44</v>
      </c>
      <c r="N5" s="61"/>
      <c r="O5" s="175" t="s">
        <v>44</v>
      </c>
      <c r="P5" s="60" t="s">
        <v>44</v>
      </c>
      <c r="Q5" s="61"/>
      <c r="R5" s="62" t="s">
        <v>44</v>
      </c>
      <c r="S5" s="240" t="s">
        <v>131</v>
      </c>
      <c r="T5" s="64"/>
      <c r="U5" s="65" t="s">
        <v>132</v>
      </c>
      <c r="V5" s="241" t="s">
        <v>133</v>
      </c>
      <c r="W5" s="61"/>
      <c r="X5" s="62" t="s">
        <v>134</v>
      </c>
      <c r="Y5" s="242" t="s">
        <v>135</v>
      </c>
      <c r="Z5" s="64"/>
      <c r="AA5" s="65" t="s">
        <v>136</v>
      </c>
      <c r="AB5" s="241" t="s">
        <v>135</v>
      </c>
      <c r="AC5" s="61"/>
      <c r="AD5" s="62" t="s">
        <v>136</v>
      </c>
      <c r="AE5" s="242" t="s">
        <v>137</v>
      </c>
      <c r="AF5" s="64"/>
      <c r="AG5" s="65" t="s">
        <v>138</v>
      </c>
      <c r="AH5" s="60" t="s">
        <v>139</v>
      </c>
      <c r="AI5" s="61"/>
      <c r="AJ5" s="62" t="s">
        <v>140</v>
      </c>
      <c r="AK5" s="241" t="s">
        <v>134</v>
      </c>
      <c r="AL5" s="61"/>
      <c r="AM5" s="62" t="s">
        <v>131</v>
      </c>
      <c r="AN5" s="63" t="s">
        <v>141</v>
      </c>
      <c r="AO5" s="64"/>
      <c r="AP5" s="65" t="s">
        <v>142</v>
      </c>
      <c r="AQ5" s="241" t="s">
        <v>143</v>
      </c>
      <c r="AR5" s="61"/>
      <c r="AS5" s="62" t="s">
        <v>144</v>
      </c>
      <c r="AT5" s="63" t="s">
        <v>145</v>
      </c>
      <c r="AU5" s="64"/>
      <c r="AV5" s="65" t="s">
        <v>146</v>
      </c>
      <c r="AW5" s="60" t="s">
        <v>147</v>
      </c>
      <c r="AX5" s="61"/>
      <c r="AY5" s="62" t="s">
        <v>146</v>
      </c>
      <c r="AZ5" s="63" t="s">
        <v>147</v>
      </c>
      <c r="BA5" s="64"/>
      <c r="BB5" s="65" t="s">
        <v>146</v>
      </c>
      <c r="BC5" s="241" t="s">
        <v>148</v>
      </c>
      <c r="BD5" s="61"/>
      <c r="BE5" s="62" t="s">
        <v>149</v>
      </c>
      <c r="BF5" s="242" t="s">
        <v>134</v>
      </c>
      <c r="BG5" s="69"/>
      <c r="BH5" s="65" t="s">
        <v>134</v>
      </c>
      <c r="BI5" s="243" t="s">
        <v>150</v>
      </c>
      <c r="BJ5" s="243"/>
      <c r="BK5" s="244" t="s">
        <v>134</v>
      </c>
      <c r="BL5" s="242" t="s">
        <v>150</v>
      </c>
      <c r="BM5" s="64"/>
      <c r="BN5" s="65" t="s">
        <v>134</v>
      </c>
    </row>
    <row r="6" customFormat="false" ht="17.25" hidden="false" customHeight="true" outlineLevel="0" collapsed="false">
      <c r="B6" s="239"/>
      <c r="C6" s="44"/>
      <c r="D6" s="45"/>
      <c r="E6" s="46" t="s">
        <v>45</v>
      </c>
      <c r="F6" s="71"/>
      <c r="G6" s="75" t="s">
        <v>130</v>
      </c>
      <c r="H6" s="76"/>
      <c r="I6" s="77" t="s">
        <v>130</v>
      </c>
      <c r="J6" s="51" t="s">
        <v>44</v>
      </c>
      <c r="K6" s="216"/>
      <c r="L6" s="153" t="s">
        <v>44</v>
      </c>
      <c r="M6" s="80" t="s">
        <v>44</v>
      </c>
      <c r="N6" s="55"/>
      <c r="O6" s="152" t="s">
        <v>44</v>
      </c>
      <c r="P6" s="80" t="s">
        <v>44</v>
      </c>
      <c r="Q6" s="55"/>
      <c r="R6" s="56" t="s">
        <v>44</v>
      </c>
      <c r="S6" s="245" t="s">
        <v>131</v>
      </c>
      <c r="T6" s="52"/>
      <c r="U6" s="53" t="s">
        <v>132</v>
      </c>
      <c r="V6" s="246" t="s">
        <v>133</v>
      </c>
      <c r="W6" s="55"/>
      <c r="X6" s="56" t="s">
        <v>134</v>
      </c>
      <c r="Y6" s="247" t="s">
        <v>135</v>
      </c>
      <c r="Z6" s="58"/>
      <c r="AA6" s="59" t="s">
        <v>136</v>
      </c>
      <c r="AB6" s="248" t="s">
        <v>135</v>
      </c>
      <c r="AC6" s="76"/>
      <c r="AD6" s="77" t="s">
        <v>136</v>
      </c>
      <c r="AE6" s="247" t="s">
        <v>137</v>
      </c>
      <c r="AF6" s="58"/>
      <c r="AG6" s="59" t="s">
        <v>138</v>
      </c>
      <c r="AH6" s="75" t="s">
        <v>139</v>
      </c>
      <c r="AI6" s="76"/>
      <c r="AJ6" s="77" t="s">
        <v>140</v>
      </c>
      <c r="AK6" s="248" t="s">
        <v>134</v>
      </c>
      <c r="AL6" s="76"/>
      <c r="AM6" s="77" t="s">
        <v>131</v>
      </c>
      <c r="AN6" s="57" t="s">
        <v>141</v>
      </c>
      <c r="AO6" s="58"/>
      <c r="AP6" s="59" t="s">
        <v>142</v>
      </c>
      <c r="AQ6" s="248" t="s">
        <v>143</v>
      </c>
      <c r="AR6" s="76"/>
      <c r="AS6" s="77" t="s">
        <v>144</v>
      </c>
      <c r="AT6" s="51" t="s">
        <v>145</v>
      </c>
      <c r="AU6" s="52"/>
      <c r="AV6" s="53" t="s">
        <v>146</v>
      </c>
      <c r="AW6" s="80" t="s">
        <v>147</v>
      </c>
      <c r="AX6" s="55"/>
      <c r="AY6" s="56" t="s">
        <v>146</v>
      </c>
      <c r="AZ6" s="51" t="s">
        <v>147</v>
      </c>
      <c r="BA6" s="52"/>
      <c r="BB6" s="53" t="s">
        <v>146</v>
      </c>
      <c r="BC6" s="248" t="s">
        <v>148</v>
      </c>
      <c r="BD6" s="76"/>
      <c r="BE6" s="77" t="s">
        <v>149</v>
      </c>
      <c r="BF6" s="249" t="s">
        <v>134</v>
      </c>
      <c r="BG6" s="52"/>
      <c r="BH6" s="53" t="s">
        <v>134</v>
      </c>
      <c r="BI6" s="250" t="s">
        <v>150</v>
      </c>
      <c r="BJ6" s="76"/>
      <c r="BK6" s="77" t="s">
        <v>134</v>
      </c>
      <c r="BL6" s="249" t="s">
        <v>150</v>
      </c>
      <c r="BM6" s="52"/>
      <c r="BN6" s="53" t="s">
        <v>134</v>
      </c>
    </row>
    <row r="7" customFormat="false" ht="17.25" hidden="false" customHeight="true" outlineLevel="0" collapsed="false">
      <c r="B7" s="239"/>
      <c r="C7" s="44"/>
      <c r="D7" s="45"/>
      <c r="E7" s="46" t="s">
        <v>46</v>
      </c>
      <c r="F7" s="71"/>
      <c r="G7" s="75" t="s">
        <v>130</v>
      </c>
      <c r="H7" s="76"/>
      <c r="I7" s="77" t="s">
        <v>130</v>
      </c>
      <c r="J7" s="51" t="s">
        <v>44</v>
      </c>
      <c r="K7" s="216"/>
      <c r="L7" s="153" t="s">
        <v>44</v>
      </c>
      <c r="M7" s="80" t="s">
        <v>44</v>
      </c>
      <c r="N7" s="55"/>
      <c r="O7" s="152" t="s">
        <v>44</v>
      </c>
      <c r="P7" s="80" t="s">
        <v>44</v>
      </c>
      <c r="Q7" s="55"/>
      <c r="R7" s="56" t="s">
        <v>44</v>
      </c>
      <c r="S7" s="245" t="s">
        <v>131</v>
      </c>
      <c r="T7" s="52"/>
      <c r="U7" s="53" t="s">
        <v>132</v>
      </c>
      <c r="V7" s="246" t="s">
        <v>133</v>
      </c>
      <c r="W7" s="55"/>
      <c r="X7" s="56" t="s">
        <v>134</v>
      </c>
      <c r="Y7" s="247" t="s">
        <v>135</v>
      </c>
      <c r="Z7" s="58"/>
      <c r="AA7" s="59" t="s">
        <v>136</v>
      </c>
      <c r="AB7" s="248" t="s">
        <v>135</v>
      </c>
      <c r="AC7" s="76"/>
      <c r="AD7" s="77" t="s">
        <v>136</v>
      </c>
      <c r="AE7" s="247" t="s">
        <v>137</v>
      </c>
      <c r="AF7" s="58"/>
      <c r="AG7" s="59" t="s">
        <v>138</v>
      </c>
      <c r="AH7" s="75" t="s">
        <v>139</v>
      </c>
      <c r="AI7" s="76"/>
      <c r="AJ7" s="77" t="s">
        <v>140</v>
      </c>
      <c r="AK7" s="248" t="s">
        <v>134</v>
      </c>
      <c r="AL7" s="76"/>
      <c r="AM7" s="77" t="s">
        <v>131</v>
      </c>
      <c r="AN7" s="57" t="s">
        <v>141</v>
      </c>
      <c r="AO7" s="58"/>
      <c r="AP7" s="59" t="s">
        <v>142</v>
      </c>
      <c r="AQ7" s="248" t="s">
        <v>143</v>
      </c>
      <c r="AR7" s="76"/>
      <c r="AS7" s="77" t="s">
        <v>144</v>
      </c>
      <c r="AT7" s="51" t="s">
        <v>145</v>
      </c>
      <c r="AU7" s="52"/>
      <c r="AV7" s="53" t="s">
        <v>146</v>
      </c>
      <c r="AW7" s="80" t="s">
        <v>147</v>
      </c>
      <c r="AX7" s="55"/>
      <c r="AY7" s="56" t="s">
        <v>146</v>
      </c>
      <c r="AZ7" s="51" t="s">
        <v>147</v>
      </c>
      <c r="BA7" s="52"/>
      <c r="BB7" s="53" t="s">
        <v>146</v>
      </c>
      <c r="BC7" s="248" t="s">
        <v>148</v>
      </c>
      <c r="BD7" s="76"/>
      <c r="BE7" s="77" t="s">
        <v>149</v>
      </c>
      <c r="BF7" s="249" t="s">
        <v>134</v>
      </c>
      <c r="BG7" s="52"/>
      <c r="BH7" s="53" t="s">
        <v>134</v>
      </c>
      <c r="BI7" s="251" t="s">
        <v>150</v>
      </c>
      <c r="BJ7" s="55"/>
      <c r="BK7" s="56" t="s">
        <v>134</v>
      </c>
      <c r="BL7" s="249" t="s">
        <v>150</v>
      </c>
      <c r="BM7" s="52"/>
      <c r="BN7" s="53" t="s">
        <v>134</v>
      </c>
    </row>
    <row r="8" customFormat="false" ht="17.25" hidden="false" customHeight="true" outlineLevel="0" collapsed="false">
      <c r="B8" s="239"/>
      <c r="C8" s="44"/>
      <c r="D8" s="45"/>
      <c r="E8" s="46" t="s">
        <v>47</v>
      </c>
      <c r="F8" s="71"/>
      <c r="G8" s="75" t="s">
        <v>130</v>
      </c>
      <c r="H8" s="76"/>
      <c r="I8" s="77" t="s">
        <v>130</v>
      </c>
      <c r="J8" s="51" t="s">
        <v>44</v>
      </c>
      <c r="K8" s="216"/>
      <c r="L8" s="153" t="s">
        <v>44</v>
      </c>
      <c r="M8" s="80" t="s">
        <v>44</v>
      </c>
      <c r="N8" s="55"/>
      <c r="O8" s="152" t="s">
        <v>44</v>
      </c>
      <c r="P8" s="80" t="s">
        <v>44</v>
      </c>
      <c r="Q8" s="55"/>
      <c r="R8" s="56" t="s">
        <v>44</v>
      </c>
      <c r="S8" s="245" t="s">
        <v>131</v>
      </c>
      <c r="T8" s="52"/>
      <c r="U8" s="53" t="s">
        <v>132</v>
      </c>
      <c r="V8" s="246" t="s">
        <v>133</v>
      </c>
      <c r="W8" s="55"/>
      <c r="X8" s="56" t="s">
        <v>134</v>
      </c>
      <c r="Y8" s="247" t="s">
        <v>135</v>
      </c>
      <c r="Z8" s="58"/>
      <c r="AA8" s="59" t="s">
        <v>136</v>
      </c>
      <c r="AB8" s="248" t="s">
        <v>135</v>
      </c>
      <c r="AC8" s="76"/>
      <c r="AD8" s="77" t="s">
        <v>136</v>
      </c>
      <c r="AE8" s="247" t="s">
        <v>137</v>
      </c>
      <c r="AF8" s="58"/>
      <c r="AG8" s="59" t="s">
        <v>138</v>
      </c>
      <c r="AH8" s="75" t="s">
        <v>139</v>
      </c>
      <c r="AI8" s="76"/>
      <c r="AJ8" s="77" t="s">
        <v>140</v>
      </c>
      <c r="AK8" s="248" t="s">
        <v>134</v>
      </c>
      <c r="AL8" s="76"/>
      <c r="AM8" s="77" t="s">
        <v>131</v>
      </c>
      <c r="AN8" s="57" t="s">
        <v>141</v>
      </c>
      <c r="AO8" s="58"/>
      <c r="AP8" s="59" t="s">
        <v>142</v>
      </c>
      <c r="AQ8" s="248" t="s">
        <v>143</v>
      </c>
      <c r="AR8" s="76"/>
      <c r="AS8" s="77" t="s">
        <v>144</v>
      </c>
      <c r="AT8" s="51" t="s">
        <v>145</v>
      </c>
      <c r="AU8" s="52"/>
      <c r="AV8" s="53" t="s">
        <v>146</v>
      </c>
      <c r="AW8" s="80" t="s">
        <v>147</v>
      </c>
      <c r="AX8" s="55"/>
      <c r="AY8" s="56" t="s">
        <v>146</v>
      </c>
      <c r="AZ8" s="51" t="s">
        <v>147</v>
      </c>
      <c r="BA8" s="52"/>
      <c r="BB8" s="53" t="s">
        <v>146</v>
      </c>
      <c r="BC8" s="248" t="s">
        <v>148</v>
      </c>
      <c r="BD8" s="76"/>
      <c r="BE8" s="77" t="s">
        <v>149</v>
      </c>
      <c r="BF8" s="249" t="s">
        <v>134</v>
      </c>
      <c r="BG8" s="52"/>
      <c r="BH8" s="53" t="s">
        <v>134</v>
      </c>
      <c r="BI8" s="251" t="s">
        <v>150</v>
      </c>
      <c r="BJ8" s="55"/>
      <c r="BK8" s="56" t="s">
        <v>134</v>
      </c>
      <c r="BL8" s="249" t="s">
        <v>150</v>
      </c>
      <c r="BM8" s="52"/>
      <c r="BN8" s="53" t="s">
        <v>134</v>
      </c>
    </row>
    <row r="9" customFormat="false" ht="17.25" hidden="false" customHeight="true" outlineLevel="0" collapsed="false">
      <c r="B9" s="239"/>
      <c r="C9" s="44"/>
      <c r="D9" s="82" t="s">
        <v>48</v>
      </c>
      <c r="E9" s="46" t="s">
        <v>43</v>
      </c>
      <c r="F9" s="83"/>
      <c r="G9" s="80" t="s">
        <v>130</v>
      </c>
      <c r="H9" s="55"/>
      <c r="I9" s="56" t="s">
        <v>130</v>
      </c>
      <c r="J9" s="51" t="s">
        <v>44</v>
      </c>
      <c r="K9" s="153"/>
      <c r="L9" s="153" t="s">
        <v>44</v>
      </c>
      <c r="M9" s="80" t="s">
        <v>44</v>
      </c>
      <c r="N9" s="55"/>
      <c r="O9" s="152" t="s">
        <v>44</v>
      </c>
      <c r="P9" s="80" t="s">
        <v>44</v>
      </c>
      <c r="Q9" s="55"/>
      <c r="R9" s="56" t="s">
        <v>44</v>
      </c>
      <c r="S9" s="245" t="s">
        <v>131</v>
      </c>
      <c r="T9" s="52"/>
      <c r="U9" s="53" t="s">
        <v>132</v>
      </c>
      <c r="V9" s="246" t="s">
        <v>133</v>
      </c>
      <c r="W9" s="55"/>
      <c r="X9" s="56" t="s">
        <v>134</v>
      </c>
      <c r="Y9" s="247" t="s">
        <v>135</v>
      </c>
      <c r="Z9" s="52"/>
      <c r="AA9" s="59" t="s">
        <v>136</v>
      </c>
      <c r="AB9" s="246" t="s">
        <v>135</v>
      </c>
      <c r="AC9" s="55"/>
      <c r="AD9" s="56" t="s">
        <v>136</v>
      </c>
      <c r="AE9" s="249" t="s">
        <v>137</v>
      </c>
      <c r="AF9" s="52"/>
      <c r="AG9" s="53" t="s">
        <v>138</v>
      </c>
      <c r="AH9" s="80" t="s">
        <v>151</v>
      </c>
      <c r="AI9" s="55"/>
      <c r="AJ9" s="56" t="s">
        <v>152</v>
      </c>
      <c r="AK9" s="248" t="s">
        <v>134</v>
      </c>
      <c r="AL9" s="55"/>
      <c r="AM9" s="77" t="s">
        <v>131</v>
      </c>
      <c r="AN9" s="57" t="s">
        <v>141</v>
      </c>
      <c r="AO9" s="58"/>
      <c r="AP9" s="59" t="s">
        <v>142</v>
      </c>
      <c r="AQ9" s="248" t="s">
        <v>143</v>
      </c>
      <c r="AR9" s="76"/>
      <c r="AS9" s="77" t="s">
        <v>144</v>
      </c>
      <c r="AT9" s="51" t="s">
        <v>145</v>
      </c>
      <c r="AU9" s="52"/>
      <c r="AV9" s="53" t="s">
        <v>146</v>
      </c>
      <c r="AW9" s="80" t="s">
        <v>147</v>
      </c>
      <c r="AX9" s="55"/>
      <c r="AY9" s="56" t="s">
        <v>146</v>
      </c>
      <c r="AZ9" s="51" t="s">
        <v>147</v>
      </c>
      <c r="BA9" s="52"/>
      <c r="BB9" s="53" t="s">
        <v>146</v>
      </c>
      <c r="BC9" s="248" t="s">
        <v>148</v>
      </c>
      <c r="BD9" s="55"/>
      <c r="BE9" s="77" t="s">
        <v>149</v>
      </c>
      <c r="BF9" s="249" t="s">
        <v>134</v>
      </c>
      <c r="BG9" s="52"/>
      <c r="BH9" s="53" t="s">
        <v>134</v>
      </c>
      <c r="BI9" s="251" t="s">
        <v>150</v>
      </c>
      <c r="BJ9" s="55"/>
      <c r="BK9" s="56" t="s">
        <v>134</v>
      </c>
      <c r="BL9" s="249" t="s">
        <v>150</v>
      </c>
      <c r="BM9" s="52"/>
      <c r="BN9" s="53" t="s">
        <v>134</v>
      </c>
    </row>
    <row r="10" customFormat="false" ht="17.25" hidden="false" customHeight="true" outlineLevel="0" collapsed="false">
      <c r="B10" s="239"/>
      <c r="C10" s="44"/>
      <c r="D10" s="82"/>
      <c r="E10" s="46" t="s">
        <v>45</v>
      </c>
      <c r="F10" s="83"/>
      <c r="G10" s="80" t="s">
        <v>130</v>
      </c>
      <c r="H10" s="55"/>
      <c r="I10" s="56" t="s">
        <v>130</v>
      </c>
      <c r="J10" s="51" t="s">
        <v>44</v>
      </c>
      <c r="K10" s="153"/>
      <c r="L10" s="153" t="s">
        <v>44</v>
      </c>
      <c r="M10" s="80" t="s">
        <v>44</v>
      </c>
      <c r="N10" s="55"/>
      <c r="O10" s="152" t="s">
        <v>44</v>
      </c>
      <c r="P10" s="80" t="s">
        <v>44</v>
      </c>
      <c r="Q10" s="55"/>
      <c r="R10" s="56" t="s">
        <v>44</v>
      </c>
      <c r="S10" s="245" t="s">
        <v>131</v>
      </c>
      <c r="T10" s="52"/>
      <c r="U10" s="53" t="s">
        <v>132</v>
      </c>
      <c r="V10" s="246" t="s">
        <v>133</v>
      </c>
      <c r="W10" s="55"/>
      <c r="X10" s="56" t="s">
        <v>134</v>
      </c>
      <c r="Y10" s="247" t="s">
        <v>135</v>
      </c>
      <c r="Z10" s="52"/>
      <c r="AA10" s="59" t="s">
        <v>136</v>
      </c>
      <c r="AB10" s="246" t="s">
        <v>135</v>
      </c>
      <c r="AC10" s="55"/>
      <c r="AD10" s="56" t="s">
        <v>136</v>
      </c>
      <c r="AE10" s="249" t="s">
        <v>137</v>
      </c>
      <c r="AF10" s="52"/>
      <c r="AG10" s="53" t="s">
        <v>138</v>
      </c>
      <c r="AH10" s="80" t="s">
        <v>151</v>
      </c>
      <c r="AI10" s="55"/>
      <c r="AJ10" s="56" t="s">
        <v>152</v>
      </c>
      <c r="AK10" s="252" t="s">
        <v>134</v>
      </c>
      <c r="AL10" s="108"/>
      <c r="AM10" s="184" t="s">
        <v>131</v>
      </c>
      <c r="AN10" s="57" t="s">
        <v>141</v>
      </c>
      <c r="AO10" s="58"/>
      <c r="AP10" s="59" t="s">
        <v>142</v>
      </c>
      <c r="AQ10" s="248" t="s">
        <v>143</v>
      </c>
      <c r="AR10" s="76"/>
      <c r="AS10" s="77" t="s">
        <v>144</v>
      </c>
      <c r="AT10" s="51" t="s">
        <v>145</v>
      </c>
      <c r="AU10" s="52"/>
      <c r="AV10" s="53" t="s">
        <v>146</v>
      </c>
      <c r="AW10" s="80" t="s">
        <v>147</v>
      </c>
      <c r="AX10" s="55"/>
      <c r="AY10" s="56" t="s">
        <v>146</v>
      </c>
      <c r="AZ10" s="51" t="s">
        <v>147</v>
      </c>
      <c r="BA10" s="52"/>
      <c r="BB10" s="53" t="s">
        <v>146</v>
      </c>
      <c r="BC10" s="248" t="s">
        <v>148</v>
      </c>
      <c r="BD10" s="55"/>
      <c r="BE10" s="77" t="s">
        <v>149</v>
      </c>
      <c r="BF10" s="249" t="s">
        <v>134</v>
      </c>
      <c r="BG10" s="52"/>
      <c r="BH10" s="53" t="s">
        <v>134</v>
      </c>
      <c r="BI10" s="251" t="s">
        <v>150</v>
      </c>
      <c r="BJ10" s="55"/>
      <c r="BK10" s="56" t="s">
        <v>134</v>
      </c>
      <c r="BL10" s="249" t="s">
        <v>150</v>
      </c>
      <c r="BM10" s="52"/>
      <c r="BN10" s="53" t="s">
        <v>134</v>
      </c>
    </row>
    <row r="11" customFormat="false" ht="17.25" hidden="false" customHeight="true" outlineLevel="0" collapsed="false">
      <c r="B11" s="239"/>
      <c r="C11" s="44"/>
      <c r="D11" s="82"/>
      <c r="E11" s="46" t="s">
        <v>46</v>
      </c>
      <c r="F11" s="83"/>
      <c r="G11" s="80" t="s">
        <v>130</v>
      </c>
      <c r="H11" s="55"/>
      <c r="I11" s="56" t="s">
        <v>130</v>
      </c>
      <c r="J11" s="51" t="s">
        <v>44</v>
      </c>
      <c r="K11" s="153"/>
      <c r="L11" s="153" t="s">
        <v>44</v>
      </c>
      <c r="M11" s="80" t="s">
        <v>44</v>
      </c>
      <c r="N11" s="55"/>
      <c r="O11" s="152" t="s">
        <v>44</v>
      </c>
      <c r="P11" s="80" t="s">
        <v>44</v>
      </c>
      <c r="Q11" s="55"/>
      <c r="R11" s="56" t="s">
        <v>44</v>
      </c>
      <c r="S11" s="245" t="s">
        <v>131</v>
      </c>
      <c r="T11" s="52"/>
      <c r="U11" s="53" t="s">
        <v>132</v>
      </c>
      <c r="V11" s="246" t="s">
        <v>133</v>
      </c>
      <c r="W11" s="55"/>
      <c r="X11" s="56" t="s">
        <v>134</v>
      </c>
      <c r="Y11" s="247" t="s">
        <v>135</v>
      </c>
      <c r="Z11" s="52"/>
      <c r="AA11" s="59" t="s">
        <v>136</v>
      </c>
      <c r="AB11" s="246" t="s">
        <v>135</v>
      </c>
      <c r="AC11" s="55"/>
      <c r="AD11" s="56" t="s">
        <v>136</v>
      </c>
      <c r="AE11" s="249" t="s">
        <v>137</v>
      </c>
      <c r="AF11" s="52"/>
      <c r="AG11" s="53" t="s">
        <v>138</v>
      </c>
      <c r="AH11" s="80" t="s">
        <v>151</v>
      </c>
      <c r="AI11" s="55"/>
      <c r="AJ11" s="56" t="s">
        <v>152</v>
      </c>
      <c r="AK11" s="252" t="s">
        <v>134</v>
      </c>
      <c r="AL11" s="108"/>
      <c r="AM11" s="184" t="s">
        <v>131</v>
      </c>
      <c r="AN11" s="57" t="s">
        <v>141</v>
      </c>
      <c r="AO11" s="58"/>
      <c r="AP11" s="59" t="s">
        <v>142</v>
      </c>
      <c r="AQ11" s="248" t="s">
        <v>143</v>
      </c>
      <c r="AR11" s="76"/>
      <c r="AS11" s="77" t="s">
        <v>144</v>
      </c>
      <c r="AT11" s="51" t="s">
        <v>145</v>
      </c>
      <c r="AU11" s="52"/>
      <c r="AV11" s="53" t="s">
        <v>146</v>
      </c>
      <c r="AW11" s="80" t="s">
        <v>147</v>
      </c>
      <c r="AX11" s="55"/>
      <c r="AY11" s="56" t="s">
        <v>146</v>
      </c>
      <c r="AZ11" s="51" t="s">
        <v>147</v>
      </c>
      <c r="BA11" s="52"/>
      <c r="BB11" s="53" t="s">
        <v>146</v>
      </c>
      <c r="BC11" s="248" t="s">
        <v>148</v>
      </c>
      <c r="BD11" s="55"/>
      <c r="BE11" s="77" t="s">
        <v>149</v>
      </c>
      <c r="BF11" s="249" t="s">
        <v>134</v>
      </c>
      <c r="BG11" s="52"/>
      <c r="BH11" s="53" t="s">
        <v>134</v>
      </c>
      <c r="BI11" s="251" t="s">
        <v>150</v>
      </c>
      <c r="BJ11" s="55"/>
      <c r="BK11" s="56" t="s">
        <v>134</v>
      </c>
      <c r="BL11" s="249" t="s">
        <v>150</v>
      </c>
      <c r="BM11" s="52"/>
      <c r="BN11" s="53" t="s">
        <v>134</v>
      </c>
    </row>
    <row r="12" customFormat="false" ht="17.25" hidden="false" customHeight="true" outlineLevel="0" collapsed="false">
      <c r="B12" s="239"/>
      <c r="C12" s="44"/>
      <c r="D12" s="82"/>
      <c r="E12" s="46" t="s">
        <v>47</v>
      </c>
      <c r="F12" s="83"/>
      <c r="G12" s="80" t="s">
        <v>130</v>
      </c>
      <c r="H12" s="55"/>
      <c r="I12" s="56" t="s">
        <v>130</v>
      </c>
      <c r="J12" s="51" t="s">
        <v>44</v>
      </c>
      <c r="K12" s="153"/>
      <c r="L12" s="153" t="s">
        <v>44</v>
      </c>
      <c r="M12" s="80" t="s">
        <v>44</v>
      </c>
      <c r="N12" s="55"/>
      <c r="O12" s="152" t="s">
        <v>44</v>
      </c>
      <c r="P12" s="80" t="s">
        <v>44</v>
      </c>
      <c r="Q12" s="55"/>
      <c r="R12" s="56" t="s">
        <v>44</v>
      </c>
      <c r="S12" s="245" t="s">
        <v>131</v>
      </c>
      <c r="T12" s="52"/>
      <c r="U12" s="53" t="s">
        <v>132</v>
      </c>
      <c r="V12" s="246" t="s">
        <v>133</v>
      </c>
      <c r="W12" s="55"/>
      <c r="X12" s="56" t="s">
        <v>134</v>
      </c>
      <c r="Y12" s="247" t="s">
        <v>135</v>
      </c>
      <c r="Z12" s="52"/>
      <c r="AA12" s="59" t="s">
        <v>136</v>
      </c>
      <c r="AB12" s="246" t="s">
        <v>135</v>
      </c>
      <c r="AC12" s="55"/>
      <c r="AD12" s="56" t="s">
        <v>136</v>
      </c>
      <c r="AE12" s="249" t="s">
        <v>137</v>
      </c>
      <c r="AF12" s="52"/>
      <c r="AG12" s="53" t="s">
        <v>138</v>
      </c>
      <c r="AH12" s="80" t="s">
        <v>151</v>
      </c>
      <c r="AI12" s="55"/>
      <c r="AJ12" s="56" t="s">
        <v>152</v>
      </c>
      <c r="AK12" s="252" t="s">
        <v>134</v>
      </c>
      <c r="AL12" s="108"/>
      <c r="AM12" s="184" t="s">
        <v>131</v>
      </c>
      <c r="AN12" s="57" t="s">
        <v>141</v>
      </c>
      <c r="AO12" s="58"/>
      <c r="AP12" s="59" t="s">
        <v>142</v>
      </c>
      <c r="AQ12" s="248" t="s">
        <v>143</v>
      </c>
      <c r="AR12" s="76"/>
      <c r="AS12" s="77" t="s">
        <v>144</v>
      </c>
      <c r="AT12" s="51" t="s">
        <v>145</v>
      </c>
      <c r="AU12" s="52"/>
      <c r="AV12" s="53" t="s">
        <v>146</v>
      </c>
      <c r="AW12" s="80" t="s">
        <v>147</v>
      </c>
      <c r="AX12" s="55"/>
      <c r="AY12" s="56" t="s">
        <v>146</v>
      </c>
      <c r="AZ12" s="51" t="s">
        <v>147</v>
      </c>
      <c r="BA12" s="52"/>
      <c r="BB12" s="53" t="s">
        <v>146</v>
      </c>
      <c r="BC12" s="248" t="s">
        <v>148</v>
      </c>
      <c r="BD12" s="55"/>
      <c r="BE12" s="77" t="s">
        <v>149</v>
      </c>
      <c r="BF12" s="249" t="s">
        <v>134</v>
      </c>
      <c r="BG12" s="52"/>
      <c r="BH12" s="53" t="s">
        <v>134</v>
      </c>
      <c r="BI12" s="251" t="s">
        <v>150</v>
      </c>
      <c r="BJ12" s="55"/>
      <c r="BK12" s="56" t="s">
        <v>134</v>
      </c>
      <c r="BL12" s="249" t="s">
        <v>150</v>
      </c>
      <c r="BM12" s="52"/>
      <c r="BN12" s="53" t="s">
        <v>134</v>
      </c>
    </row>
    <row r="13" customFormat="false" ht="17.25" hidden="false" customHeight="true" outlineLevel="0" collapsed="false">
      <c r="B13" s="239"/>
      <c r="C13" s="44"/>
      <c r="D13" s="82" t="s">
        <v>49</v>
      </c>
      <c r="E13" s="46" t="s">
        <v>43</v>
      </c>
      <c r="F13" s="83"/>
      <c r="G13" s="80" t="s">
        <v>130</v>
      </c>
      <c r="H13" s="55"/>
      <c r="I13" s="56" t="s">
        <v>130</v>
      </c>
      <c r="J13" s="51" t="s">
        <v>44</v>
      </c>
      <c r="K13" s="153"/>
      <c r="L13" s="153" t="s">
        <v>44</v>
      </c>
      <c r="M13" s="80" t="s">
        <v>44</v>
      </c>
      <c r="N13" s="55"/>
      <c r="O13" s="152" t="s">
        <v>44</v>
      </c>
      <c r="P13" s="80" t="s">
        <v>44</v>
      </c>
      <c r="Q13" s="55"/>
      <c r="R13" s="56" t="s">
        <v>44</v>
      </c>
      <c r="S13" s="245" t="s">
        <v>131</v>
      </c>
      <c r="T13" s="52"/>
      <c r="U13" s="53" t="s">
        <v>132</v>
      </c>
      <c r="V13" s="246" t="s">
        <v>133</v>
      </c>
      <c r="W13" s="55"/>
      <c r="X13" s="56" t="s">
        <v>134</v>
      </c>
      <c r="Y13" s="247" t="s">
        <v>135</v>
      </c>
      <c r="Z13" s="52"/>
      <c r="AA13" s="59" t="s">
        <v>136</v>
      </c>
      <c r="AB13" s="246" t="s">
        <v>135</v>
      </c>
      <c r="AC13" s="55"/>
      <c r="AD13" s="56" t="s">
        <v>136</v>
      </c>
      <c r="AE13" s="249" t="s">
        <v>137</v>
      </c>
      <c r="AF13" s="52"/>
      <c r="AG13" s="53" t="s">
        <v>138</v>
      </c>
      <c r="AH13" s="80" t="s">
        <v>151</v>
      </c>
      <c r="AI13" s="55"/>
      <c r="AJ13" s="56" t="s">
        <v>152</v>
      </c>
      <c r="AK13" s="252" t="s">
        <v>134</v>
      </c>
      <c r="AL13" s="108"/>
      <c r="AM13" s="184" t="s">
        <v>131</v>
      </c>
      <c r="AN13" s="57" t="s">
        <v>141</v>
      </c>
      <c r="AO13" s="58"/>
      <c r="AP13" s="59" t="s">
        <v>142</v>
      </c>
      <c r="AQ13" s="248" t="s">
        <v>143</v>
      </c>
      <c r="AR13" s="76"/>
      <c r="AS13" s="77" t="s">
        <v>144</v>
      </c>
      <c r="AT13" s="51" t="s">
        <v>145</v>
      </c>
      <c r="AU13" s="52"/>
      <c r="AV13" s="53" t="s">
        <v>146</v>
      </c>
      <c r="AW13" s="80" t="s">
        <v>147</v>
      </c>
      <c r="AX13" s="55"/>
      <c r="AY13" s="56" t="s">
        <v>146</v>
      </c>
      <c r="AZ13" s="51" t="s">
        <v>147</v>
      </c>
      <c r="BA13" s="52"/>
      <c r="BB13" s="53" t="s">
        <v>146</v>
      </c>
      <c r="BC13" s="248" t="s">
        <v>148</v>
      </c>
      <c r="BD13" s="55"/>
      <c r="BE13" s="77" t="s">
        <v>149</v>
      </c>
      <c r="BF13" s="249" t="s">
        <v>134</v>
      </c>
      <c r="BG13" s="52"/>
      <c r="BH13" s="53" t="s">
        <v>134</v>
      </c>
      <c r="BI13" s="251" t="s">
        <v>150</v>
      </c>
      <c r="BJ13" s="55"/>
      <c r="BK13" s="56" t="s">
        <v>134</v>
      </c>
      <c r="BL13" s="249" t="s">
        <v>150</v>
      </c>
      <c r="BM13" s="52"/>
      <c r="BN13" s="53" t="s">
        <v>134</v>
      </c>
    </row>
    <row r="14" customFormat="false" ht="17.25" hidden="false" customHeight="true" outlineLevel="0" collapsed="false">
      <c r="B14" s="239"/>
      <c r="C14" s="44"/>
      <c r="D14" s="82"/>
      <c r="E14" s="46" t="s">
        <v>45</v>
      </c>
      <c r="F14" s="83"/>
      <c r="G14" s="80" t="s">
        <v>130</v>
      </c>
      <c r="H14" s="55"/>
      <c r="I14" s="56" t="s">
        <v>130</v>
      </c>
      <c r="J14" s="51" t="s">
        <v>44</v>
      </c>
      <c r="K14" s="153"/>
      <c r="L14" s="153" t="s">
        <v>44</v>
      </c>
      <c r="M14" s="80" t="s">
        <v>44</v>
      </c>
      <c r="N14" s="55"/>
      <c r="O14" s="152" t="s">
        <v>44</v>
      </c>
      <c r="P14" s="80" t="s">
        <v>44</v>
      </c>
      <c r="Q14" s="55"/>
      <c r="R14" s="56" t="s">
        <v>44</v>
      </c>
      <c r="S14" s="245" t="s">
        <v>131</v>
      </c>
      <c r="T14" s="52"/>
      <c r="U14" s="53" t="s">
        <v>132</v>
      </c>
      <c r="V14" s="246" t="s">
        <v>133</v>
      </c>
      <c r="W14" s="55"/>
      <c r="X14" s="56" t="s">
        <v>134</v>
      </c>
      <c r="Y14" s="247" t="s">
        <v>135</v>
      </c>
      <c r="Z14" s="52"/>
      <c r="AA14" s="59" t="s">
        <v>136</v>
      </c>
      <c r="AB14" s="246" t="s">
        <v>135</v>
      </c>
      <c r="AC14" s="55"/>
      <c r="AD14" s="56" t="s">
        <v>136</v>
      </c>
      <c r="AE14" s="249" t="s">
        <v>137</v>
      </c>
      <c r="AF14" s="52"/>
      <c r="AG14" s="53" t="s">
        <v>138</v>
      </c>
      <c r="AH14" s="80" t="s">
        <v>151</v>
      </c>
      <c r="AI14" s="55"/>
      <c r="AJ14" s="56" t="s">
        <v>152</v>
      </c>
      <c r="AK14" s="252" t="s">
        <v>134</v>
      </c>
      <c r="AL14" s="108"/>
      <c r="AM14" s="184" t="s">
        <v>131</v>
      </c>
      <c r="AN14" s="57" t="s">
        <v>141</v>
      </c>
      <c r="AO14" s="58"/>
      <c r="AP14" s="59" t="s">
        <v>142</v>
      </c>
      <c r="AQ14" s="248" t="s">
        <v>143</v>
      </c>
      <c r="AR14" s="76"/>
      <c r="AS14" s="77" t="s">
        <v>144</v>
      </c>
      <c r="AT14" s="51" t="s">
        <v>145</v>
      </c>
      <c r="AU14" s="52"/>
      <c r="AV14" s="53" t="s">
        <v>146</v>
      </c>
      <c r="AW14" s="80" t="s">
        <v>147</v>
      </c>
      <c r="AX14" s="55"/>
      <c r="AY14" s="56" t="s">
        <v>146</v>
      </c>
      <c r="AZ14" s="51" t="s">
        <v>147</v>
      </c>
      <c r="BA14" s="52"/>
      <c r="BB14" s="53" t="s">
        <v>146</v>
      </c>
      <c r="BC14" s="248" t="s">
        <v>148</v>
      </c>
      <c r="BD14" s="55"/>
      <c r="BE14" s="77" t="s">
        <v>149</v>
      </c>
      <c r="BF14" s="249" t="s">
        <v>134</v>
      </c>
      <c r="BG14" s="52"/>
      <c r="BH14" s="53" t="s">
        <v>134</v>
      </c>
      <c r="BI14" s="251" t="s">
        <v>150</v>
      </c>
      <c r="BJ14" s="55"/>
      <c r="BK14" s="56" t="s">
        <v>134</v>
      </c>
      <c r="BL14" s="249" t="s">
        <v>150</v>
      </c>
      <c r="BM14" s="52"/>
      <c r="BN14" s="53" t="s">
        <v>134</v>
      </c>
    </row>
    <row r="15" customFormat="false" ht="17.25" hidden="false" customHeight="true" outlineLevel="0" collapsed="false">
      <c r="B15" s="239"/>
      <c r="C15" s="44"/>
      <c r="D15" s="82"/>
      <c r="E15" s="46" t="s">
        <v>46</v>
      </c>
      <c r="F15" s="83"/>
      <c r="G15" s="80" t="s">
        <v>130</v>
      </c>
      <c r="H15" s="55"/>
      <c r="I15" s="56" t="s">
        <v>130</v>
      </c>
      <c r="J15" s="51" t="s">
        <v>44</v>
      </c>
      <c r="K15" s="153"/>
      <c r="L15" s="153" t="s">
        <v>44</v>
      </c>
      <c r="M15" s="80" t="s">
        <v>44</v>
      </c>
      <c r="N15" s="55"/>
      <c r="O15" s="152" t="s">
        <v>44</v>
      </c>
      <c r="P15" s="80" t="s">
        <v>44</v>
      </c>
      <c r="Q15" s="55"/>
      <c r="R15" s="56" t="s">
        <v>44</v>
      </c>
      <c r="S15" s="245" t="s">
        <v>131</v>
      </c>
      <c r="T15" s="52"/>
      <c r="U15" s="53" t="s">
        <v>132</v>
      </c>
      <c r="V15" s="246" t="s">
        <v>133</v>
      </c>
      <c r="W15" s="55"/>
      <c r="X15" s="56" t="s">
        <v>134</v>
      </c>
      <c r="Y15" s="247" t="s">
        <v>135</v>
      </c>
      <c r="Z15" s="52"/>
      <c r="AA15" s="59" t="s">
        <v>136</v>
      </c>
      <c r="AB15" s="246" t="s">
        <v>135</v>
      </c>
      <c r="AC15" s="55"/>
      <c r="AD15" s="56" t="s">
        <v>136</v>
      </c>
      <c r="AE15" s="249" t="s">
        <v>137</v>
      </c>
      <c r="AF15" s="52"/>
      <c r="AG15" s="53" t="s">
        <v>138</v>
      </c>
      <c r="AH15" s="80" t="s">
        <v>151</v>
      </c>
      <c r="AI15" s="55"/>
      <c r="AJ15" s="56" t="s">
        <v>152</v>
      </c>
      <c r="AK15" s="252" t="s">
        <v>134</v>
      </c>
      <c r="AL15" s="108"/>
      <c r="AM15" s="184" t="s">
        <v>131</v>
      </c>
      <c r="AN15" s="57" t="s">
        <v>141</v>
      </c>
      <c r="AO15" s="58"/>
      <c r="AP15" s="59" t="s">
        <v>142</v>
      </c>
      <c r="AQ15" s="248" t="s">
        <v>143</v>
      </c>
      <c r="AR15" s="76"/>
      <c r="AS15" s="77" t="s">
        <v>144</v>
      </c>
      <c r="AT15" s="51" t="s">
        <v>145</v>
      </c>
      <c r="AU15" s="52"/>
      <c r="AV15" s="53" t="s">
        <v>146</v>
      </c>
      <c r="AW15" s="80" t="s">
        <v>147</v>
      </c>
      <c r="AX15" s="55"/>
      <c r="AY15" s="56" t="s">
        <v>146</v>
      </c>
      <c r="AZ15" s="51" t="s">
        <v>147</v>
      </c>
      <c r="BA15" s="52"/>
      <c r="BB15" s="53" t="s">
        <v>146</v>
      </c>
      <c r="BC15" s="248" t="s">
        <v>148</v>
      </c>
      <c r="BD15" s="55"/>
      <c r="BE15" s="77" t="s">
        <v>149</v>
      </c>
      <c r="BF15" s="249" t="s">
        <v>134</v>
      </c>
      <c r="BG15" s="52"/>
      <c r="BH15" s="53" t="s">
        <v>134</v>
      </c>
      <c r="BI15" s="251" t="s">
        <v>150</v>
      </c>
      <c r="BJ15" s="55"/>
      <c r="BK15" s="56" t="s">
        <v>134</v>
      </c>
      <c r="BL15" s="249" t="s">
        <v>150</v>
      </c>
      <c r="BM15" s="52"/>
      <c r="BN15" s="53" t="s">
        <v>134</v>
      </c>
    </row>
    <row r="16" customFormat="false" ht="17.25" hidden="false" customHeight="true" outlineLevel="0" collapsed="false">
      <c r="B16" s="239"/>
      <c r="C16" s="44"/>
      <c r="D16" s="82"/>
      <c r="E16" s="46" t="s">
        <v>47</v>
      </c>
      <c r="F16" s="83"/>
      <c r="G16" s="80" t="s">
        <v>130</v>
      </c>
      <c r="H16" s="55"/>
      <c r="I16" s="56" t="s">
        <v>130</v>
      </c>
      <c r="J16" s="51" t="s">
        <v>44</v>
      </c>
      <c r="K16" s="153"/>
      <c r="L16" s="153" t="s">
        <v>44</v>
      </c>
      <c r="M16" s="80" t="s">
        <v>44</v>
      </c>
      <c r="N16" s="55"/>
      <c r="O16" s="152" t="s">
        <v>44</v>
      </c>
      <c r="P16" s="80" t="s">
        <v>44</v>
      </c>
      <c r="Q16" s="55"/>
      <c r="R16" s="56" t="s">
        <v>44</v>
      </c>
      <c r="S16" s="245" t="s">
        <v>131</v>
      </c>
      <c r="T16" s="52"/>
      <c r="U16" s="53" t="s">
        <v>132</v>
      </c>
      <c r="V16" s="246" t="s">
        <v>133</v>
      </c>
      <c r="W16" s="55"/>
      <c r="X16" s="56" t="s">
        <v>134</v>
      </c>
      <c r="Y16" s="247" t="s">
        <v>135</v>
      </c>
      <c r="Z16" s="52"/>
      <c r="AA16" s="59" t="s">
        <v>136</v>
      </c>
      <c r="AB16" s="246" t="s">
        <v>135</v>
      </c>
      <c r="AC16" s="55"/>
      <c r="AD16" s="56" t="s">
        <v>136</v>
      </c>
      <c r="AE16" s="249" t="s">
        <v>137</v>
      </c>
      <c r="AF16" s="52"/>
      <c r="AG16" s="53" t="s">
        <v>138</v>
      </c>
      <c r="AH16" s="80" t="s">
        <v>151</v>
      </c>
      <c r="AI16" s="55"/>
      <c r="AJ16" s="56" t="s">
        <v>152</v>
      </c>
      <c r="AK16" s="252" t="s">
        <v>134</v>
      </c>
      <c r="AL16" s="108"/>
      <c r="AM16" s="184" t="s">
        <v>131</v>
      </c>
      <c r="AN16" s="57" t="s">
        <v>141</v>
      </c>
      <c r="AO16" s="58"/>
      <c r="AP16" s="59" t="s">
        <v>142</v>
      </c>
      <c r="AQ16" s="248" t="s">
        <v>143</v>
      </c>
      <c r="AR16" s="76"/>
      <c r="AS16" s="77" t="s">
        <v>144</v>
      </c>
      <c r="AT16" s="51" t="s">
        <v>145</v>
      </c>
      <c r="AU16" s="52"/>
      <c r="AV16" s="53" t="s">
        <v>146</v>
      </c>
      <c r="AW16" s="80" t="s">
        <v>147</v>
      </c>
      <c r="AX16" s="55"/>
      <c r="AY16" s="56" t="s">
        <v>146</v>
      </c>
      <c r="AZ16" s="51" t="s">
        <v>147</v>
      </c>
      <c r="BA16" s="52"/>
      <c r="BB16" s="53" t="s">
        <v>146</v>
      </c>
      <c r="BC16" s="248" t="s">
        <v>148</v>
      </c>
      <c r="BD16" s="55"/>
      <c r="BE16" s="77" t="s">
        <v>149</v>
      </c>
      <c r="BF16" s="249" t="s">
        <v>134</v>
      </c>
      <c r="BG16" s="52"/>
      <c r="BH16" s="53" t="s">
        <v>134</v>
      </c>
      <c r="BI16" s="251" t="s">
        <v>150</v>
      </c>
      <c r="BJ16" s="55"/>
      <c r="BK16" s="56" t="s">
        <v>134</v>
      </c>
      <c r="BL16" s="249" t="s">
        <v>150</v>
      </c>
      <c r="BM16" s="52"/>
      <c r="BN16" s="53" t="s">
        <v>134</v>
      </c>
    </row>
    <row r="17" customFormat="false" ht="17.25" hidden="false" customHeight="true" outlineLevel="0" collapsed="false">
      <c r="B17" s="239"/>
      <c r="C17" s="87" t="s">
        <v>153</v>
      </c>
      <c r="D17" s="82" t="s">
        <v>42</v>
      </c>
      <c r="E17" s="46" t="s">
        <v>43</v>
      </c>
      <c r="F17" s="83"/>
      <c r="G17" s="80" t="s">
        <v>130</v>
      </c>
      <c r="H17" s="55"/>
      <c r="I17" s="56" t="s">
        <v>130</v>
      </c>
      <c r="J17" s="51" t="s">
        <v>44</v>
      </c>
      <c r="K17" s="153"/>
      <c r="L17" s="153" t="s">
        <v>44</v>
      </c>
      <c r="M17" s="80" t="s">
        <v>44</v>
      </c>
      <c r="N17" s="55"/>
      <c r="O17" s="152" t="s">
        <v>44</v>
      </c>
      <c r="P17" s="80" t="s">
        <v>44</v>
      </c>
      <c r="Q17" s="55"/>
      <c r="R17" s="56" t="s">
        <v>44</v>
      </c>
      <c r="S17" s="245" t="s">
        <v>154</v>
      </c>
      <c r="T17" s="52"/>
      <c r="U17" s="53" t="s">
        <v>155</v>
      </c>
      <c r="V17" s="246" t="s">
        <v>133</v>
      </c>
      <c r="W17" s="55"/>
      <c r="X17" s="56" t="s">
        <v>134</v>
      </c>
      <c r="Y17" s="249" t="s">
        <v>156</v>
      </c>
      <c r="Z17" s="52"/>
      <c r="AA17" s="59" t="s">
        <v>136</v>
      </c>
      <c r="AB17" s="246" t="s">
        <v>156</v>
      </c>
      <c r="AC17" s="55"/>
      <c r="AD17" s="56" t="s">
        <v>136</v>
      </c>
      <c r="AE17" s="51" t="s">
        <v>157</v>
      </c>
      <c r="AF17" s="52"/>
      <c r="AG17" s="53" t="s">
        <v>158</v>
      </c>
      <c r="AH17" s="80" t="s">
        <v>139</v>
      </c>
      <c r="AI17" s="55"/>
      <c r="AJ17" s="56" t="s">
        <v>140</v>
      </c>
      <c r="AK17" s="252" t="s">
        <v>134</v>
      </c>
      <c r="AL17" s="108"/>
      <c r="AM17" s="184" t="s">
        <v>159</v>
      </c>
      <c r="AN17" s="57" t="s">
        <v>141</v>
      </c>
      <c r="AO17" s="58"/>
      <c r="AP17" s="59" t="s">
        <v>142</v>
      </c>
      <c r="AQ17" s="248" t="s">
        <v>143</v>
      </c>
      <c r="AR17" s="76"/>
      <c r="AS17" s="77" t="s">
        <v>144</v>
      </c>
      <c r="AT17" s="51" t="s">
        <v>160</v>
      </c>
      <c r="AU17" s="52"/>
      <c r="AV17" s="53" t="s">
        <v>146</v>
      </c>
      <c r="AW17" s="80" t="s">
        <v>160</v>
      </c>
      <c r="AX17" s="55"/>
      <c r="AY17" s="56" t="s">
        <v>147</v>
      </c>
      <c r="AZ17" s="51" t="s">
        <v>161</v>
      </c>
      <c r="BA17" s="52"/>
      <c r="BB17" s="53" t="s">
        <v>147</v>
      </c>
      <c r="BC17" s="248" t="s">
        <v>148</v>
      </c>
      <c r="BD17" s="55"/>
      <c r="BE17" s="77" t="s">
        <v>149</v>
      </c>
      <c r="BF17" s="249" t="s">
        <v>162</v>
      </c>
      <c r="BG17" s="52"/>
      <c r="BH17" s="53" t="s">
        <v>163</v>
      </c>
      <c r="BI17" s="251" t="s">
        <v>164</v>
      </c>
      <c r="BJ17" s="55"/>
      <c r="BK17" s="56" t="s">
        <v>165</v>
      </c>
      <c r="BL17" s="249" t="s">
        <v>166</v>
      </c>
      <c r="BM17" s="52"/>
      <c r="BN17" s="53" t="s">
        <v>167</v>
      </c>
    </row>
    <row r="18" customFormat="false" ht="17.25" hidden="false" customHeight="true" outlineLevel="0" collapsed="false">
      <c r="B18" s="239"/>
      <c r="C18" s="87"/>
      <c r="D18" s="82"/>
      <c r="E18" s="46" t="s">
        <v>45</v>
      </c>
      <c r="F18" s="83"/>
      <c r="G18" s="80" t="s">
        <v>130</v>
      </c>
      <c r="H18" s="55"/>
      <c r="I18" s="56" t="s">
        <v>130</v>
      </c>
      <c r="J18" s="51" t="s">
        <v>44</v>
      </c>
      <c r="K18" s="153"/>
      <c r="L18" s="153" t="s">
        <v>44</v>
      </c>
      <c r="M18" s="80" t="s">
        <v>44</v>
      </c>
      <c r="N18" s="55"/>
      <c r="O18" s="152" t="s">
        <v>44</v>
      </c>
      <c r="P18" s="80" t="s">
        <v>44</v>
      </c>
      <c r="Q18" s="55"/>
      <c r="R18" s="56" t="s">
        <v>44</v>
      </c>
      <c r="S18" s="245" t="s">
        <v>154</v>
      </c>
      <c r="T18" s="52"/>
      <c r="U18" s="53" t="s">
        <v>155</v>
      </c>
      <c r="V18" s="246" t="s">
        <v>133</v>
      </c>
      <c r="W18" s="55"/>
      <c r="X18" s="56" t="s">
        <v>134</v>
      </c>
      <c r="Y18" s="249" t="s">
        <v>156</v>
      </c>
      <c r="Z18" s="52"/>
      <c r="AA18" s="59" t="s">
        <v>136</v>
      </c>
      <c r="AB18" s="246" t="s">
        <v>156</v>
      </c>
      <c r="AC18" s="55"/>
      <c r="AD18" s="56" t="s">
        <v>136</v>
      </c>
      <c r="AE18" s="51" t="s">
        <v>157</v>
      </c>
      <c r="AF18" s="52"/>
      <c r="AG18" s="53" t="s">
        <v>158</v>
      </c>
      <c r="AH18" s="80" t="s">
        <v>139</v>
      </c>
      <c r="AI18" s="55"/>
      <c r="AJ18" s="56" t="s">
        <v>140</v>
      </c>
      <c r="AK18" s="252" t="s">
        <v>134</v>
      </c>
      <c r="AL18" s="108"/>
      <c r="AM18" s="184" t="s">
        <v>159</v>
      </c>
      <c r="AN18" s="57" t="s">
        <v>141</v>
      </c>
      <c r="AO18" s="58"/>
      <c r="AP18" s="59" t="s">
        <v>142</v>
      </c>
      <c r="AQ18" s="248" t="s">
        <v>143</v>
      </c>
      <c r="AR18" s="76"/>
      <c r="AS18" s="77" t="s">
        <v>144</v>
      </c>
      <c r="AT18" s="51" t="s">
        <v>160</v>
      </c>
      <c r="AU18" s="52"/>
      <c r="AV18" s="53" t="s">
        <v>146</v>
      </c>
      <c r="AW18" s="80" t="s">
        <v>160</v>
      </c>
      <c r="AX18" s="55"/>
      <c r="AY18" s="56" t="s">
        <v>147</v>
      </c>
      <c r="AZ18" s="51" t="s">
        <v>161</v>
      </c>
      <c r="BA18" s="52"/>
      <c r="BB18" s="53" t="s">
        <v>147</v>
      </c>
      <c r="BC18" s="248" t="s">
        <v>148</v>
      </c>
      <c r="BD18" s="55"/>
      <c r="BE18" s="77" t="s">
        <v>149</v>
      </c>
      <c r="BF18" s="249" t="s">
        <v>162</v>
      </c>
      <c r="BG18" s="52"/>
      <c r="BH18" s="53" t="s">
        <v>163</v>
      </c>
      <c r="BI18" s="251" t="s">
        <v>164</v>
      </c>
      <c r="BJ18" s="55"/>
      <c r="BK18" s="56" t="s">
        <v>165</v>
      </c>
      <c r="BL18" s="249" t="s">
        <v>166</v>
      </c>
      <c r="BM18" s="52"/>
      <c r="BN18" s="53" t="s">
        <v>168</v>
      </c>
    </row>
    <row r="19" customFormat="false" ht="17.25" hidden="false" customHeight="true" outlineLevel="0" collapsed="false">
      <c r="B19" s="239"/>
      <c r="C19" s="87"/>
      <c r="D19" s="82"/>
      <c r="E19" s="46" t="s">
        <v>46</v>
      </c>
      <c r="F19" s="83"/>
      <c r="G19" s="80" t="s">
        <v>130</v>
      </c>
      <c r="H19" s="55"/>
      <c r="I19" s="56" t="s">
        <v>130</v>
      </c>
      <c r="J19" s="51" t="s">
        <v>44</v>
      </c>
      <c r="K19" s="153"/>
      <c r="L19" s="153" t="s">
        <v>44</v>
      </c>
      <c r="M19" s="80" t="s">
        <v>44</v>
      </c>
      <c r="N19" s="55"/>
      <c r="O19" s="152" t="s">
        <v>44</v>
      </c>
      <c r="P19" s="80" t="s">
        <v>44</v>
      </c>
      <c r="Q19" s="55"/>
      <c r="R19" s="56" t="s">
        <v>44</v>
      </c>
      <c r="S19" s="245" t="s">
        <v>154</v>
      </c>
      <c r="T19" s="52"/>
      <c r="U19" s="53" t="s">
        <v>155</v>
      </c>
      <c r="V19" s="246" t="s">
        <v>133</v>
      </c>
      <c r="W19" s="55"/>
      <c r="X19" s="56" t="s">
        <v>134</v>
      </c>
      <c r="Y19" s="249" t="s">
        <v>156</v>
      </c>
      <c r="Z19" s="52"/>
      <c r="AA19" s="59" t="s">
        <v>136</v>
      </c>
      <c r="AB19" s="246" t="s">
        <v>156</v>
      </c>
      <c r="AC19" s="55"/>
      <c r="AD19" s="56" t="s">
        <v>136</v>
      </c>
      <c r="AE19" s="51" t="s">
        <v>157</v>
      </c>
      <c r="AF19" s="52"/>
      <c r="AG19" s="53" t="s">
        <v>158</v>
      </c>
      <c r="AH19" s="80" t="s">
        <v>139</v>
      </c>
      <c r="AI19" s="55"/>
      <c r="AJ19" s="56" t="s">
        <v>140</v>
      </c>
      <c r="AK19" s="252" t="s">
        <v>134</v>
      </c>
      <c r="AL19" s="108"/>
      <c r="AM19" s="184" t="s">
        <v>159</v>
      </c>
      <c r="AN19" s="57" t="s">
        <v>141</v>
      </c>
      <c r="AO19" s="58"/>
      <c r="AP19" s="59" t="s">
        <v>142</v>
      </c>
      <c r="AQ19" s="248" t="s">
        <v>143</v>
      </c>
      <c r="AR19" s="76"/>
      <c r="AS19" s="77" t="s">
        <v>144</v>
      </c>
      <c r="AT19" s="51" t="s">
        <v>160</v>
      </c>
      <c r="AU19" s="52"/>
      <c r="AV19" s="53" t="s">
        <v>146</v>
      </c>
      <c r="AW19" s="80" t="s">
        <v>160</v>
      </c>
      <c r="AX19" s="55"/>
      <c r="AY19" s="56" t="s">
        <v>147</v>
      </c>
      <c r="AZ19" s="51" t="s">
        <v>161</v>
      </c>
      <c r="BA19" s="52"/>
      <c r="BB19" s="53" t="s">
        <v>147</v>
      </c>
      <c r="BC19" s="248" t="s">
        <v>148</v>
      </c>
      <c r="BD19" s="55"/>
      <c r="BE19" s="77" t="s">
        <v>149</v>
      </c>
      <c r="BF19" s="249" t="s">
        <v>162</v>
      </c>
      <c r="BG19" s="52"/>
      <c r="BH19" s="53" t="s">
        <v>163</v>
      </c>
      <c r="BI19" s="251" t="s">
        <v>164</v>
      </c>
      <c r="BJ19" s="55"/>
      <c r="BK19" s="56" t="s">
        <v>165</v>
      </c>
      <c r="BL19" s="249" t="s">
        <v>166</v>
      </c>
      <c r="BM19" s="52"/>
      <c r="BN19" s="53" t="s">
        <v>169</v>
      </c>
    </row>
    <row r="20" customFormat="false" ht="17.25" hidden="false" customHeight="true" outlineLevel="0" collapsed="false">
      <c r="B20" s="239"/>
      <c r="C20" s="87"/>
      <c r="D20" s="82"/>
      <c r="E20" s="46" t="s">
        <v>47</v>
      </c>
      <c r="F20" s="83"/>
      <c r="G20" s="80" t="s">
        <v>130</v>
      </c>
      <c r="H20" s="55"/>
      <c r="I20" s="56" t="s">
        <v>130</v>
      </c>
      <c r="J20" s="51" t="s">
        <v>44</v>
      </c>
      <c r="K20" s="153"/>
      <c r="L20" s="153" t="s">
        <v>44</v>
      </c>
      <c r="M20" s="80" t="s">
        <v>44</v>
      </c>
      <c r="N20" s="55"/>
      <c r="O20" s="152" t="s">
        <v>44</v>
      </c>
      <c r="P20" s="80" t="s">
        <v>44</v>
      </c>
      <c r="Q20" s="55"/>
      <c r="R20" s="56" t="s">
        <v>44</v>
      </c>
      <c r="S20" s="245" t="s">
        <v>154</v>
      </c>
      <c r="T20" s="52"/>
      <c r="U20" s="53" t="s">
        <v>155</v>
      </c>
      <c r="V20" s="246" t="s">
        <v>133</v>
      </c>
      <c r="W20" s="55"/>
      <c r="X20" s="56" t="s">
        <v>134</v>
      </c>
      <c r="Y20" s="249" t="s">
        <v>156</v>
      </c>
      <c r="Z20" s="52"/>
      <c r="AA20" s="59" t="s">
        <v>136</v>
      </c>
      <c r="AB20" s="246" t="s">
        <v>156</v>
      </c>
      <c r="AC20" s="55"/>
      <c r="AD20" s="56" t="s">
        <v>136</v>
      </c>
      <c r="AE20" s="51" t="s">
        <v>157</v>
      </c>
      <c r="AF20" s="52"/>
      <c r="AG20" s="53" t="s">
        <v>158</v>
      </c>
      <c r="AH20" s="80" t="s">
        <v>139</v>
      </c>
      <c r="AI20" s="55"/>
      <c r="AJ20" s="56" t="s">
        <v>140</v>
      </c>
      <c r="AK20" s="252" t="s">
        <v>134</v>
      </c>
      <c r="AL20" s="108"/>
      <c r="AM20" s="184" t="s">
        <v>159</v>
      </c>
      <c r="AN20" s="57" t="s">
        <v>141</v>
      </c>
      <c r="AO20" s="58"/>
      <c r="AP20" s="59" t="s">
        <v>142</v>
      </c>
      <c r="AQ20" s="248" t="s">
        <v>143</v>
      </c>
      <c r="AR20" s="76"/>
      <c r="AS20" s="77" t="s">
        <v>144</v>
      </c>
      <c r="AT20" s="51" t="s">
        <v>160</v>
      </c>
      <c r="AU20" s="52"/>
      <c r="AV20" s="53" t="s">
        <v>146</v>
      </c>
      <c r="AW20" s="80" t="s">
        <v>160</v>
      </c>
      <c r="AX20" s="55"/>
      <c r="AY20" s="56" t="s">
        <v>147</v>
      </c>
      <c r="AZ20" s="51" t="s">
        <v>161</v>
      </c>
      <c r="BA20" s="52"/>
      <c r="BB20" s="53" t="s">
        <v>147</v>
      </c>
      <c r="BC20" s="248" t="s">
        <v>148</v>
      </c>
      <c r="BD20" s="55"/>
      <c r="BE20" s="77" t="s">
        <v>149</v>
      </c>
      <c r="BF20" s="249" t="s">
        <v>162</v>
      </c>
      <c r="BG20" s="52"/>
      <c r="BH20" s="53" t="s">
        <v>163</v>
      </c>
      <c r="BI20" s="251" t="s">
        <v>164</v>
      </c>
      <c r="BJ20" s="55"/>
      <c r="BK20" s="56" t="s">
        <v>165</v>
      </c>
      <c r="BL20" s="249" t="s">
        <v>166</v>
      </c>
      <c r="BM20" s="52"/>
      <c r="BN20" s="53" t="s">
        <v>170</v>
      </c>
    </row>
    <row r="21" customFormat="false" ht="17.25" hidden="false" customHeight="true" outlineLevel="0" collapsed="false">
      <c r="B21" s="239"/>
      <c r="C21" s="87"/>
      <c r="D21" s="82" t="s">
        <v>48</v>
      </c>
      <c r="E21" s="46" t="s">
        <v>43</v>
      </c>
      <c r="F21" s="83"/>
      <c r="G21" s="80" t="s">
        <v>130</v>
      </c>
      <c r="H21" s="55"/>
      <c r="I21" s="56" t="s">
        <v>130</v>
      </c>
      <c r="J21" s="51" t="s">
        <v>44</v>
      </c>
      <c r="K21" s="153"/>
      <c r="L21" s="153" t="s">
        <v>44</v>
      </c>
      <c r="M21" s="80" t="s">
        <v>44</v>
      </c>
      <c r="N21" s="55"/>
      <c r="O21" s="152" t="s">
        <v>44</v>
      </c>
      <c r="P21" s="80" t="s">
        <v>44</v>
      </c>
      <c r="Q21" s="55"/>
      <c r="R21" s="56" t="s">
        <v>44</v>
      </c>
      <c r="S21" s="245" t="s">
        <v>154</v>
      </c>
      <c r="T21" s="52"/>
      <c r="U21" s="53" t="s">
        <v>155</v>
      </c>
      <c r="V21" s="246" t="s">
        <v>133</v>
      </c>
      <c r="W21" s="55"/>
      <c r="X21" s="56" t="s">
        <v>134</v>
      </c>
      <c r="Y21" s="249" t="s">
        <v>156</v>
      </c>
      <c r="Z21" s="52"/>
      <c r="AA21" s="59" t="s">
        <v>136</v>
      </c>
      <c r="AB21" s="246" t="s">
        <v>156</v>
      </c>
      <c r="AC21" s="55"/>
      <c r="AD21" s="56" t="s">
        <v>136</v>
      </c>
      <c r="AE21" s="51" t="s">
        <v>157</v>
      </c>
      <c r="AF21" s="52"/>
      <c r="AG21" s="53" t="s">
        <v>158</v>
      </c>
      <c r="AH21" s="80" t="s">
        <v>139</v>
      </c>
      <c r="AI21" s="55"/>
      <c r="AJ21" s="56" t="s">
        <v>140</v>
      </c>
      <c r="AK21" s="252" t="s">
        <v>134</v>
      </c>
      <c r="AL21" s="108"/>
      <c r="AM21" s="184" t="s">
        <v>159</v>
      </c>
      <c r="AN21" s="57" t="s">
        <v>141</v>
      </c>
      <c r="AO21" s="58"/>
      <c r="AP21" s="59" t="s">
        <v>142</v>
      </c>
      <c r="AQ21" s="248" t="s">
        <v>143</v>
      </c>
      <c r="AR21" s="76"/>
      <c r="AS21" s="77" t="s">
        <v>144</v>
      </c>
      <c r="AT21" s="51" t="s">
        <v>160</v>
      </c>
      <c r="AU21" s="52"/>
      <c r="AV21" s="53" t="s">
        <v>146</v>
      </c>
      <c r="AW21" s="80" t="s">
        <v>160</v>
      </c>
      <c r="AX21" s="55"/>
      <c r="AY21" s="56" t="s">
        <v>147</v>
      </c>
      <c r="AZ21" s="51" t="s">
        <v>161</v>
      </c>
      <c r="BA21" s="52"/>
      <c r="BB21" s="53" t="s">
        <v>147</v>
      </c>
      <c r="BC21" s="248" t="s">
        <v>148</v>
      </c>
      <c r="BD21" s="55"/>
      <c r="BE21" s="77" t="s">
        <v>149</v>
      </c>
      <c r="BF21" s="249" t="s">
        <v>162</v>
      </c>
      <c r="BG21" s="52"/>
      <c r="BH21" s="53" t="s">
        <v>163</v>
      </c>
      <c r="BI21" s="251" t="s">
        <v>164</v>
      </c>
      <c r="BJ21" s="55"/>
      <c r="BK21" s="56" t="s">
        <v>165</v>
      </c>
      <c r="BL21" s="249" t="s">
        <v>166</v>
      </c>
      <c r="BM21" s="52"/>
      <c r="BN21" s="53" t="s">
        <v>171</v>
      </c>
    </row>
    <row r="22" customFormat="false" ht="17.25" hidden="false" customHeight="true" outlineLevel="0" collapsed="false">
      <c r="B22" s="239"/>
      <c r="C22" s="87"/>
      <c r="D22" s="82"/>
      <c r="E22" s="46" t="s">
        <v>45</v>
      </c>
      <c r="F22" s="83"/>
      <c r="G22" s="80" t="s">
        <v>130</v>
      </c>
      <c r="H22" s="55"/>
      <c r="I22" s="56" t="s">
        <v>130</v>
      </c>
      <c r="J22" s="51" t="s">
        <v>44</v>
      </c>
      <c r="K22" s="153"/>
      <c r="L22" s="153" t="s">
        <v>44</v>
      </c>
      <c r="M22" s="80" t="s">
        <v>44</v>
      </c>
      <c r="N22" s="55"/>
      <c r="O22" s="152" t="s">
        <v>44</v>
      </c>
      <c r="P22" s="80" t="s">
        <v>44</v>
      </c>
      <c r="Q22" s="55"/>
      <c r="R22" s="56" t="s">
        <v>44</v>
      </c>
      <c r="S22" s="245" t="s">
        <v>154</v>
      </c>
      <c r="T22" s="52"/>
      <c r="U22" s="53" t="s">
        <v>155</v>
      </c>
      <c r="V22" s="246" t="s">
        <v>133</v>
      </c>
      <c r="W22" s="55"/>
      <c r="X22" s="56" t="s">
        <v>134</v>
      </c>
      <c r="Y22" s="249" t="s">
        <v>156</v>
      </c>
      <c r="Z22" s="52"/>
      <c r="AA22" s="59" t="s">
        <v>136</v>
      </c>
      <c r="AB22" s="246" t="s">
        <v>156</v>
      </c>
      <c r="AC22" s="55"/>
      <c r="AD22" s="56" t="s">
        <v>136</v>
      </c>
      <c r="AE22" s="51" t="s">
        <v>157</v>
      </c>
      <c r="AF22" s="52"/>
      <c r="AG22" s="53" t="s">
        <v>158</v>
      </c>
      <c r="AH22" s="80" t="s">
        <v>139</v>
      </c>
      <c r="AI22" s="55"/>
      <c r="AJ22" s="56" t="s">
        <v>140</v>
      </c>
      <c r="AK22" s="252" t="s">
        <v>134</v>
      </c>
      <c r="AL22" s="108"/>
      <c r="AM22" s="184" t="s">
        <v>159</v>
      </c>
      <c r="AN22" s="57" t="s">
        <v>141</v>
      </c>
      <c r="AO22" s="58"/>
      <c r="AP22" s="59" t="s">
        <v>142</v>
      </c>
      <c r="AQ22" s="248" t="s">
        <v>143</v>
      </c>
      <c r="AR22" s="76"/>
      <c r="AS22" s="77" t="s">
        <v>144</v>
      </c>
      <c r="AT22" s="51" t="s">
        <v>160</v>
      </c>
      <c r="AU22" s="52"/>
      <c r="AV22" s="53" t="s">
        <v>146</v>
      </c>
      <c r="AW22" s="80" t="s">
        <v>160</v>
      </c>
      <c r="AX22" s="55"/>
      <c r="AY22" s="56" t="s">
        <v>147</v>
      </c>
      <c r="AZ22" s="51" t="s">
        <v>161</v>
      </c>
      <c r="BA22" s="52"/>
      <c r="BB22" s="53" t="s">
        <v>147</v>
      </c>
      <c r="BC22" s="248" t="s">
        <v>148</v>
      </c>
      <c r="BD22" s="55"/>
      <c r="BE22" s="77" t="s">
        <v>149</v>
      </c>
      <c r="BF22" s="249" t="s">
        <v>162</v>
      </c>
      <c r="BG22" s="52"/>
      <c r="BH22" s="53" t="s">
        <v>163</v>
      </c>
      <c r="BI22" s="251" t="s">
        <v>164</v>
      </c>
      <c r="BJ22" s="55"/>
      <c r="BK22" s="56" t="s">
        <v>165</v>
      </c>
      <c r="BL22" s="249" t="s">
        <v>166</v>
      </c>
      <c r="BM22" s="52"/>
      <c r="BN22" s="53" t="s">
        <v>172</v>
      </c>
    </row>
    <row r="23" customFormat="false" ht="17.25" hidden="false" customHeight="true" outlineLevel="0" collapsed="false">
      <c r="B23" s="239"/>
      <c r="C23" s="87"/>
      <c r="D23" s="82"/>
      <c r="E23" s="46" t="s">
        <v>46</v>
      </c>
      <c r="F23" s="83"/>
      <c r="G23" s="80" t="s">
        <v>130</v>
      </c>
      <c r="H23" s="55"/>
      <c r="I23" s="56" t="s">
        <v>130</v>
      </c>
      <c r="J23" s="51" t="s">
        <v>44</v>
      </c>
      <c r="K23" s="153"/>
      <c r="L23" s="153" t="s">
        <v>44</v>
      </c>
      <c r="M23" s="80" t="s">
        <v>44</v>
      </c>
      <c r="N23" s="55"/>
      <c r="O23" s="152" t="s">
        <v>44</v>
      </c>
      <c r="P23" s="80" t="s">
        <v>44</v>
      </c>
      <c r="Q23" s="55"/>
      <c r="R23" s="56" t="s">
        <v>44</v>
      </c>
      <c r="S23" s="245" t="s">
        <v>154</v>
      </c>
      <c r="T23" s="52"/>
      <c r="U23" s="53" t="s">
        <v>155</v>
      </c>
      <c r="V23" s="246" t="s">
        <v>133</v>
      </c>
      <c r="W23" s="55"/>
      <c r="X23" s="56" t="s">
        <v>134</v>
      </c>
      <c r="Y23" s="249" t="s">
        <v>156</v>
      </c>
      <c r="Z23" s="52"/>
      <c r="AA23" s="59" t="s">
        <v>136</v>
      </c>
      <c r="AB23" s="246" t="s">
        <v>156</v>
      </c>
      <c r="AC23" s="55"/>
      <c r="AD23" s="56" t="s">
        <v>136</v>
      </c>
      <c r="AE23" s="51" t="s">
        <v>157</v>
      </c>
      <c r="AF23" s="52"/>
      <c r="AG23" s="53" t="s">
        <v>158</v>
      </c>
      <c r="AH23" s="80" t="s">
        <v>139</v>
      </c>
      <c r="AI23" s="55"/>
      <c r="AJ23" s="56" t="s">
        <v>140</v>
      </c>
      <c r="AK23" s="252" t="s">
        <v>134</v>
      </c>
      <c r="AL23" s="108"/>
      <c r="AM23" s="184" t="s">
        <v>159</v>
      </c>
      <c r="AN23" s="57" t="s">
        <v>141</v>
      </c>
      <c r="AO23" s="58"/>
      <c r="AP23" s="59" t="s">
        <v>142</v>
      </c>
      <c r="AQ23" s="248" t="s">
        <v>143</v>
      </c>
      <c r="AR23" s="76"/>
      <c r="AS23" s="77" t="s">
        <v>144</v>
      </c>
      <c r="AT23" s="51" t="s">
        <v>160</v>
      </c>
      <c r="AU23" s="52"/>
      <c r="AV23" s="53" t="s">
        <v>146</v>
      </c>
      <c r="AW23" s="80" t="s">
        <v>160</v>
      </c>
      <c r="AX23" s="55"/>
      <c r="AY23" s="56" t="s">
        <v>147</v>
      </c>
      <c r="AZ23" s="51" t="s">
        <v>161</v>
      </c>
      <c r="BA23" s="52"/>
      <c r="BB23" s="53" t="s">
        <v>147</v>
      </c>
      <c r="BC23" s="248" t="s">
        <v>148</v>
      </c>
      <c r="BD23" s="55"/>
      <c r="BE23" s="77" t="s">
        <v>149</v>
      </c>
      <c r="BF23" s="249" t="s">
        <v>162</v>
      </c>
      <c r="BG23" s="52"/>
      <c r="BH23" s="53" t="s">
        <v>163</v>
      </c>
      <c r="BI23" s="251" t="s">
        <v>164</v>
      </c>
      <c r="BJ23" s="55"/>
      <c r="BK23" s="56" t="s">
        <v>165</v>
      </c>
      <c r="BL23" s="249" t="s">
        <v>166</v>
      </c>
      <c r="BM23" s="52"/>
      <c r="BN23" s="53" t="s">
        <v>173</v>
      </c>
    </row>
    <row r="24" customFormat="false" ht="17.25" hidden="false" customHeight="true" outlineLevel="0" collapsed="false">
      <c r="B24" s="239"/>
      <c r="C24" s="87"/>
      <c r="D24" s="82"/>
      <c r="E24" s="46" t="s">
        <v>47</v>
      </c>
      <c r="F24" s="83"/>
      <c r="G24" s="80" t="s">
        <v>130</v>
      </c>
      <c r="H24" s="55"/>
      <c r="I24" s="56" t="s">
        <v>130</v>
      </c>
      <c r="J24" s="51" t="s">
        <v>44</v>
      </c>
      <c r="K24" s="153"/>
      <c r="L24" s="153" t="s">
        <v>44</v>
      </c>
      <c r="M24" s="80" t="s">
        <v>44</v>
      </c>
      <c r="N24" s="55"/>
      <c r="O24" s="152" t="s">
        <v>44</v>
      </c>
      <c r="P24" s="80" t="s">
        <v>44</v>
      </c>
      <c r="Q24" s="55"/>
      <c r="R24" s="56" t="s">
        <v>44</v>
      </c>
      <c r="S24" s="245" t="s">
        <v>154</v>
      </c>
      <c r="T24" s="52"/>
      <c r="U24" s="53" t="s">
        <v>155</v>
      </c>
      <c r="V24" s="246" t="s">
        <v>133</v>
      </c>
      <c r="W24" s="55"/>
      <c r="X24" s="56" t="s">
        <v>134</v>
      </c>
      <c r="Y24" s="249" t="s">
        <v>156</v>
      </c>
      <c r="Z24" s="52"/>
      <c r="AA24" s="59" t="s">
        <v>136</v>
      </c>
      <c r="AB24" s="246" t="s">
        <v>156</v>
      </c>
      <c r="AC24" s="55"/>
      <c r="AD24" s="56" t="s">
        <v>136</v>
      </c>
      <c r="AE24" s="51" t="s">
        <v>157</v>
      </c>
      <c r="AF24" s="52"/>
      <c r="AG24" s="53" t="s">
        <v>158</v>
      </c>
      <c r="AH24" s="80" t="s">
        <v>139</v>
      </c>
      <c r="AI24" s="55"/>
      <c r="AJ24" s="56" t="s">
        <v>140</v>
      </c>
      <c r="AK24" s="252" t="s">
        <v>134</v>
      </c>
      <c r="AL24" s="108"/>
      <c r="AM24" s="184" t="s">
        <v>159</v>
      </c>
      <c r="AN24" s="57" t="s">
        <v>141</v>
      </c>
      <c r="AO24" s="58"/>
      <c r="AP24" s="59" t="s">
        <v>142</v>
      </c>
      <c r="AQ24" s="248" t="s">
        <v>143</v>
      </c>
      <c r="AR24" s="76"/>
      <c r="AS24" s="77" t="s">
        <v>144</v>
      </c>
      <c r="AT24" s="51" t="s">
        <v>160</v>
      </c>
      <c r="AU24" s="52"/>
      <c r="AV24" s="53" t="s">
        <v>146</v>
      </c>
      <c r="AW24" s="80" t="s">
        <v>160</v>
      </c>
      <c r="AX24" s="55"/>
      <c r="AY24" s="56" t="s">
        <v>147</v>
      </c>
      <c r="AZ24" s="51" t="s">
        <v>161</v>
      </c>
      <c r="BA24" s="52"/>
      <c r="BB24" s="53" t="s">
        <v>147</v>
      </c>
      <c r="BC24" s="248" t="s">
        <v>148</v>
      </c>
      <c r="BD24" s="55"/>
      <c r="BE24" s="77" t="s">
        <v>149</v>
      </c>
      <c r="BF24" s="249" t="s">
        <v>162</v>
      </c>
      <c r="BG24" s="52"/>
      <c r="BH24" s="53" t="s">
        <v>163</v>
      </c>
      <c r="BI24" s="251" t="s">
        <v>164</v>
      </c>
      <c r="BJ24" s="55"/>
      <c r="BK24" s="56" t="s">
        <v>165</v>
      </c>
      <c r="BL24" s="249" t="s">
        <v>166</v>
      </c>
      <c r="BM24" s="52"/>
      <c r="BN24" s="53" t="s">
        <v>174</v>
      </c>
    </row>
    <row r="25" customFormat="false" ht="17.25" hidden="false" customHeight="true" outlineLevel="0" collapsed="false">
      <c r="B25" s="239"/>
      <c r="C25" s="87"/>
      <c r="D25" s="82" t="s">
        <v>49</v>
      </c>
      <c r="E25" s="46" t="s">
        <v>43</v>
      </c>
      <c r="F25" s="83"/>
      <c r="G25" s="80" t="s">
        <v>130</v>
      </c>
      <c r="H25" s="55"/>
      <c r="I25" s="56" t="s">
        <v>130</v>
      </c>
      <c r="J25" s="51" t="s">
        <v>44</v>
      </c>
      <c r="K25" s="153"/>
      <c r="L25" s="153" t="s">
        <v>44</v>
      </c>
      <c r="M25" s="80" t="s">
        <v>44</v>
      </c>
      <c r="N25" s="55"/>
      <c r="O25" s="152" t="s">
        <v>44</v>
      </c>
      <c r="P25" s="80" t="s">
        <v>44</v>
      </c>
      <c r="Q25" s="55"/>
      <c r="R25" s="56" t="s">
        <v>44</v>
      </c>
      <c r="S25" s="245" t="s">
        <v>154</v>
      </c>
      <c r="T25" s="52"/>
      <c r="U25" s="53" t="s">
        <v>155</v>
      </c>
      <c r="V25" s="246" t="s">
        <v>133</v>
      </c>
      <c r="W25" s="55"/>
      <c r="X25" s="56" t="s">
        <v>134</v>
      </c>
      <c r="Y25" s="249" t="s">
        <v>156</v>
      </c>
      <c r="Z25" s="52"/>
      <c r="AA25" s="59" t="s">
        <v>136</v>
      </c>
      <c r="AB25" s="246" t="s">
        <v>156</v>
      </c>
      <c r="AC25" s="55"/>
      <c r="AD25" s="56" t="s">
        <v>136</v>
      </c>
      <c r="AE25" s="51" t="s">
        <v>157</v>
      </c>
      <c r="AF25" s="52"/>
      <c r="AG25" s="53" t="s">
        <v>158</v>
      </c>
      <c r="AH25" s="80" t="s">
        <v>151</v>
      </c>
      <c r="AI25" s="55"/>
      <c r="AJ25" s="56" t="s">
        <v>152</v>
      </c>
      <c r="AK25" s="252" t="s">
        <v>134</v>
      </c>
      <c r="AL25" s="108"/>
      <c r="AM25" s="184" t="s">
        <v>159</v>
      </c>
      <c r="AN25" s="57" t="s">
        <v>141</v>
      </c>
      <c r="AO25" s="58"/>
      <c r="AP25" s="59" t="s">
        <v>142</v>
      </c>
      <c r="AQ25" s="248" t="s">
        <v>143</v>
      </c>
      <c r="AR25" s="76"/>
      <c r="AS25" s="77" t="s">
        <v>144</v>
      </c>
      <c r="AT25" s="51" t="s">
        <v>160</v>
      </c>
      <c r="AU25" s="52"/>
      <c r="AV25" s="53" t="s">
        <v>146</v>
      </c>
      <c r="AW25" s="80" t="s">
        <v>160</v>
      </c>
      <c r="AX25" s="55"/>
      <c r="AY25" s="56" t="s">
        <v>147</v>
      </c>
      <c r="AZ25" s="51" t="s">
        <v>161</v>
      </c>
      <c r="BA25" s="52"/>
      <c r="BB25" s="53" t="s">
        <v>147</v>
      </c>
      <c r="BC25" s="248" t="s">
        <v>148</v>
      </c>
      <c r="BD25" s="55"/>
      <c r="BE25" s="77" t="s">
        <v>149</v>
      </c>
      <c r="BF25" s="249" t="s">
        <v>162</v>
      </c>
      <c r="BG25" s="52"/>
      <c r="BH25" s="53" t="s">
        <v>163</v>
      </c>
      <c r="BI25" s="251" t="s">
        <v>164</v>
      </c>
      <c r="BJ25" s="55"/>
      <c r="BK25" s="56" t="s">
        <v>165</v>
      </c>
      <c r="BL25" s="249" t="s">
        <v>166</v>
      </c>
      <c r="BM25" s="52"/>
      <c r="BN25" s="53" t="s">
        <v>175</v>
      </c>
    </row>
    <row r="26" customFormat="false" ht="17.25" hidden="false" customHeight="true" outlineLevel="0" collapsed="false">
      <c r="B26" s="239"/>
      <c r="C26" s="87"/>
      <c r="D26" s="82"/>
      <c r="E26" s="46" t="s">
        <v>45</v>
      </c>
      <c r="F26" s="83"/>
      <c r="G26" s="80" t="s">
        <v>130</v>
      </c>
      <c r="H26" s="55"/>
      <c r="I26" s="56" t="s">
        <v>130</v>
      </c>
      <c r="J26" s="51" t="s">
        <v>44</v>
      </c>
      <c r="K26" s="153"/>
      <c r="L26" s="153" t="s">
        <v>44</v>
      </c>
      <c r="M26" s="80" t="s">
        <v>44</v>
      </c>
      <c r="N26" s="55"/>
      <c r="O26" s="152" t="s">
        <v>44</v>
      </c>
      <c r="P26" s="80" t="s">
        <v>44</v>
      </c>
      <c r="Q26" s="55"/>
      <c r="R26" s="56" t="s">
        <v>44</v>
      </c>
      <c r="S26" s="245" t="s">
        <v>154</v>
      </c>
      <c r="T26" s="52"/>
      <c r="U26" s="53" t="s">
        <v>155</v>
      </c>
      <c r="V26" s="246" t="s">
        <v>133</v>
      </c>
      <c r="W26" s="55"/>
      <c r="X26" s="56" t="s">
        <v>134</v>
      </c>
      <c r="Y26" s="249" t="s">
        <v>156</v>
      </c>
      <c r="Z26" s="52"/>
      <c r="AA26" s="59" t="s">
        <v>136</v>
      </c>
      <c r="AB26" s="246" t="s">
        <v>156</v>
      </c>
      <c r="AC26" s="55"/>
      <c r="AD26" s="56" t="s">
        <v>136</v>
      </c>
      <c r="AE26" s="51" t="s">
        <v>157</v>
      </c>
      <c r="AF26" s="52"/>
      <c r="AG26" s="53" t="s">
        <v>158</v>
      </c>
      <c r="AH26" s="80" t="s">
        <v>151</v>
      </c>
      <c r="AI26" s="55"/>
      <c r="AJ26" s="56" t="s">
        <v>152</v>
      </c>
      <c r="AK26" s="252" t="s">
        <v>134</v>
      </c>
      <c r="AL26" s="108"/>
      <c r="AM26" s="184" t="s">
        <v>159</v>
      </c>
      <c r="AN26" s="57" t="s">
        <v>141</v>
      </c>
      <c r="AO26" s="58"/>
      <c r="AP26" s="59" t="s">
        <v>142</v>
      </c>
      <c r="AQ26" s="248" t="s">
        <v>143</v>
      </c>
      <c r="AR26" s="76"/>
      <c r="AS26" s="77" t="s">
        <v>144</v>
      </c>
      <c r="AT26" s="51" t="s">
        <v>160</v>
      </c>
      <c r="AU26" s="52"/>
      <c r="AV26" s="53" t="s">
        <v>146</v>
      </c>
      <c r="AW26" s="80" t="s">
        <v>160</v>
      </c>
      <c r="AX26" s="55"/>
      <c r="AY26" s="56" t="s">
        <v>147</v>
      </c>
      <c r="AZ26" s="51" t="s">
        <v>161</v>
      </c>
      <c r="BA26" s="52"/>
      <c r="BB26" s="53" t="s">
        <v>147</v>
      </c>
      <c r="BC26" s="248" t="s">
        <v>148</v>
      </c>
      <c r="BD26" s="55"/>
      <c r="BE26" s="77" t="s">
        <v>149</v>
      </c>
      <c r="BF26" s="249" t="s">
        <v>162</v>
      </c>
      <c r="BG26" s="52"/>
      <c r="BH26" s="53" t="s">
        <v>163</v>
      </c>
      <c r="BI26" s="251" t="s">
        <v>164</v>
      </c>
      <c r="BJ26" s="55"/>
      <c r="BK26" s="56" t="s">
        <v>165</v>
      </c>
      <c r="BL26" s="249" t="s">
        <v>166</v>
      </c>
      <c r="BM26" s="52"/>
      <c r="BN26" s="53" t="s">
        <v>176</v>
      </c>
    </row>
    <row r="27" customFormat="false" ht="17.25" hidden="false" customHeight="true" outlineLevel="0" collapsed="false">
      <c r="B27" s="239"/>
      <c r="C27" s="87"/>
      <c r="D27" s="82"/>
      <c r="E27" s="46" t="s">
        <v>46</v>
      </c>
      <c r="F27" s="83"/>
      <c r="G27" s="80" t="s">
        <v>130</v>
      </c>
      <c r="H27" s="55"/>
      <c r="I27" s="56" t="s">
        <v>130</v>
      </c>
      <c r="J27" s="51" t="s">
        <v>44</v>
      </c>
      <c r="K27" s="153"/>
      <c r="L27" s="153" t="s">
        <v>44</v>
      </c>
      <c r="M27" s="80" t="s">
        <v>44</v>
      </c>
      <c r="N27" s="55"/>
      <c r="O27" s="152" t="s">
        <v>44</v>
      </c>
      <c r="P27" s="80" t="s">
        <v>44</v>
      </c>
      <c r="Q27" s="55"/>
      <c r="R27" s="56" t="s">
        <v>44</v>
      </c>
      <c r="S27" s="245" t="s">
        <v>154</v>
      </c>
      <c r="T27" s="52"/>
      <c r="U27" s="53" t="s">
        <v>155</v>
      </c>
      <c r="V27" s="246" t="s">
        <v>133</v>
      </c>
      <c r="W27" s="55"/>
      <c r="X27" s="56" t="s">
        <v>134</v>
      </c>
      <c r="Y27" s="249" t="s">
        <v>156</v>
      </c>
      <c r="Z27" s="52"/>
      <c r="AA27" s="59" t="s">
        <v>136</v>
      </c>
      <c r="AB27" s="246" t="s">
        <v>156</v>
      </c>
      <c r="AC27" s="55"/>
      <c r="AD27" s="56" t="s">
        <v>136</v>
      </c>
      <c r="AE27" s="51" t="s">
        <v>157</v>
      </c>
      <c r="AF27" s="52"/>
      <c r="AG27" s="53" t="s">
        <v>158</v>
      </c>
      <c r="AH27" s="80" t="s">
        <v>151</v>
      </c>
      <c r="AI27" s="55"/>
      <c r="AJ27" s="56" t="s">
        <v>152</v>
      </c>
      <c r="AK27" s="252" t="s">
        <v>134</v>
      </c>
      <c r="AL27" s="108"/>
      <c r="AM27" s="184" t="s">
        <v>159</v>
      </c>
      <c r="AN27" s="57" t="s">
        <v>141</v>
      </c>
      <c r="AO27" s="58"/>
      <c r="AP27" s="59" t="s">
        <v>142</v>
      </c>
      <c r="AQ27" s="248" t="s">
        <v>143</v>
      </c>
      <c r="AR27" s="76"/>
      <c r="AS27" s="77" t="s">
        <v>144</v>
      </c>
      <c r="AT27" s="51" t="s">
        <v>160</v>
      </c>
      <c r="AU27" s="52"/>
      <c r="AV27" s="53" t="s">
        <v>146</v>
      </c>
      <c r="AW27" s="80" t="s">
        <v>160</v>
      </c>
      <c r="AX27" s="55"/>
      <c r="AY27" s="56" t="s">
        <v>147</v>
      </c>
      <c r="AZ27" s="51" t="s">
        <v>161</v>
      </c>
      <c r="BA27" s="52"/>
      <c r="BB27" s="53" t="s">
        <v>147</v>
      </c>
      <c r="BC27" s="248" t="s">
        <v>148</v>
      </c>
      <c r="BD27" s="55"/>
      <c r="BE27" s="77" t="s">
        <v>149</v>
      </c>
      <c r="BF27" s="249" t="s">
        <v>162</v>
      </c>
      <c r="BG27" s="52"/>
      <c r="BH27" s="53" t="s">
        <v>163</v>
      </c>
      <c r="BI27" s="251" t="s">
        <v>164</v>
      </c>
      <c r="BJ27" s="55"/>
      <c r="BK27" s="56" t="s">
        <v>165</v>
      </c>
      <c r="BL27" s="249" t="s">
        <v>166</v>
      </c>
      <c r="BM27" s="52"/>
      <c r="BN27" s="53" t="s">
        <v>177</v>
      </c>
    </row>
    <row r="28" customFormat="false" ht="17.25" hidden="false" customHeight="true" outlineLevel="0" collapsed="false">
      <c r="B28" s="239"/>
      <c r="C28" s="87"/>
      <c r="D28" s="82"/>
      <c r="E28" s="46" t="s">
        <v>47</v>
      </c>
      <c r="F28" s="83"/>
      <c r="G28" s="80" t="s">
        <v>130</v>
      </c>
      <c r="H28" s="55"/>
      <c r="I28" s="56" t="s">
        <v>130</v>
      </c>
      <c r="J28" s="51" t="s">
        <v>44</v>
      </c>
      <c r="K28" s="153"/>
      <c r="L28" s="153" t="s">
        <v>44</v>
      </c>
      <c r="M28" s="80" t="s">
        <v>44</v>
      </c>
      <c r="N28" s="55"/>
      <c r="O28" s="152" t="s">
        <v>44</v>
      </c>
      <c r="P28" s="80" t="s">
        <v>44</v>
      </c>
      <c r="Q28" s="55"/>
      <c r="R28" s="56" t="s">
        <v>44</v>
      </c>
      <c r="S28" s="245" t="s">
        <v>154</v>
      </c>
      <c r="T28" s="52"/>
      <c r="U28" s="53" t="s">
        <v>155</v>
      </c>
      <c r="V28" s="246" t="s">
        <v>133</v>
      </c>
      <c r="W28" s="55"/>
      <c r="X28" s="56" t="s">
        <v>134</v>
      </c>
      <c r="Y28" s="249" t="s">
        <v>156</v>
      </c>
      <c r="Z28" s="52"/>
      <c r="AA28" s="59" t="s">
        <v>136</v>
      </c>
      <c r="AB28" s="246" t="s">
        <v>156</v>
      </c>
      <c r="AC28" s="55"/>
      <c r="AD28" s="56" t="s">
        <v>136</v>
      </c>
      <c r="AE28" s="51" t="s">
        <v>157</v>
      </c>
      <c r="AF28" s="52"/>
      <c r="AG28" s="53" t="s">
        <v>158</v>
      </c>
      <c r="AH28" s="80" t="s">
        <v>151</v>
      </c>
      <c r="AI28" s="55"/>
      <c r="AJ28" s="56" t="s">
        <v>152</v>
      </c>
      <c r="AK28" s="252" t="s">
        <v>134</v>
      </c>
      <c r="AL28" s="108"/>
      <c r="AM28" s="184" t="s">
        <v>159</v>
      </c>
      <c r="AN28" s="57" t="s">
        <v>141</v>
      </c>
      <c r="AO28" s="58"/>
      <c r="AP28" s="59" t="s">
        <v>142</v>
      </c>
      <c r="AQ28" s="248" t="s">
        <v>143</v>
      </c>
      <c r="AR28" s="76"/>
      <c r="AS28" s="77" t="s">
        <v>144</v>
      </c>
      <c r="AT28" s="51" t="s">
        <v>160</v>
      </c>
      <c r="AU28" s="52"/>
      <c r="AV28" s="53" t="s">
        <v>146</v>
      </c>
      <c r="AW28" s="80" t="s">
        <v>160</v>
      </c>
      <c r="AX28" s="55"/>
      <c r="AY28" s="56" t="s">
        <v>147</v>
      </c>
      <c r="AZ28" s="51" t="s">
        <v>161</v>
      </c>
      <c r="BA28" s="52"/>
      <c r="BB28" s="53" t="s">
        <v>147</v>
      </c>
      <c r="BC28" s="248" t="s">
        <v>148</v>
      </c>
      <c r="BD28" s="55"/>
      <c r="BE28" s="77" t="s">
        <v>149</v>
      </c>
      <c r="BF28" s="249" t="s">
        <v>162</v>
      </c>
      <c r="BG28" s="52"/>
      <c r="BH28" s="53" t="s">
        <v>163</v>
      </c>
      <c r="BI28" s="251" t="s">
        <v>164</v>
      </c>
      <c r="BJ28" s="55"/>
      <c r="BK28" s="56" t="s">
        <v>165</v>
      </c>
      <c r="BL28" s="249" t="s">
        <v>166</v>
      </c>
      <c r="BM28" s="52"/>
      <c r="BN28" s="53" t="s">
        <v>178</v>
      </c>
    </row>
    <row r="29" customFormat="false" ht="17.25" hidden="false" customHeight="true" outlineLevel="0" collapsed="false">
      <c r="B29" s="239"/>
      <c r="C29" s="87" t="s">
        <v>179</v>
      </c>
      <c r="D29" s="82" t="s">
        <v>42</v>
      </c>
      <c r="E29" s="46" t="s">
        <v>43</v>
      </c>
      <c r="F29" s="92"/>
      <c r="G29" s="80" t="s">
        <v>130</v>
      </c>
      <c r="H29" s="55"/>
      <c r="I29" s="56" t="s">
        <v>130</v>
      </c>
      <c r="J29" s="51" t="s">
        <v>44</v>
      </c>
      <c r="K29" s="153"/>
      <c r="L29" s="153" t="s">
        <v>44</v>
      </c>
      <c r="M29" s="80" t="s">
        <v>44</v>
      </c>
      <c r="N29" s="55"/>
      <c r="O29" s="152" t="s">
        <v>44</v>
      </c>
      <c r="P29" s="80" t="s">
        <v>44</v>
      </c>
      <c r="Q29" s="55"/>
      <c r="R29" s="56" t="s">
        <v>44</v>
      </c>
      <c r="S29" s="245" t="s">
        <v>154</v>
      </c>
      <c r="T29" s="52"/>
      <c r="U29" s="53" t="s">
        <v>155</v>
      </c>
      <c r="V29" s="246" t="s">
        <v>133</v>
      </c>
      <c r="W29" s="55"/>
      <c r="X29" s="56" t="s">
        <v>134</v>
      </c>
      <c r="Y29" s="249" t="s">
        <v>156</v>
      </c>
      <c r="Z29" s="52"/>
      <c r="AA29" s="59" t="s">
        <v>136</v>
      </c>
      <c r="AB29" s="246" t="s">
        <v>156</v>
      </c>
      <c r="AC29" s="55"/>
      <c r="AD29" s="56" t="s">
        <v>136</v>
      </c>
      <c r="AE29" s="51" t="s">
        <v>157</v>
      </c>
      <c r="AF29" s="52"/>
      <c r="AG29" s="53" t="s">
        <v>158</v>
      </c>
      <c r="AH29" s="80" t="s">
        <v>139</v>
      </c>
      <c r="AI29" s="55"/>
      <c r="AJ29" s="56" t="s">
        <v>140</v>
      </c>
      <c r="AK29" s="252" t="s">
        <v>134</v>
      </c>
      <c r="AL29" s="108"/>
      <c r="AM29" s="184" t="s">
        <v>159</v>
      </c>
      <c r="AN29" s="57" t="s">
        <v>141</v>
      </c>
      <c r="AO29" s="52"/>
      <c r="AP29" s="53" t="s">
        <v>180</v>
      </c>
      <c r="AQ29" s="248" t="s">
        <v>144</v>
      </c>
      <c r="AR29" s="76"/>
      <c r="AS29" s="77" t="s">
        <v>181</v>
      </c>
      <c r="AT29" s="51" t="s">
        <v>160</v>
      </c>
      <c r="AU29" s="52"/>
      <c r="AV29" s="53" t="s">
        <v>146</v>
      </c>
      <c r="AW29" s="80" t="s">
        <v>160</v>
      </c>
      <c r="AX29" s="55"/>
      <c r="AY29" s="56" t="s">
        <v>147</v>
      </c>
      <c r="AZ29" s="51" t="s">
        <v>161</v>
      </c>
      <c r="BA29" s="52"/>
      <c r="BB29" s="53" t="s">
        <v>147</v>
      </c>
      <c r="BC29" s="246" t="s">
        <v>149</v>
      </c>
      <c r="BD29" s="55"/>
      <c r="BE29" s="77" t="s">
        <v>149</v>
      </c>
      <c r="BF29" s="249" t="s">
        <v>162</v>
      </c>
      <c r="BG29" s="52"/>
      <c r="BH29" s="53" t="s">
        <v>163</v>
      </c>
      <c r="BI29" s="251" t="s">
        <v>164</v>
      </c>
      <c r="BJ29" s="55"/>
      <c r="BK29" s="56" t="s">
        <v>165</v>
      </c>
      <c r="BL29" s="249" t="s">
        <v>166</v>
      </c>
      <c r="BM29" s="52"/>
      <c r="BN29" s="53" t="s">
        <v>182</v>
      </c>
    </row>
    <row r="30" customFormat="false" ht="17.25" hidden="false" customHeight="true" outlineLevel="0" collapsed="false">
      <c r="B30" s="239"/>
      <c r="C30" s="87"/>
      <c r="D30" s="82"/>
      <c r="E30" s="46" t="s">
        <v>45</v>
      </c>
      <c r="F30" s="92"/>
      <c r="G30" s="80" t="s">
        <v>130</v>
      </c>
      <c r="H30" s="55"/>
      <c r="I30" s="56" t="s">
        <v>130</v>
      </c>
      <c r="J30" s="51" t="s">
        <v>44</v>
      </c>
      <c r="K30" s="153"/>
      <c r="L30" s="153" t="s">
        <v>44</v>
      </c>
      <c r="M30" s="80" t="s">
        <v>44</v>
      </c>
      <c r="N30" s="55"/>
      <c r="O30" s="152" t="s">
        <v>44</v>
      </c>
      <c r="P30" s="80" t="s">
        <v>44</v>
      </c>
      <c r="Q30" s="55"/>
      <c r="R30" s="56" t="s">
        <v>44</v>
      </c>
      <c r="S30" s="245" t="s">
        <v>154</v>
      </c>
      <c r="T30" s="52"/>
      <c r="U30" s="53" t="s">
        <v>155</v>
      </c>
      <c r="V30" s="246" t="s">
        <v>133</v>
      </c>
      <c r="W30" s="55"/>
      <c r="X30" s="56" t="s">
        <v>134</v>
      </c>
      <c r="Y30" s="249" t="s">
        <v>156</v>
      </c>
      <c r="Z30" s="52"/>
      <c r="AA30" s="59" t="s">
        <v>136</v>
      </c>
      <c r="AB30" s="246" t="s">
        <v>156</v>
      </c>
      <c r="AC30" s="55"/>
      <c r="AD30" s="56" t="s">
        <v>136</v>
      </c>
      <c r="AE30" s="51" t="s">
        <v>157</v>
      </c>
      <c r="AF30" s="52"/>
      <c r="AG30" s="53" t="s">
        <v>158</v>
      </c>
      <c r="AH30" s="80" t="s">
        <v>139</v>
      </c>
      <c r="AI30" s="55"/>
      <c r="AJ30" s="56" t="s">
        <v>140</v>
      </c>
      <c r="AK30" s="252" t="s">
        <v>134</v>
      </c>
      <c r="AL30" s="108"/>
      <c r="AM30" s="184" t="s">
        <v>159</v>
      </c>
      <c r="AN30" s="57" t="s">
        <v>141</v>
      </c>
      <c r="AO30" s="52"/>
      <c r="AP30" s="53" t="s">
        <v>180</v>
      </c>
      <c r="AQ30" s="248" t="s">
        <v>144</v>
      </c>
      <c r="AR30" s="76"/>
      <c r="AS30" s="77" t="s">
        <v>181</v>
      </c>
      <c r="AT30" s="51" t="s">
        <v>160</v>
      </c>
      <c r="AU30" s="52"/>
      <c r="AV30" s="53" t="s">
        <v>146</v>
      </c>
      <c r="AW30" s="80" t="s">
        <v>160</v>
      </c>
      <c r="AX30" s="55"/>
      <c r="AY30" s="56" t="s">
        <v>147</v>
      </c>
      <c r="AZ30" s="51" t="s">
        <v>161</v>
      </c>
      <c r="BA30" s="52"/>
      <c r="BB30" s="53" t="s">
        <v>147</v>
      </c>
      <c r="BC30" s="246" t="s">
        <v>149</v>
      </c>
      <c r="BD30" s="55"/>
      <c r="BE30" s="77" t="s">
        <v>149</v>
      </c>
      <c r="BF30" s="249" t="s">
        <v>162</v>
      </c>
      <c r="BG30" s="52"/>
      <c r="BH30" s="53" t="s">
        <v>163</v>
      </c>
      <c r="BI30" s="251" t="s">
        <v>164</v>
      </c>
      <c r="BJ30" s="55"/>
      <c r="BK30" s="56" t="s">
        <v>165</v>
      </c>
      <c r="BL30" s="249" t="s">
        <v>166</v>
      </c>
      <c r="BM30" s="52"/>
      <c r="BN30" s="53" t="s">
        <v>183</v>
      </c>
    </row>
    <row r="31" customFormat="false" ht="17.25" hidden="false" customHeight="true" outlineLevel="0" collapsed="false">
      <c r="B31" s="239"/>
      <c r="C31" s="87"/>
      <c r="D31" s="82"/>
      <c r="E31" s="46" t="s">
        <v>46</v>
      </c>
      <c r="F31" s="92"/>
      <c r="G31" s="80" t="s">
        <v>130</v>
      </c>
      <c r="H31" s="55"/>
      <c r="I31" s="56" t="s">
        <v>130</v>
      </c>
      <c r="J31" s="51" t="s">
        <v>44</v>
      </c>
      <c r="K31" s="153"/>
      <c r="L31" s="153" t="s">
        <v>44</v>
      </c>
      <c r="M31" s="80" t="s">
        <v>44</v>
      </c>
      <c r="N31" s="55"/>
      <c r="O31" s="152" t="s">
        <v>44</v>
      </c>
      <c r="P31" s="80" t="s">
        <v>44</v>
      </c>
      <c r="Q31" s="55"/>
      <c r="R31" s="56" t="s">
        <v>44</v>
      </c>
      <c r="S31" s="245" t="s">
        <v>154</v>
      </c>
      <c r="T31" s="52"/>
      <c r="U31" s="53" t="s">
        <v>155</v>
      </c>
      <c r="V31" s="246" t="s">
        <v>133</v>
      </c>
      <c r="W31" s="55"/>
      <c r="X31" s="56" t="s">
        <v>134</v>
      </c>
      <c r="Y31" s="249" t="s">
        <v>156</v>
      </c>
      <c r="Z31" s="52"/>
      <c r="AA31" s="59" t="s">
        <v>136</v>
      </c>
      <c r="AB31" s="246" t="s">
        <v>156</v>
      </c>
      <c r="AC31" s="55"/>
      <c r="AD31" s="56" t="s">
        <v>136</v>
      </c>
      <c r="AE31" s="51" t="s">
        <v>157</v>
      </c>
      <c r="AF31" s="52"/>
      <c r="AG31" s="53" t="s">
        <v>158</v>
      </c>
      <c r="AH31" s="80" t="s">
        <v>139</v>
      </c>
      <c r="AI31" s="55"/>
      <c r="AJ31" s="56" t="s">
        <v>140</v>
      </c>
      <c r="AK31" s="252" t="s">
        <v>134</v>
      </c>
      <c r="AL31" s="108"/>
      <c r="AM31" s="184" t="s">
        <v>159</v>
      </c>
      <c r="AN31" s="57" t="s">
        <v>141</v>
      </c>
      <c r="AO31" s="52"/>
      <c r="AP31" s="53" t="s">
        <v>180</v>
      </c>
      <c r="AQ31" s="248" t="s">
        <v>144</v>
      </c>
      <c r="AR31" s="76"/>
      <c r="AS31" s="77" t="s">
        <v>181</v>
      </c>
      <c r="AT31" s="51" t="s">
        <v>160</v>
      </c>
      <c r="AU31" s="52"/>
      <c r="AV31" s="53" t="s">
        <v>146</v>
      </c>
      <c r="AW31" s="80" t="s">
        <v>160</v>
      </c>
      <c r="AX31" s="55"/>
      <c r="AY31" s="56" t="s">
        <v>147</v>
      </c>
      <c r="AZ31" s="51" t="s">
        <v>161</v>
      </c>
      <c r="BA31" s="52"/>
      <c r="BB31" s="53" t="s">
        <v>147</v>
      </c>
      <c r="BC31" s="246" t="s">
        <v>149</v>
      </c>
      <c r="BD31" s="55"/>
      <c r="BE31" s="77" t="s">
        <v>149</v>
      </c>
      <c r="BF31" s="249" t="s">
        <v>162</v>
      </c>
      <c r="BG31" s="52"/>
      <c r="BH31" s="53" t="s">
        <v>163</v>
      </c>
      <c r="BI31" s="251" t="s">
        <v>164</v>
      </c>
      <c r="BJ31" s="55"/>
      <c r="BK31" s="56" t="s">
        <v>165</v>
      </c>
      <c r="BL31" s="249" t="s">
        <v>166</v>
      </c>
      <c r="BM31" s="52"/>
      <c r="BN31" s="53" t="s">
        <v>184</v>
      </c>
    </row>
    <row r="32" customFormat="false" ht="17.25" hidden="false" customHeight="true" outlineLevel="0" collapsed="false">
      <c r="B32" s="239"/>
      <c r="C32" s="87"/>
      <c r="D32" s="82"/>
      <c r="E32" s="46" t="s">
        <v>47</v>
      </c>
      <c r="F32" s="92"/>
      <c r="G32" s="80" t="s">
        <v>130</v>
      </c>
      <c r="H32" s="55"/>
      <c r="I32" s="56" t="s">
        <v>130</v>
      </c>
      <c r="J32" s="51" t="s">
        <v>44</v>
      </c>
      <c r="K32" s="153"/>
      <c r="L32" s="153" t="s">
        <v>44</v>
      </c>
      <c r="M32" s="80" t="s">
        <v>44</v>
      </c>
      <c r="N32" s="55"/>
      <c r="O32" s="152" t="s">
        <v>44</v>
      </c>
      <c r="P32" s="80" t="s">
        <v>44</v>
      </c>
      <c r="Q32" s="55"/>
      <c r="R32" s="56" t="s">
        <v>44</v>
      </c>
      <c r="S32" s="245" t="s">
        <v>154</v>
      </c>
      <c r="T32" s="52"/>
      <c r="U32" s="53" t="s">
        <v>155</v>
      </c>
      <c r="V32" s="246" t="s">
        <v>133</v>
      </c>
      <c r="W32" s="55"/>
      <c r="X32" s="56" t="s">
        <v>134</v>
      </c>
      <c r="Y32" s="249" t="s">
        <v>156</v>
      </c>
      <c r="Z32" s="52"/>
      <c r="AA32" s="59" t="s">
        <v>136</v>
      </c>
      <c r="AB32" s="246" t="s">
        <v>156</v>
      </c>
      <c r="AC32" s="55"/>
      <c r="AD32" s="56" t="s">
        <v>136</v>
      </c>
      <c r="AE32" s="51" t="s">
        <v>157</v>
      </c>
      <c r="AF32" s="52"/>
      <c r="AG32" s="53" t="s">
        <v>158</v>
      </c>
      <c r="AH32" s="80" t="s">
        <v>139</v>
      </c>
      <c r="AI32" s="55"/>
      <c r="AJ32" s="56" t="s">
        <v>140</v>
      </c>
      <c r="AK32" s="252" t="s">
        <v>134</v>
      </c>
      <c r="AL32" s="108"/>
      <c r="AM32" s="184" t="s">
        <v>159</v>
      </c>
      <c r="AN32" s="57" t="s">
        <v>141</v>
      </c>
      <c r="AO32" s="52"/>
      <c r="AP32" s="53" t="s">
        <v>180</v>
      </c>
      <c r="AQ32" s="248" t="s">
        <v>144</v>
      </c>
      <c r="AR32" s="76"/>
      <c r="AS32" s="77" t="s">
        <v>181</v>
      </c>
      <c r="AT32" s="51" t="s">
        <v>160</v>
      </c>
      <c r="AU32" s="52"/>
      <c r="AV32" s="53" t="s">
        <v>146</v>
      </c>
      <c r="AW32" s="80" t="s">
        <v>160</v>
      </c>
      <c r="AX32" s="55"/>
      <c r="AY32" s="56" t="s">
        <v>147</v>
      </c>
      <c r="AZ32" s="51" t="s">
        <v>161</v>
      </c>
      <c r="BA32" s="52"/>
      <c r="BB32" s="53" t="s">
        <v>147</v>
      </c>
      <c r="BC32" s="246" t="s">
        <v>149</v>
      </c>
      <c r="BD32" s="55"/>
      <c r="BE32" s="77" t="s">
        <v>149</v>
      </c>
      <c r="BF32" s="249" t="s">
        <v>162</v>
      </c>
      <c r="BG32" s="52"/>
      <c r="BH32" s="53" t="s">
        <v>163</v>
      </c>
      <c r="BI32" s="251" t="s">
        <v>164</v>
      </c>
      <c r="BJ32" s="55"/>
      <c r="BK32" s="56" t="s">
        <v>165</v>
      </c>
      <c r="BL32" s="249" t="s">
        <v>166</v>
      </c>
      <c r="BM32" s="52"/>
      <c r="BN32" s="53" t="s">
        <v>185</v>
      </c>
    </row>
    <row r="33" customFormat="false" ht="17.25" hidden="false" customHeight="true" outlineLevel="0" collapsed="false">
      <c r="B33" s="239"/>
      <c r="C33" s="87"/>
      <c r="D33" s="82" t="s">
        <v>52</v>
      </c>
      <c r="E33" s="46" t="s">
        <v>43</v>
      </c>
      <c r="F33" s="92"/>
      <c r="G33" s="80" t="s">
        <v>130</v>
      </c>
      <c r="H33" s="55"/>
      <c r="I33" s="56" t="s">
        <v>130</v>
      </c>
      <c r="J33" s="51" t="s">
        <v>44</v>
      </c>
      <c r="K33" s="153"/>
      <c r="L33" s="153" t="s">
        <v>44</v>
      </c>
      <c r="M33" s="80" t="s">
        <v>44</v>
      </c>
      <c r="N33" s="55"/>
      <c r="O33" s="152" t="s">
        <v>44</v>
      </c>
      <c r="P33" s="80" t="s">
        <v>44</v>
      </c>
      <c r="Q33" s="55"/>
      <c r="R33" s="56" t="s">
        <v>44</v>
      </c>
      <c r="S33" s="245" t="s">
        <v>154</v>
      </c>
      <c r="T33" s="52"/>
      <c r="U33" s="53" t="s">
        <v>155</v>
      </c>
      <c r="V33" s="246" t="s">
        <v>133</v>
      </c>
      <c r="W33" s="55"/>
      <c r="X33" s="56" t="s">
        <v>134</v>
      </c>
      <c r="Y33" s="249" t="s">
        <v>156</v>
      </c>
      <c r="Z33" s="52"/>
      <c r="AA33" s="59" t="s">
        <v>136</v>
      </c>
      <c r="AB33" s="246" t="s">
        <v>156</v>
      </c>
      <c r="AC33" s="55"/>
      <c r="AD33" s="56" t="s">
        <v>136</v>
      </c>
      <c r="AE33" s="51" t="s">
        <v>157</v>
      </c>
      <c r="AF33" s="52"/>
      <c r="AG33" s="53" t="s">
        <v>158</v>
      </c>
      <c r="AH33" s="80" t="s">
        <v>139</v>
      </c>
      <c r="AI33" s="55"/>
      <c r="AJ33" s="56" t="s">
        <v>140</v>
      </c>
      <c r="AK33" s="252" t="s">
        <v>134</v>
      </c>
      <c r="AL33" s="108"/>
      <c r="AM33" s="184" t="s">
        <v>159</v>
      </c>
      <c r="AN33" s="57" t="s">
        <v>141</v>
      </c>
      <c r="AO33" s="52"/>
      <c r="AP33" s="53" t="s">
        <v>180</v>
      </c>
      <c r="AQ33" s="248" t="s">
        <v>144</v>
      </c>
      <c r="AR33" s="76"/>
      <c r="AS33" s="77" t="s">
        <v>181</v>
      </c>
      <c r="AT33" s="51" t="s">
        <v>160</v>
      </c>
      <c r="AU33" s="52"/>
      <c r="AV33" s="53" t="s">
        <v>146</v>
      </c>
      <c r="AW33" s="80" t="s">
        <v>160</v>
      </c>
      <c r="AX33" s="55"/>
      <c r="AY33" s="56" t="s">
        <v>147</v>
      </c>
      <c r="AZ33" s="51" t="s">
        <v>161</v>
      </c>
      <c r="BA33" s="52"/>
      <c r="BB33" s="53" t="s">
        <v>147</v>
      </c>
      <c r="BC33" s="246" t="s">
        <v>149</v>
      </c>
      <c r="BD33" s="55"/>
      <c r="BE33" s="77" t="s">
        <v>149</v>
      </c>
      <c r="BF33" s="249" t="s">
        <v>162</v>
      </c>
      <c r="BG33" s="52"/>
      <c r="BH33" s="53" t="s">
        <v>163</v>
      </c>
      <c r="BI33" s="251" t="s">
        <v>164</v>
      </c>
      <c r="BJ33" s="55"/>
      <c r="BK33" s="56" t="s">
        <v>165</v>
      </c>
      <c r="BL33" s="249" t="s">
        <v>166</v>
      </c>
      <c r="BM33" s="52"/>
      <c r="BN33" s="53" t="s">
        <v>186</v>
      </c>
    </row>
    <row r="34" customFormat="false" ht="17.25" hidden="false" customHeight="true" outlineLevel="0" collapsed="false">
      <c r="B34" s="239"/>
      <c r="C34" s="87"/>
      <c r="D34" s="82"/>
      <c r="E34" s="46" t="s">
        <v>45</v>
      </c>
      <c r="F34" s="92"/>
      <c r="G34" s="80" t="s">
        <v>130</v>
      </c>
      <c r="H34" s="55"/>
      <c r="I34" s="56" t="s">
        <v>130</v>
      </c>
      <c r="J34" s="51" t="s">
        <v>44</v>
      </c>
      <c r="K34" s="153"/>
      <c r="L34" s="153" t="s">
        <v>44</v>
      </c>
      <c r="M34" s="80" t="s">
        <v>44</v>
      </c>
      <c r="N34" s="55"/>
      <c r="O34" s="152" t="s">
        <v>44</v>
      </c>
      <c r="P34" s="80" t="s">
        <v>44</v>
      </c>
      <c r="Q34" s="55"/>
      <c r="R34" s="56" t="s">
        <v>44</v>
      </c>
      <c r="S34" s="245" t="s">
        <v>154</v>
      </c>
      <c r="T34" s="52"/>
      <c r="U34" s="53" t="s">
        <v>155</v>
      </c>
      <c r="V34" s="246" t="s">
        <v>133</v>
      </c>
      <c r="W34" s="55"/>
      <c r="X34" s="56" t="s">
        <v>134</v>
      </c>
      <c r="Y34" s="249" t="s">
        <v>156</v>
      </c>
      <c r="Z34" s="52"/>
      <c r="AA34" s="59" t="s">
        <v>136</v>
      </c>
      <c r="AB34" s="246" t="s">
        <v>156</v>
      </c>
      <c r="AC34" s="55"/>
      <c r="AD34" s="56" t="s">
        <v>136</v>
      </c>
      <c r="AE34" s="51" t="s">
        <v>157</v>
      </c>
      <c r="AF34" s="52"/>
      <c r="AG34" s="53" t="s">
        <v>158</v>
      </c>
      <c r="AH34" s="80" t="s">
        <v>139</v>
      </c>
      <c r="AI34" s="55"/>
      <c r="AJ34" s="56" t="s">
        <v>140</v>
      </c>
      <c r="AK34" s="252" t="s">
        <v>134</v>
      </c>
      <c r="AL34" s="108"/>
      <c r="AM34" s="184" t="s">
        <v>159</v>
      </c>
      <c r="AN34" s="57" t="s">
        <v>141</v>
      </c>
      <c r="AO34" s="52"/>
      <c r="AP34" s="53" t="s">
        <v>180</v>
      </c>
      <c r="AQ34" s="248" t="s">
        <v>144</v>
      </c>
      <c r="AR34" s="76"/>
      <c r="AS34" s="77" t="s">
        <v>181</v>
      </c>
      <c r="AT34" s="51" t="s">
        <v>160</v>
      </c>
      <c r="AU34" s="52"/>
      <c r="AV34" s="53" t="s">
        <v>146</v>
      </c>
      <c r="AW34" s="80" t="s">
        <v>160</v>
      </c>
      <c r="AX34" s="55"/>
      <c r="AY34" s="56" t="s">
        <v>147</v>
      </c>
      <c r="AZ34" s="51" t="s">
        <v>161</v>
      </c>
      <c r="BA34" s="52"/>
      <c r="BB34" s="53" t="s">
        <v>147</v>
      </c>
      <c r="BC34" s="246" t="s">
        <v>149</v>
      </c>
      <c r="BD34" s="55"/>
      <c r="BE34" s="77" t="s">
        <v>149</v>
      </c>
      <c r="BF34" s="249" t="s">
        <v>162</v>
      </c>
      <c r="BG34" s="52"/>
      <c r="BH34" s="53" t="s">
        <v>163</v>
      </c>
      <c r="BI34" s="251" t="s">
        <v>164</v>
      </c>
      <c r="BJ34" s="55"/>
      <c r="BK34" s="56" t="s">
        <v>165</v>
      </c>
      <c r="BL34" s="249" t="s">
        <v>166</v>
      </c>
      <c r="BM34" s="52"/>
      <c r="BN34" s="53" t="s">
        <v>187</v>
      </c>
    </row>
    <row r="35" customFormat="false" ht="17.25" hidden="false" customHeight="true" outlineLevel="0" collapsed="false">
      <c r="B35" s="239"/>
      <c r="C35" s="87"/>
      <c r="D35" s="82"/>
      <c r="E35" s="46" t="s">
        <v>46</v>
      </c>
      <c r="F35" s="92"/>
      <c r="G35" s="80" t="s">
        <v>130</v>
      </c>
      <c r="H35" s="55"/>
      <c r="I35" s="56" t="s">
        <v>130</v>
      </c>
      <c r="J35" s="51" t="s">
        <v>44</v>
      </c>
      <c r="K35" s="153"/>
      <c r="L35" s="153" t="s">
        <v>44</v>
      </c>
      <c r="M35" s="80" t="s">
        <v>44</v>
      </c>
      <c r="N35" s="55"/>
      <c r="O35" s="152" t="s">
        <v>44</v>
      </c>
      <c r="P35" s="80" t="s">
        <v>44</v>
      </c>
      <c r="Q35" s="55"/>
      <c r="R35" s="56" t="s">
        <v>44</v>
      </c>
      <c r="S35" s="245" t="s">
        <v>154</v>
      </c>
      <c r="T35" s="52"/>
      <c r="U35" s="53" t="s">
        <v>155</v>
      </c>
      <c r="V35" s="246" t="s">
        <v>133</v>
      </c>
      <c r="W35" s="55"/>
      <c r="X35" s="56" t="s">
        <v>134</v>
      </c>
      <c r="Y35" s="249" t="s">
        <v>156</v>
      </c>
      <c r="Z35" s="52"/>
      <c r="AA35" s="59" t="s">
        <v>136</v>
      </c>
      <c r="AB35" s="246" t="s">
        <v>156</v>
      </c>
      <c r="AC35" s="55"/>
      <c r="AD35" s="56" t="s">
        <v>136</v>
      </c>
      <c r="AE35" s="51" t="s">
        <v>157</v>
      </c>
      <c r="AF35" s="52"/>
      <c r="AG35" s="53" t="s">
        <v>158</v>
      </c>
      <c r="AH35" s="80" t="s">
        <v>139</v>
      </c>
      <c r="AI35" s="55"/>
      <c r="AJ35" s="56" t="s">
        <v>140</v>
      </c>
      <c r="AK35" s="252" t="s">
        <v>134</v>
      </c>
      <c r="AL35" s="108"/>
      <c r="AM35" s="184" t="s">
        <v>159</v>
      </c>
      <c r="AN35" s="57" t="s">
        <v>141</v>
      </c>
      <c r="AO35" s="52"/>
      <c r="AP35" s="53" t="s">
        <v>180</v>
      </c>
      <c r="AQ35" s="248" t="s">
        <v>144</v>
      </c>
      <c r="AR35" s="76"/>
      <c r="AS35" s="77" t="s">
        <v>181</v>
      </c>
      <c r="AT35" s="51" t="s">
        <v>160</v>
      </c>
      <c r="AU35" s="52"/>
      <c r="AV35" s="53" t="s">
        <v>146</v>
      </c>
      <c r="AW35" s="80" t="s">
        <v>160</v>
      </c>
      <c r="AX35" s="55"/>
      <c r="AY35" s="56" t="s">
        <v>147</v>
      </c>
      <c r="AZ35" s="51" t="s">
        <v>161</v>
      </c>
      <c r="BA35" s="52"/>
      <c r="BB35" s="53" t="s">
        <v>147</v>
      </c>
      <c r="BC35" s="246" t="s">
        <v>149</v>
      </c>
      <c r="BD35" s="55"/>
      <c r="BE35" s="77" t="s">
        <v>149</v>
      </c>
      <c r="BF35" s="249" t="s">
        <v>162</v>
      </c>
      <c r="BG35" s="52"/>
      <c r="BH35" s="53" t="s">
        <v>163</v>
      </c>
      <c r="BI35" s="251" t="s">
        <v>164</v>
      </c>
      <c r="BJ35" s="55"/>
      <c r="BK35" s="56" t="s">
        <v>165</v>
      </c>
      <c r="BL35" s="249" t="s">
        <v>166</v>
      </c>
      <c r="BM35" s="52"/>
      <c r="BN35" s="53" t="s">
        <v>188</v>
      </c>
    </row>
    <row r="36" customFormat="false" ht="17.25" hidden="false" customHeight="true" outlineLevel="0" collapsed="false">
      <c r="B36" s="239"/>
      <c r="C36" s="87"/>
      <c r="D36" s="82"/>
      <c r="E36" s="46" t="s">
        <v>47</v>
      </c>
      <c r="F36" s="92"/>
      <c r="G36" s="80" t="s">
        <v>130</v>
      </c>
      <c r="H36" s="55"/>
      <c r="I36" s="56" t="s">
        <v>130</v>
      </c>
      <c r="J36" s="51" t="s">
        <v>44</v>
      </c>
      <c r="K36" s="153"/>
      <c r="L36" s="153" t="s">
        <v>44</v>
      </c>
      <c r="M36" s="80" t="s">
        <v>44</v>
      </c>
      <c r="N36" s="55"/>
      <c r="O36" s="152" t="s">
        <v>44</v>
      </c>
      <c r="P36" s="80" t="s">
        <v>44</v>
      </c>
      <c r="Q36" s="55"/>
      <c r="R36" s="56" t="s">
        <v>44</v>
      </c>
      <c r="S36" s="245" t="s">
        <v>154</v>
      </c>
      <c r="T36" s="52"/>
      <c r="U36" s="53" t="s">
        <v>155</v>
      </c>
      <c r="V36" s="246" t="s">
        <v>133</v>
      </c>
      <c r="W36" s="55"/>
      <c r="X36" s="56" t="s">
        <v>134</v>
      </c>
      <c r="Y36" s="249" t="s">
        <v>156</v>
      </c>
      <c r="Z36" s="52"/>
      <c r="AA36" s="59" t="s">
        <v>136</v>
      </c>
      <c r="AB36" s="246" t="s">
        <v>156</v>
      </c>
      <c r="AC36" s="55"/>
      <c r="AD36" s="56" t="s">
        <v>136</v>
      </c>
      <c r="AE36" s="51" t="s">
        <v>157</v>
      </c>
      <c r="AF36" s="52"/>
      <c r="AG36" s="53" t="s">
        <v>158</v>
      </c>
      <c r="AH36" s="80" t="s">
        <v>139</v>
      </c>
      <c r="AI36" s="55"/>
      <c r="AJ36" s="56" t="s">
        <v>140</v>
      </c>
      <c r="AK36" s="252" t="s">
        <v>134</v>
      </c>
      <c r="AL36" s="108"/>
      <c r="AM36" s="184" t="s">
        <v>159</v>
      </c>
      <c r="AN36" s="57" t="s">
        <v>141</v>
      </c>
      <c r="AO36" s="52"/>
      <c r="AP36" s="53" t="s">
        <v>180</v>
      </c>
      <c r="AQ36" s="248" t="s">
        <v>144</v>
      </c>
      <c r="AR36" s="76"/>
      <c r="AS36" s="77" t="s">
        <v>181</v>
      </c>
      <c r="AT36" s="51" t="s">
        <v>160</v>
      </c>
      <c r="AU36" s="52"/>
      <c r="AV36" s="53" t="s">
        <v>146</v>
      </c>
      <c r="AW36" s="80" t="s">
        <v>160</v>
      </c>
      <c r="AX36" s="55"/>
      <c r="AY36" s="56" t="s">
        <v>147</v>
      </c>
      <c r="AZ36" s="51" t="s">
        <v>161</v>
      </c>
      <c r="BA36" s="52"/>
      <c r="BB36" s="53" t="s">
        <v>147</v>
      </c>
      <c r="BC36" s="246" t="s">
        <v>149</v>
      </c>
      <c r="BD36" s="55"/>
      <c r="BE36" s="77" t="s">
        <v>149</v>
      </c>
      <c r="BF36" s="249" t="s">
        <v>162</v>
      </c>
      <c r="BG36" s="52"/>
      <c r="BH36" s="53" t="s">
        <v>163</v>
      </c>
      <c r="BI36" s="251" t="s">
        <v>164</v>
      </c>
      <c r="BJ36" s="55"/>
      <c r="BK36" s="56" t="s">
        <v>165</v>
      </c>
      <c r="BL36" s="249" t="s">
        <v>166</v>
      </c>
      <c r="BM36" s="52"/>
      <c r="BN36" s="53" t="s">
        <v>189</v>
      </c>
    </row>
    <row r="37" customFormat="false" ht="17.25" hidden="false" customHeight="true" outlineLevel="0" collapsed="false">
      <c r="B37" s="239"/>
      <c r="C37" s="87" t="s">
        <v>53</v>
      </c>
      <c r="D37" s="253" t="s">
        <v>42</v>
      </c>
      <c r="E37" s="254" t="s">
        <v>43</v>
      </c>
      <c r="F37" s="92"/>
      <c r="G37" s="80" t="s">
        <v>130</v>
      </c>
      <c r="H37" s="55"/>
      <c r="I37" s="56" t="s">
        <v>130</v>
      </c>
      <c r="J37" s="51" t="s">
        <v>44</v>
      </c>
      <c r="K37" s="153"/>
      <c r="L37" s="153" t="s">
        <v>44</v>
      </c>
      <c r="M37" s="80" t="s">
        <v>44</v>
      </c>
      <c r="N37" s="55"/>
      <c r="O37" s="152" t="s">
        <v>44</v>
      </c>
      <c r="P37" s="80" t="s">
        <v>44</v>
      </c>
      <c r="Q37" s="55"/>
      <c r="R37" s="56" t="s">
        <v>44</v>
      </c>
      <c r="S37" s="245" t="s">
        <v>132</v>
      </c>
      <c r="T37" s="52"/>
      <c r="U37" s="53" t="s">
        <v>131</v>
      </c>
      <c r="V37" s="246" t="s">
        <v>133</v>
      </c>
      <c r="W37" s="55"/>
      <c r="X37" s="56" t="s">
        <v>166</v>
      </c>
      <c r="Y37" s="249" t="s">
        <v>135</v>
      </c>
      <c r="Z37" s="52"/>
      <c r="AA37" s="59" t="s">
        <v>136</v>
      </c>
      <c r="AB37" s="246" t="s">
        <v>135</v>
      </c>
      <c r="AC37" s="55"/>
      <c r="AD37" s="56" t="s">
        <v>136</v>
      </c>
      <c r="AE37" s="51" t="s">
        <v>190</v>
      </c>
      <c r="AF37" s="52"/>
      <c r="AG37" s="53" t="s">
        <v>191</v>
      </c>
      <c r="AH37" s="80" t="s">
        <v>192</v>
      </c>
      <c r="AI37" s="55"/>
      <c r="AJ37" s="56" t="s">
        <v>193</v>
      </c>
      <c r="AK37" s="255" t="s">
        <v>134</v>
      </c>
      <c r="AL37" s="108"/>
      <c r="AM37" s="184" t="s">
        <v>159</v>
      </c>
      <c r="AN37" s="57" t="s">
        <v>194</v>
      </c>
      <c r="AO37" s="52"/>
      <c r="AP37" s="53" t="s">
        <v>195</v>
      </c>
      <c r="AQ37" s="248" t="s">
        <v>196</v>
      </c>
      <c r="AR37" s="76"/>
      <c r="AS37" s="77" t="s">
        <v>144</v>
      </c>
      <c r="AT37" s="51" t="s">
        <v>145</v>
      </c>
      <c r="AU37" s="52"/>
      <c r="AV37" s="53" t="s">
        <v>146</v>
      </c>
      <c r="AW37" s="80" t="s">
        <v>147</v>
      </c>
      <c r="AX37" s="55"/>
      <c r="AY37" s="56" t="s">
        <v>146</v>
      </c>
      <c r="AZ37" s="51" t="s">
        <v>147</v>
      </c>
      <c r="BA37" s="52"/>
      <c r="BB37" s="53" t="s">
        <v>146</v>
      </c>
      <c r="BC37" s="246" t="s">
        <v>149</v>
      </c>
      <c r="BD37" s="55"/>
      <c r="BE37" s="77" t="s">
        <v>149</v>
      </c>
      <c r="BF37" s="249" t="s">
        <v>134</v>
      </c>
      <c r="BG37" s="52"/>
      <c r="BH37" s="53" t="s">
        <v>197</v>
      </c>
      <c r="BI37" s="251" t="s">
        <v>134</v>
      </c>
      <c r="BJ37" s="55"/>
      <c r="BK37" s="56" t="s">
        <v>134</v>
      </c>
      <c r="BL37" s="249" t="s">
        <v>198</v>
      </c>
      <c r="BM37" s="52"/>
      <c r="BN37" s="53" t="s">
        <v>199</v>
      </c>
    </row>
    <row r="38" customFormat="false" ht="17.25" hidden="false" customHeight="true" outlineLevel="0" collapsed="false">
      <c r="B38" s="239"/>
      <c r="C38" s="87"/>
      <c r="D38" s="253"/>
      <c r="E38" s="46" t="s">
        <v>45</v>
      </c>
      <c r="F38" s="256"/>
      <c r="G38" s="80" t="s">
        <v>130</v>
      </c>
      <c r="H38" s="55"/>
      <c r="I38" s="56" t="s">
        <v>130</v>
      </c>
      <c r="J38" s="51" t="s">
        <v>44</v>
      </c>
      <c r="K38" s="153"/>
      <c r="L38" s="153" t="s">
        <v>44</v>
      </c>
      <c r="M38" s="80" t="s">
        <v>44</v>
      </c>
      <c r="N38" s="55"/>
      <c r="O38" s="152" t="s">
        <v>44</v>
      </c>
      <c r="P38" s="80" t="s">
        <v>44</v>
      </c>
      <c r="Q38" s="55"/>
      <c r="R38" s="56" t="s">
        <v>44</v>
      </c>
      <c r="S38" s="245" t="s">
        <v>132</v>
      </c>
      <c r="T38" s="52"/>
      <c r="U38" s="53" t="s">
        <v>131</v>
      </c>
      <c r="V38" s="246" t="s">
        <v>133</v>
      </c>
      <c r="W38" s="55"/>
      <c r="X38" s="56" t="s">
        <v>166</v>
      </c>
      <c r="Y38" s="249" t="s">
        <v>135</v>
      </c>
      <c r="Z38" s="52"/>
      <c r="AA38" s="59" t="s">
        <v>136</v>
      </c>
      <c r="AB38" s="246" t="s">
        <v>135</v>
      </c>
      <c r="AC38" s="55"/>
      <c r="AD38" s="56" t="s">
        <v>136</v>
      </c>
      <c r="AE38" s="51" t="s">
        <v>190</v>
      </c>
      <c r="AF38" s="52"/>
      <c r="AG38" s="53" t="s">
        <v>191</v>
      </c>
      <c r="AH38" s="80" t="s">
        <v>192</v>
      </c>
      <c r="AI38" s="55"/>
      <c r="AJ38" s="56" t="s">
        <v>193</v>
      </c>
      <c r="AK38" s="255" t="s">
        <v>134</v>
      </c>
      <c r="AL38" s="108"/>
      <c r="AM38" s="184" t="s">
        <v>159</v>
      </c>
      <c r="AN38" s="57" t="s">
        <v>194</v>
      </c>
      <c r="AO38" s="52"/>
      <c r="AP38" s="53" t="s">
        <v>195</v>
      </c>
      <c r="AQ38" s="248" t="s">
        <v>196</v>
      </c>
      <c r="AR38" s="76"/>
      <c r="AS38" s="77" t="s">
        <v>144</v>
      </c>
      <c r="AT38" s="51" t="s">
        <v>145</v>
      </c>
      <c r="AU38" s="52"/>
      <c r="AV38" s="53" t="s">
        <v>146</v>
      </c>
      <c r="AW38" s="80" t="s">
        <v>147</v>
      </c>
      <c r="AX38" s="55"/>
      <c r="AY38" s="56" t="s">
        <v>146</v>
      </c>
      <c r="AZ38" s="51" t="s">
        <v>147</v>
      </c>
      <c r="BA38" s="52"/>
      <c r="BB38" s="53" t="s">
        <v>146</v>
      </c>
      <c r="BC38" s="246" t="s">
        <v>149</v>
      </c>
      <c r="BD38" s="55"/>
      <c r="BE38" s="77" t="s">
        <v>149</v>
      </c>
      <c r="BF38" s="249" t="s">
        <v>134</v>
      </c>
      <c r="BG38" s="52"/>
      <c r="BH38" s="53" t="s">
        <v>197</v>
      </c>
      <c r="BI38" s="251" t="s">
        <v>134</v>
      </c>
      <c r="BJ38" s="55"/>
      <c r="BK38" s="56" t="s">
        <v>134</v>
      </c>
      <c r="BL38" s="249" t="s">
        <v>198</v>
      </c>
      <c r="BM38" s="52"/>
      <c r="BN38" s="53" t="s">
        <v>199</v>
      </c>
    </row>
    <row r="39" customFormat="false" ht="17.25" hidden="false" customHeight="true" outlineLevel="0" collapsed="false">
      <c r="B39" s="239"/>
      <c r="C39" s="87"/>
      <c r="D39" s="253"/>
      <c r="E39" s="46" t="s">
        <v>46</v>
      </c>
      <c r="F39" s="256"/>
      <c r="G39" s="80" t="s">
        <v>130</v>
      </c>
      <c r="H39" s="55"/>
      <c r="I39" s="56" t="s">
        <v>130</v>
      </c>
      <c r="J39" s="51" t="s">
        <v>44</v>
      </c>
      <c r="K39" s="153"/>
      <c r="L39" s="153" t="s">
        <v>44</v>
      </c>
      <c r="M39" s="80" t="s">
        <v>44</v>
      </c>
      <c r="N39" s="55"/>
      <c r="O39" s="152" t="s">
        <v>44</v>
      </c>
      <c r="P39" s="80" t="s">
        <v>44</v>
      </c>
      <c r="Q39" s="55"/>
      <c r="R39" s="56" t="s">
        <v>44</v>
      </c>
      <c r="S39" s="245" t="s">
        <v>132</v>
      </c>
      <c r="T39" s="52"/>
      <c r="U39" s="53" t="s">
        <v>131</v>
      </c>
      <c r="V39" s="246" t="s">
        <v>133</v>
      </c>
      <c r="W39" s="55"/>
      <c r="X39" s="56" t="s">
        <v>166</v>
      </c>
      <c r="Y39" s="249" t="s">
        <v>135</v>
      </c>
      <c r="Z39" s="52"/>
      <c r="AA39" s="59" t="s">
        <v>136</v>
      </c>
      <c r="AB39" s="246" t="s">
        <v>135</v>
      </c>
      <c r="AC39" s="55"/>
      <c r="AD39" s="56" t="s">
        <v>136</v>
      </c>
      <c r="AE39" s="51" t="s">
        <v>190</v>
      </c>
      <c r="AF39" s="52"/>
      <c r="AG39" s="53" t="s">
        <v>191</v>
      </c>
      <c r="AH39" s="80" t="s">
        <v>192</v>
      </c>
      <c r="AI39" s="55"/>
      <c r="AJ39" s="56" t="s">
        <v>193</v>
      </c>
      <c r="AK39" s="255" t="s">
        <v>134</v>
      </c>
      <c r="AL39" s="108"/>
      <c r="AM39" s="184" t="s">
        <v>159</v>
      </c>
      <c r="AN39" s="57" t="s">
        <v>194</v>
      </c>
      <c r="AO39" s="52"/>
      <c r="AP39" s="53" t="s">
        <v>195</v>
      </c>
      <c r="AQ39" s="248" t="s">
        <v>196</v>
      </c>
      <c r="AR39" s="76"/>
      <c r="AS39" s="77" t="s">
        <v>144</v>
      </c>
      <c r="AT39" s="51" t="s">
        <v>145</v>
      </c>
      <c r="AU39" s="52"/>
      <c r="AV39" s="53" t="s">
        <v>146</v>
      </c>
      <c r="AW39" s="80" t="s">
        <v>147</v>
      </c>
      <c r="AX39" s="55"/>
      <c r="AY39" s="56" t="s">
        <v>146</v>
      </c>
      <c r="AZ39" s="51" t="s">
        <v>147</v>
      </c>
      <c r="BA39" s="52"/>
      <c r="BB39" s="53" t="s">
        <v>146</v>
      </c>
      <c r="BC39" s="246" t="s">
        <v>149</v>
      </c>
      <c r="BD39" s="55"/>
      <c r="BE39" s="77" t="s">
        <v>149</v>
      </c>
      <c r="BF39" s="249" t="s">
        <v>134</v>
      </c>
      <c r="BG39" s="52"/>
      <c r="BH39" s="53" t="s">
        <v>197</v>
      </c>
      <c r="BI39" s="251" t="s">
        <v>134</v>
      </c>
      <c r="BJ39" s="55"/>
      <c r="BK39" s="56" t="s">
        <v>134</v>
      </c>
      <c r="BL39" s="249" t="s">
        <v>198</v>
      </c>
      <c r="BM39" s="52"/>
      <c r="BN39" s="53" t="s">
        <v>199</v>
      </c>
    </row>
    <row r="40" customFormat="false" ht="17.25" hidden="false" customHeight="true" outlineLevel="0" collapsed="false">
      <c r="B40" s="239"/>
      <c r="C40" s="87"/>
      <c r="D40" s="253"/>
      <c r="E40" s="46" t="s">
        <v>47</v>
      </c>
      <c r="F40" s="256"/>
      <c r="G40" s="80" t="s">
        <v>130</v>
      </c>
      <c r="H40" s="55"/>
      <c r="I40" s="56" t="s">
        <v>130</v>
      </c>
      <c r="J40" s="51" t="s">
        <v>44</v>
      </c>
      <c r="K40" s="153"/>
      <c r="L40" s="153" t="s">
        <v>44</v>
      </c>
      <c r="M40" s="80" t="s">
        <v>44</v>
      </c>
      <c r="N40" s="55"/>
      <c r="O40" s="152" t="s">
        <v>44</v>
      </c>
      <c r="P40" s="80" t="s">
        <v>44</v>
      </c>
      <c r="Q40" s="55"/>
      <c r="R40" s="56" t="s">
        <v>44</v>
      </c>
      <c r="S40" s="245" t="s">
        <v>132</v>
      </c>
      <c r="T40" s="52"/>
      <c r="U40" s="53" t="s">
        <v>131</v>
      </c>
      <c r="V40" s="246" t="s">
        <v>133</v>
      </c>
      <c r="W40" s="55"/>
      <c r="X40" s="56" t="s">
        <v>166</v>
      </c>
      <c r="Y40" s="249" t="s">
        <v>135</v>
      </c>
      <c r="Z40" s="52"/>
      <c r="AA40" s="59" t="s">
        <v>136</v>
      </c>
      <c r="AB40" s="246" t="s">
        <v>135</v>
      </c>
      <c r="AC40" s="55"/>
      <c r="AD40" s="56" t="s">
        <v>136</v>
      </c>
      <c r="AE40" s="51" t="s">
        <v>190</v>
      </c>
      <c r="AF40" s="52"/>
      <c r="AG40" s="53" t="s">
        <v>191</v>
      </c>
      <c r="AH40" s="80" t="s">
        <v>192</v>
      </c>
      <c r="AI40" s="55"/>
      <c r="AJ40" s="56" t="s">
        <v>193</v>
      </c>
      <c r="AK40" s="255" t="s">
        <v>134</v>
      </c>
      <c r="AL40" s="108"/>
      <c r="AM40" s="184" t="s">
        <v>159</v>
      </c>
      <c r="AN40" s="57" t="s">
        <v>194</v>
      </c>
      <c r="AO40" s="52"/>
      <c r="AP40" s="53" t="s">
        <v>195</v>
      </c>
      <c r="AQ40" s="248" t="s">
        <v>196</v>
      </c>
      <c r="AR40" s="76"/>
      <c r="AS40" s="77" t="s">
        <v>144</v>
      </c>
      <c r="AT40" s="51" t="s">
        <v>145</v>
      </c>
      <c r="AU40" s="52"/>
      <c r="AV40" s="53" t="s">
        <v>146</v>
      </c>
      <c r="AW40" s="80" t="s">
        <v>147</v>
      </c>
      <c r="AX40" s="55"/>
      <c r="AY40" s="56" t="s">
        <v>146</v>
      </c>
      <c r="AZ40" s="51" t="s">
        <v>147</v>
      </c>
      <c r="BA40" s="52"/>
      <c r="BB40" s="53" t="s">
        <v>146</v>
      </c>
      <c r="BC40" s="246" t="s">
        <v>149</v>
      </c>
      <c r="BD40" s="55"/>
      <c r="BE40" s="77" t="s">
        <v>149</v>
      </c>
      <c r="BF40" s="249" t="s">
        <v>134</v>
      </c>
      <c r="BG40" s="52"/>
      <c r="BH40" s="53" t="s">
        <v>197</v>
      </c>
      <c r="BI40" s="251" t="s">
        <v>134</v>
      </c>
      <c r="BJ40" s="55"/>
      <c r="BK40" s="56" t="s">
        <v>134</v>
      </c>
      <c r="BL40" s="249" t="s">
        <v>198</v>
      </c>
      <c r="BM40" s="52"/>
      <c r="BN40" s="53" t="s">
        <v>199</v>
      </c>
    </row>
    <row r="41" customFormat="false" ht="17.25" hidden="false" customHeight="true" outlineLevel="0" collapsed="false">
      <c r="B41" s="239"/>
      <c r="C41" s="87"/>
      <c r="D41" s="82" t="s">
        <v>48</v>
      </c>
      <c r="E41" s="46" t="s">
        <v>43</v>
      </c>
      <c r="F41" s="92"/>
      <c r="G41" s="80" t="s">
        <v>130</v>
      </c>
      <c r="H41" s="55"/>
      <c r="I41" s="56" t="s">
        <v>130</v>
      </c>
      <c r="J41" s="51" t="s">
        <v>44</v>
      </c>
      <c r="K41" s="153"/>
      <c r="L41" s="153" t="s">
        <v>44</v>
      </c>
      <c r="M41" s="80" t="s">
        <v>44</v>
      </c>
      <c r="N41" s="55"/>
      <c r="O41" s="152" t="s">
        <v>44</v>
      </c>
      <c r="P41" s="80" t="s">
        <v>44</v>
      </c>
      <c r="Q41" s="55"/>
      <c r="R41" s="56" t="s">
        <v>44</v>
      </c>
      <c r="S41" s="245" t="s">
        <v>132</v>
      </c>
      <c r="T41" s="52"/>
      <c r="U41" s="53" t="s">
        <v>131</v>
      </c>
      <c r="V41" s="246" t="s">
        <v>133</v>
      </c>
      <c r="W41" s="55"/>
      <c r="X41" s="56" t="s">
        <v>166</v>
      </c>
      <c r="Y41" s="249" t="s">
        <v>135</v>
      </c>
      <c r="Z41" s="52"/>
      <c r="AA41" s="59" t="s">
        <v>136</v>
      </c>
      <c r="AB41" s="246" t="s">
        <v>135</v>
      </c>
      <c r="AC41" s="55"/>
      <c r="AD41" s="56" t="s">
        <v>136</v>
      </c>
      <c r="AE41" s="51" t="s">
        <v>190</v>
      </c>
      <c r="AF41" s="52"/>
      <c r="AG41" s="53" t="s">
        <v>191</v>
      </c>
      <c r="AH41" s="80" t="s">
        <v>200</v>
      </c>
      <c r="AI41" s="55"/>
      <c r="AJ41" s="56" t="s">
        <v>193</v>
      </c>
      <c r="AK41" s="255" t="s">
        <v>134</v>
      </c>
      <c r="AL41" s="108"/>
      <c r="AM41" s="184" t="s">
        <v>159</v>
      </c>
      <c r="AN41" s="57" t="s">
        <v>194</v>
      </c>
      <c r="AO41" s="52"/>
      <c r="AP41" s="53" t="s">
        <v>195</v>
      </c>
      <c r="AQ41" s="248" t="s">
        <v>196</v>
      </c>
      <c r="AR41" s="76"/>
      <c r="AS41" s="77" t="s">
        <v>144</v>
      </c>
      <c r="AT41" s="51" t="s">
        <v>145</v>
      </c>
      <c r="AU41" s="52"/>
      <c r="AV41" s="53" t="s">
        <v>146</v>
      </c>
      <c r="AW41" s="80" t="s">
        <v>147</v>
      </c>
      <c r="AX41" s="55"/>
      <c r="AY41" s="56" t="s">
        <v>146</v>
      </c>
      <c r="AZ41" s="51" t="s">
        <v>147</v>
      </c>
      <c r="BA41" s="52"/>
      <c r="BB41" s="53" t="s">
        <v>146</v>
      </c>
      <c r="BC41" s="246" t="s">
        <v>149</v>
      </c>
      <c r="BD41" s="55"/>
      <c r="BE41" s="77" t="s">
        <v>149</v>
      </c>
      <c r="BF41" s="249" t="s">
        <v>134</v>
      </c>
      <c r="BG41" s="52"/>
      <c r="BH41" s="53" t="s">
        <v>197</v>
      </c>
      <c r="BI41" s="251" t="s">
        <v>134</v>
      </c>
      <c r="BJ41" s="55"/>
      <c r="BK41" s="56" t="s">
        <v>134</v>
      </c>
      <c r="BL41" s="249" t="s">
        <v>198</v>
      </c>
      <c r="BM41" s="52"/>
      <c r="BN41" s="53" t="s">
        <v>199</v>
      </c>
    </row>
    <row r="42" customFormat="false" ht="17.25" hidden="false" customHeight="true" outlineLevel="0" collapsed="false">
      <c r="B42" s="239"/>
      <c r="C42" s="87"/>
      <c r="D42" s="82"/>
      <c r="E42" s="46" t="s">
        <v>45</v>
      </c>
      <c r="F42" s="92"/>
      <c r="G42" s="80" t="s">
        <v>130</v>
      </c>
      <c r="H42" s="55"/>
      <c r="I42" s="56" t="s">
        <v>130</v>
      </c>
      <c r="J42" s="51" t="s">
        <v>44</v>
      </c>
      <c r="K42" s="153"/>
      <c r="L42" s="153" t="s">
        <v>44</v>
      </c>
      <c r="M42" s="80" t="s">
        <v>44</v>
      </c>
      <c r="N42" s="55"/>
      <c r="O42" s="152" t="s">
        <v>44</v>
      </c>
      <c r="P42" s="80" t="s">
        <v>44</v>
      </c>
      <c r="Q42" s="55"/>
      <c r="R42" s="56" t="s">
        <v>44</v>
      </c>
      <c r="S42" s="245" t="s">
        <v>132</v>
      </c>
      <c r="T42" s="52"/>
      <c r="U42" s="53" t="s">
        <v>131</v>
      </c>
      <c r="V42" s="246" t="s">
        <v>133</v>
      </c>
      <c r="W42" s="55"/>
      <c r="X42" s="56" t="s">
        <v>166</v>
      </c>
      <c r="Y42" s="249" t="s">
        <v>135</v>
      </c>
      <c r="Z42" s="52"/>
      <c r="AA42" s="59" t="s">
        <v>136</v>
      </c>
      <c r="AB42" s="246" t="s">
        <v>135</v>
      </c>
      <c r="AC42" s="55"/>
      <c r="AD42" s="56" t="s">
        <v>136</v>
      </c>
      <c r="AE42" s="51" t="s">
        <v>190</v>
      </c>
      <c r="AF42" s="52"/>
      <c r="AG42" s="53" t="s">
        <v>191</v>
      </c>
      <c r="AH42" s="80" t="s">
        <v>200</v>
      </c>
      <c r="AI42" s="55"/>
      <c r="AJ42" s="56" t="s">
        <v>193</v>
      </c>
      <c r="AK42" s="255" t="s">
        <v>134</v>
      </c>
      <c r="AL42" s="108"/>
      <c r="AM42" s="184" t="s">
        <v>159</v>
      </c>
      <c r="AN42" s="57" t="s">
        <v>194</v>
      </c>
      <c r="AO42" s="52"/>
      <c r="AP42" s="53" t="s">
        <v>195</v>
      </c>
      <c r="AQ42" s="248" t="s">
        <v>196</v>
      </c>
      <c r="AR42" s="76"/>
      <c r="AS42" s="77" t="s">
        <v>144</v>
      </c>
      <c r="AT42" s="51" t="s">
        <v>145</v>
      </c>
      <c r="AU42" s="52"/>
      <c r="AV42" s="53" t="s">
        <v>146</v>
      </c>
      <c r="AW42" s="80" t="s">
        <v>147</v>
      </c>
      <c r="AX42" s="55"/>
      <c r="AY42" s="56" t="s">
        <v>146</v>
      </c>
      <c r="AZ42" s="51" t="s">
        <v>147</v>
      </c>
      <c r="BA42" s="52"/>
      <c r="BB42" s="53" t="s">
        <v>146</v>
      </c>
      <c r="BC42" s="246" t="s">
        <v>149</v>
      </c>
      <c r="BD42" s="55"/>
      <c r="BE42" s="77" t="s">
        <v>149</v>
      </c>
      <c r="BF42" s="249" t="s">
        <v>134</v>
      </c>
      <c r="BG42" s="52"/>
      <c r="BH42" s="53" t="s">
        <v>197</v>
      </c>
      <c r="BI42" s="251" t="s">
        <v>134</v>
      </c>
      <c r="BJ42" s="55"/>
      <c r="BK42" s="56" t="s">
        <v>134</v>
      </c>
      <c r="BL42" s="249" t="s">
        <v>198</v>
      </c>
      <c r="BM42" s="52"/>
      <c r="BN42" s="53" t="s">
        <v>199</v>
      </c>
    </row>
    <row r="43" customFormat="false" ht="17.25" hidden="false" customHeight="true" outlineLevel="0" collapsed="false">
      <c r="B43" s="239"/>
      <c r="C43" s="87"/>
      <c r="D43" s="82"/>
      <c r="E43" s="46" t="s">
        <v>46</v>
      </c>
      <c r="F43" s="92"/>
      <c r="G43" s="80" t="s">
        <v>130</v>
      </c>
      <c r="H43" s="55"/>
      <c r="I43" s="56" t="s">
        <v>130</v>
      </c>
      <c r="J43" s="51" t="s">
        <v>44</v>
      </c>
      <c r="K43" s="153"/>
      <c r="L43" s="153" t="s">
        <v>44</v>
      </c>
      <c r="M43" s="80" t="s">
        <v>44</v>
      </c>
      <c r="N43" s="55"/>
      <c r="O43" s="152" t="s">
        <v>44</v>
      </c>
      <c r="P43" s="80" t="s">
        <v>44</v>
      </c>
      <c r="Q43" s="55"/>
      <c r="R43" s="56" t="s">
        <v>44</v>
      </c>
      <c r="S43" s="245" t="s">
        <v>132</v>
      </c>
      <c r="T43" s="52"/>
      <c r="U43" s="53" t="s">
        <v>131</v>
      </c>
      <c r="V43" s="246" t="s">
        <v>133</v>
      </c>
      <c r="W43" s="55"/>
      <c r="X43" s="56" t="s">
        <v>166</v>
      </c>
      <c r="Y43" s="249" t="s">
        <v>135</v>
      </c>
      <c r="Z43" s="52"/>
      <c r="AA43" s="59" t="s">
        <v>136</v>
      </c>
      <c r="AB43" s="246" t="s">
        <v>135</v>
      </c>
      <c r="AC43" s="55"/>
      <c r="AD43" s="56" t="s">
        <v>136</v>
      </c>
      <c r="AE43" s="51" t="s">
        <v>190</v>
      </c>
      <c r="AF43" s="52"/>
      <c r="AG43" s="53" t="s">
        <v>191</v>
      </c>
      <c r="AH43" s="80" t="s">
        <v>200</v>
      </c>
      <c r="AI43" s="55"/>
      <c r="AJ43" s="56" t="s">
        <v>193</v>
      </c>
      <c r="AK43" s="255" t="s">
        <v>134</v>
      </c>
      <c r="AL43" s="108"/>
      <c r="AM43" s="184" t="s">
        <v>159</v>
      </c>
      <c r="AN43" s="57" t="s">
        <v>194</v>
      </c>
      <c r="AO43" s="52"/>
      <c r="AP43" s="53" t="s">
        <v>195</v>
      </c>
      <c r="AQ43" s="248" t="s">
        <v>196</v>
      </c>
      <c r="AR43" s="76"/>
      <c r="AS43" s="77" t="s">
        <v>144</v>
      </c>
      <c r="AT43" s="51" t="s">
        <v>145</v>
      </c>
      <c r="AU43" s="52"/>
      <c r="AV43" s="53" t="s">
        <v>146</v>
      </c>
      <c r="AW43" s="80" t="s">
        <v>147</v>
      </c>
      <c r="AX43" s="55"/>
      <c r="AY43" s="56" t="s">
        <v>146</v>
      </c>
      <c r="AZ43" s="51" t="s">
        <v>147</v>
      </c>
      <c r="BA43" s="52"/>
      <c r="BB43" s="53" t="s">
        <v>146</v>
      </c>
      <c r="BC43" s="246" t="s">
        <v>149</v>
      </c>
      <c r="BD43" s="55"/>
      <c r="BE43" s="77" t="s">
        <v>149</v>
      </c>
      <c r="BF43" s="249" t="s">
        <v>134</v>
      </c>
      <c r="BG43" s="52"/>
      <c r="BH43" s="53" t="s">
        <v>197</v>
      </c>
      <c r="BI43" s="251" t="s">
        <v>134</v>
      </c>
      <c r="BJ43" s="55"/>
      <c r="BK43" s="56" t="s">
        <v>134</v>
      </c>
      <c r="BL43" s="249" t="s">
        <v>198</v>
      </c>
      <c r="BM43" s="52"/>
      <c r="BN43" s="53" t="s">
        <v>199</v>
      </c>
    </row>
    <row r="44" customFormat="false" ht="17.25" hidden="false" customHeight="true" outlineLevel="0" collapsed="false">
      <c r="B44" s="239"/>
      <c r="C44" s="87"/>
      <c r="D44" s="82"/>
      <c r="E44" s="46" t="s">
        <v>47</v>
      </c>
      <c r="F44" s="92"/>
      <c r="G44" s="80" t="s">
        <v>130</v>
      </c>
      <c r="H44" s="55"/>
      <c r="I44" s="56" t="s">
        <v>130</v>
      </c>
      <c r="J44" s="51" t="s">
        <v>44</v>
      </c>
      <c r="K44" s="153"/>
      <c r="L44" s="153" t="s">
        <v>44</v>
      </c>
      <c r="M44" s="80" t="s">
        <v>44</v>
      </c>
      <c r="N44" s="55"/>
      <c r="O44" s="152" t="s">
        <v>44</v>
      </c>
      <c r="P44" s="80" t="s">
        <v>44</v>
      </c>
      <c r="Q44" s="55"/>
      <c r="R44" s="56" t="s">
        <v>44</v>
      </c>
      <c r="S44" s="245" t="s">
        <v>132</v>
      </c>
      <c r="T44" s="52"/>
      <c r="U44" s="53" t="s">
        <v>131</v>
      </c>
      <c r="V44" s="246" t="s">
        <v>133</v>
      </c>
      <c r="W44" s="55"/>
      <c r="X44" s="56" t="s">
        <v>166</v>
      </c>
      <c r="Y44" s="249" t="s">
        <v>135</v>
      </c>
      <c r="Z44" s="52"/>
      <c r="AA44" s="59" t="s">
        <v>136</v>
      </c>
      <c r="AB44" s="246" t="s">
        <v>135</v>
      </c>
      <c r="AC44" s="55"/>
      <c r="AD44" s="56" t="s">
        <v>136</v>
      </c>
      <c r="AE44" s="51" t="s">
        <v>190</v>
      </c>
      <c r="AF44" s="52"/>
      <c r="AG44" s="53" t="s">
        <v>191</v>
      </c>
      <c r="AH44" s="80" t="s">
        <v>200</v>
      </c>
      <c r="AI44" s="55"/>
      <c r="AJ44" s="56" t="s">
        <v>193</v>
      </c>
      <c r="AK44" s="255" t="s">
        <v>134</v>
      </c>
      <c r="AL44" s="108"/>
      <c r="AM44" s="184" t="s">
        <v>159</v>
      </c>
      <c r="AN44" s="57" t="s">
        <v>194</v>
      </c>
      <c r="AO44" s="52"/>
      <c r="AP44" s="53" t="s">
        <v>195</v>
      </c>
      <c r="AQ44" s="248" t="s">
        <v>196</v>
      </c>
      <c r="AR44" s="76"/>
      <c r="AS44" s="77" t="s">
        <v>144</v>
      </c>
      <c r="AT44" s="51" t="s">
        <v>145</v>
      </c>
      <c r="AU44" s="52"/>
      <c r="AV44" s="53" t="s">
        <v>146</v>
      </c>
      <c r="AW44" s="80" t="s">
        <v>147</v>
      </c>
      <c r="AX44" s="55"/>
      <c r="AY44" s="56" t="s">
        <v>146</v>
      </c>
      <c r="AZ44" s="51" t="s">
        <v>147</v>
      </c>
      <c r="BA44" s="52"/>
      <c r="BB44" s="53" t="s">
        <v>146</v>
      </c>
      <c r="BC44" s="246" t="s">
        <v>149</v>
      </c>
      <c r="BD44" s="55"/>
      <c r="BE44" s="77" t="s">
        <v>149</v>
      </c>
      <c r="BF44" s="249" t="s">
        <v>134</v>
      </c>
      <c r="BG44" s="52"/>
      <c r="BH44" s="53" t="s">
        <v>197</v>
      </c>
      <c r="BI44" s="251" t="s">
        <v>134</v>
      </c>
      <c r="BJ44" s="55"/>
      <c r="BK44" s="56" t="s">
        <v>134</v>
      </c>
      <c r="BL44" s="249" t="s">
        <v>198</v>
      </c>
      <c r="BM44" s="52"/>
      <c r="BN44" s="53" t="s">
        <v>199</v>
      </c>
    </row>
    <row r="45" customFormat="false" ht="17.25" hidden="false" customHeight="true" outlineLevel="0" collapsed="false">
      <c r="B45" s="239"/>
      <c r="C45" s="87"/>
      <c r="D45" s="82" t="s">
        <v>49</v>
      </c>
      <c r="E45" s="46" t="s">
        <v>43</v>
      </c>
      <c r="F45" s="92"/>
      <c r="G45" s="80" t="s">
        <v>130</v>
      </c>
      <c r="H45" s="55"/>
      <c r="I45" s="56" t="s">
        <v>130</v>
      </c>
      <c r="J45" s="51" t="s">
        <v>44</v>
      </c>
      <c r="K45" s="153"/>
      <c r="L45" s="153" t="s">
        <v>44</v>
      </c>
      <c r="M45" s="80" t="s">
        <v>44</v>
      </c>
      <c r="N45" s="55"/>
      <c r="O45" s="152" t="s">
        <v>44</v>
      </c>
      <c r="P45" s="80" t="s">
        <v>44</v>
      </c>
      <c r="Q45" s="55"/>
      <c r="R45" s="56" t="s">
        <v>44</v>
      </c>
      <c r="S45" s="245" t="s">
        <v>132</v>
      </c>
      <c r="T45" s="52"/>
      <c r="U45" s="53" t="s">
        <v>131</v>
      </c>
      <c r="V45" s="246" t="s">
        <v>133</v>
      </c>
      <c r="W45" s="55"/>
      <c r="X45" s="56" t="s">
        <v>166</v>
      </c>
      <c r="Y45" s="249" t="s">
        <v>135</v>
      </c>
      <c r="Z45" s="52"/>
      <c r="AA45" s="59" t="s">
        <v>136</v>
      </c>
      <c r="AB45" s="246" t="s">
        <v>135</v>
      </c>
      <c r="AC45" s="55"/>
      <c r="AD45" s="56" t="s">
        <v>136</v>
      </c>
      <c r="AE45" s="51" t="s">
        <v>190</v>
      </c>
      <c r="AF45" s="52"/>
      <c r="AG45" s="53" t="s">
        <v>191</v>
      </c>
      <c r="AH45" s="80" t="s">
        <v>200</v>
      </c>
      <c r="AI45" s="55"/>
      <c r="AJ45" s="56" t="s">
        <v>193</v>
      </c>
      <c r="AK45" s="255" t="s">
        <v>134</v>
      </c>
      <c r="AL45" s="108"/>
      <c r="AM45" s="184" t="s">
        <v>159</v>
      </c>
      <c r="AN45" s="57" t="s">
        <v>194</v>
      </c>
      <c r="AO45" s="52"/>
      <c r="AP45" s="53" t="s">
        <v>195</v>
      </c>
      <c r="AQ45" s="248" t="s">
        <v>196</v>
      </c>
      <c r="AR45" s="76"/>
      <c r="AS45" s="77" t="s">
        <v>144</v>
      </c>
      <c r="AT45" s="51" t="s">
        <v>145</v>
      </c>
      <c r="AU45" s="52"/>
      <c r="AV45" s="53" t="s">
        <v>146</v>
      </c>
      <c r="AW45" s="80" t="s">
        <v>147</v>
      </c>
      <c r="AX45" s="55"/>
      <c r="AY45" s="56" t="s">
        <v>146</v>
      </c>
      <c r="AZ45" s="51" t="s">
        <v>147</v>
      </c>
      <c r="BA45" s="52"/>
      <c r="BB45" s="53" t="s">
        <v>146</v>
      </c>
      <c r="BC45" s="246" t="s">
        <v>149</v>
      </c>
      <c r="BD45" s="55"/>
      <c r="BE45" s="77" t="s">
        <v>149</v>
      </c>
      <c r="BF45" s="249" t="s">
        <v>134</v>
      </c>
      <c r="BG45" s="52"/>
      <c r="BH45" s="53" t="s">
        <v>197</v>
      </c>
      <c r="BI45" s="251" t="s">
        <v>134</v>
      </c>
      <c r="BJ45" s="55"/>
      <c r="BK45" s="56" t="s">
        <v>134</v>
      </c>
      <c r="BL45" s="249" t="s">
        <v>198</v>
      </c>
      <c r="BM45" s="52"/>
      <c r="BN45" s="53" t="s">
        <v>199</v>
      </c>
    </row>
    <row r="46" customFormat="false" ht="17.25" hidden="false" customHeight="true" outlineLevel="0" collapsed="false">
      <c r="B46" s="239"/>
      <c r="C46" s="87"/>
      <c r="D46" s="82"/>
      <c r="E46" s="46" t="s">
        <v>45</v>
      </c>
      <c r="F46" s="92"/>
      <c r="G46" s="80" t="s">
        <v>130</v>
      </c>
      <c r="H46" s="55"/>
      <c r="I46" s="56" t="s">
        <v>130</v>
      </c>
      <c r="J46" s="51" t="s">
        <v>44</v>
      </c>
      <c r="K46" s="153"/>
      <c r="L46" s="153" t="s">
        <v>44</v>
      </c>
      <c r="M46" s="80" t="s">
        <v>44</v>
      </c>
      <c r="N46" s="55"/>
      <c r="O46" s="152" t="s">
        <v>44</v>
      </c>
      <c r="P46" s="80" t="s">
        <v>44</v>
      </c>
      <c r="Q46" s="55"/>
      <c r="R46" s="56" t="s">
        <v>44</v>
      </c>
      <c r="S46" s="245" t="s">
        <v>132</v>
      </c>
      <c r="T46" s="52"/>
      <c r="U46" s="53" t="s">
        <v>131</v>
      </c>
      <c r="V46" s="246" t="s">
        <v>133</v>
      </c>
      <c r="W46" s="55"/>
      <c r="X46" s="56" t="s">
        <v>166</v>
      </c>
      <c r="Y46" s="249" t="s">
        <v>135</v>
      </c>
      <c r="Z46" s="52"/>
      <c r="AA46" s="59" t="s">
        <v>136</v>
      </c>
      <c r="AB46" s="246" t="s">
        <v>135</v>
      </c>
      <c r="AC46" s="55"/>
      <c r="AD46" s="56" t="s">
        <v>136</v>
      </c>
      <c r="AE46" s="51" t="s">
        <v>190</v>
      </c>
      <c r="AF46" s="52"/>
      <c r="AG46" s="53" t="s">
        <v>191</v>
      </c>
      <c r="AH46" s="80" t="s">
        <v>200</v>
      </c>
      <c r="AI46" s="55"/>
      <c r="AJ46" s="56" t="s">
        <v>193</v>
      </c>
      <c r="AK46" s="255" t="s">
        <v>134</v>
      </c>
      <c r="AL46" s="108"/>
      <c r="AM46" s="184" t="s">
        <v>159</v>
      </c>
      <c r="AN46" s="57" t="s">
        <v>194</v>
      </c>
      <c r="AO46" s="52"/>
      <c r="AP46" s="53" t="s">
        <v>195</v>
      </c>
      <c r="AQ46" s="248" t="s">
        <v>196</v>
      </c>
      <c r="AR46" s="76"/>
      <c r="AS46" s="77" t="s">
        <v>144</v>
      </c>
      <c r="AT46" s="51" t="s">
        <v>145</v>
      </c>
      <c r="AU46" s="52"/>
      <c r="AV46" s="53" t="s">
        <v>146</v>
      </c>
      <c r="AW46" s="80" t="s">
        <v>147</v>
      </c>
      <c r="AX46" s="55"/>
      <c r="AY46" s="56" t="s">
        <v>146</v>
      </c>
      <c r="AZ46" s="51" t="s">
        <v>147</v>
      </c>
      <c r="BA46" s="52"/>
      <c r="BB46" s="53" t="s">
        <v>146</v>
      </c>
      <c r="BC46" s="246" t="s">
        <v>149</v>
      </c>
      <c r="BD46" s="55"/>
      <c r="BE46" s="77" t="s">
        <v>149</v>
      </c>
      <c r="BF46" s="249" t="s">
        <v>134</v>
      </c>
      <c r="BG46" s="52"/>
      <c r="BH46" s="53" t="s">
        <v>197</v>
      </c>
      <c r="BI46" s="251" t="s">
        <v>134</v>
      </c>
      <c r="BJ46" s="55"/>
      <c r="BK46" s="56" t="s">
        <v>134</v>
      </c>
      <c r="BL46" s="249" t="s">
        <v>198</v>
      </c>
      <c r="BM46" s="52"/>
      <c r="BN46" s="53" t="s">
        <v>199</v>
      </c>
    </row>
    <row r="47" customFormat="false" ht="17.25" hidden="false" customHeight="true" outlineLevel="0" collapsed="false">
      <c r="B47" s="239"/>
      <c r="C47" s="87"/>
      <c r="D47" s="82"/>
      <c r="E47" s="46" t="s">
        <v>46</v>
      </c>
      <c r="F47" s="92"/>
      <c r="G47" s="80" t="s">
        <v>130</v>
      </c>
      <c r="H47" s="55"/>
      <c r="I47" s="56" t="s">
        <v>130</v>
      </c>
      <c r="J47" s="51" t="s">
        <v>44</v>
      </c>
      <c r="K47" s="153"/>
      <c r="L47" s="153" t="s">
        <v>44</v>
      </c>
      <c r="M47" s="80" t="s">
        <v>44</v>
      </c>
      <c r="N47" s="55"/>
      <c r="O47" s="152" t="s">
        <v>44</v>
      </c>
      <c r="P47" s="80" t="s">
        <v>44</v>
      </c>
      <c r="Q47" s="55"/>
      <c r="R47" s="56" t="s">
        <v>44</v>
      </c>
      <c r="S47" s="245" t="s">
        <v>132</v>
      </c>
      <c r="T47" s="52"/>
      <c r="U47" s="53" t="s">
        <v>131</v>
      </c>
      <c r="V47" s="246" t="s">
        <v>133</v>
      </c>
      <c r="W47" s="55"/>
      <c r="X47" s="56" t="s">
        <v>166</v>
      </c>
      <c r="Y47" s="249" t="s">
        <v>135</v>
      </c>
      <c r="Z47" s="52"/>
      <c r="AA47" s="59" t="s">
        <v>136</v>
      </c>
      <c r="AB47" s="246" t="s">
        <v>135</v>
      </c>
      <c r="AC47" s="55"/>
      <c r="AD47" s="56" t="s">
        <v>136</v>
      </c>
      <c r="AE47" s="51" t="s">
        <v>190</v>
      </c>
      <c r="AF47" s="52"/>
      <c r="AG47" s="53" t="s">
        <v>191</v>
      </c>
      <c r="AH47" s="80" t="s">
        <v>200</v>
      </c>
      <c r="AI47" s="55"/>
      <c r="AJ47" s="56" t="s">
        <v>193</v>
      </c>
      <c r="AK47" s="255" t="s">
        <v>134</v>
      </c>
      <c r="AL47" s="108"/>
      <c r="AM47" s="184" t="s">
        <v>159</v>
      </c>
      <c r="AN47" s="57" t="s">
        <v>194</v>
      </c>
      <c r="AO47" s="52"/>
      <c r="AP47" s="53" t="s">
        <v>195</v>
      </c>
      <c r="AQ47" s="248" t="s">
        <v>196</v>
      </c>
      <c r="AR47" s="76"/>
      <c r="AS47" s="77" t="s">
        <v>144</v>
      </c>
      <c r="AT47" s="51" t="s">
        <v>145</v>
      </c>
      <c r="AU47" s="52"/>
      <c r="AV47" s="53" t="s">
        <v>146</v>
      </c>
      <c r="AW47" s="80" t="s">
        <v>147</v>
      </c>
      <c r="AX47" s="55"/>
      <c r="AY47" s="56" t="s">
        <v>146</v>
      </c>
      <c r="AZ47" s="51" t="s">
        <v>147</v>
      </c>
      <c r="BA47" s="52"/>
      <c r="BB47" s="53" t="s">
        <v>146</v>
      </c>
      <c r="BC47" s="246" t="s">
        <v>149</v>
      </c>
      <c r="BD47" s="55"/>
      <c r="BE47" s="77" t="s">
        <v>149</v>
      </c>
      <c r="BF47" s="249" t="s">
        <v>134</v>
      </c>
      <c r="BG47" s="52"/>
      <c r="BH47" s="53" t="s">
        <v>197</v>
      </c>
      <c r="BI47" s="251" t="s">
        <v>134</v>
      </c>
      <c r="BJ47" s="55"/>
      <c r="BK47" s="56" t="s">
        <v>134</v>
      </c>
      <c r="BL47" s="249" t="s">
        <v>198</v>
      </c>
      <c r="BM47" s="52"/>
      <c r="BN47" s="53" t="s">
        <v>199</v>
      </c>
    </row>
    <row r="48" customFormat="false" ht="17.25" hidden="false" customHeight="true" outlineLevel="0" collapsed="false">
      <c r="B48" s="239"/>
      <c r="C48" s="87"/>
      <c r="D48" s="82"/>
      <c r="E48" s="46" t="s">
        <v>47</v>
      </c>
      <c r="F48" s="92"/>
      <c r="G48" s="80" t="s">
        <v>130</v>
      </c>
      <c r="H48" s="55"/>
      <c r="I48" s="56" t="s">
        <v>130</v>
      </c>
      <c r="J48" s="51" t="s">
        <v>44</v>
      </c>
      <c r="K48" s="153"/>
      <c r="L48" s="153" t="s">
        <v>44</v>
      </c>
      <c r="M48" s="80" t="s">
        <v>44</v>
      </c>
      <c r="N48" s="55"/>
      <c r="O48" s="152" t="s">
        <v>44</v>
      </c>
      <c r="P48" s="80" t="s">
        <v>44</v>
      </c>
      <c r="Q48" s="55"/>
      <c r="R48" s="56" t="s">
        <v>44</v>
      </c>
      <c r="S48" s="245" t="s">
        <v>132</v>
      </c>
      <c r="T48" s="52"/>
      <c r="U48" s="53" t="s">
        <v>131</v>
      </c>
      <c r="V48" s="246" t="s">
        <v>133</v>
      </c>
      <c r="W48" s="55"/>
      <c r="X48" s="56" t="s">
        <v>166</v>
      </c>
      <c r="Y48" s="249" t="s">
        <v>135</v>
      </c>
      <c r="Z48" s="52"/>
      <c r="AA48" s="59" t="s">
        <v>136</v>
      </c>
      <c r="AB48" s="246" t="s">
        <v>135</v>
      </c>
      <c r="AC48" s="55"/>
      <c r="AD48" s="56" t="s">
        <v>136</v>
      </c>
      <c r="AE48" s="51" t="s">
        <v>190</v>
      </c>
      <c r="AF48" s="52"/>
      <c r="AG48" s="53" t="s">
        <v>191</v>
      </c>
      <c r="AH48" s="80" t="s">
        <v>200</v>
      </c>
      <c r="AI48" s="55"/>
      <c r="AJ48" s="56" t="s">
        <v>193</v>
      </c>
      <c r="AK48" s="255" t="s">
        <v>134</v>
      </c>
      <c r="AL48" s="108"/>
      <c r="AM48" s="184" t="s">
        <v>159</v>
      </c>
      <c r="AN48" s="57" t="s">
        <v>194</v>
      </c>
      <c r="AO48" s="52"/>
      <c r="AP48" s="53" t="s">
        <v>195</v>
      </c>
      <c r="AQ48" s="248" t="s">
        <v>196</v>
      </c>
      <c r="AR48" s="76"/>
      <c r="AS48" s="77" t="s">
        <v>144</v>
      </c>
      <c r="AT48" s="51" t="s">
        <v>145</v>
      </c>
      <c r="AU48" s="52"/>
      <c r="AV48" s="53" t="s">
        <v>146</v>
      </c>
      <c r="AW48" s="80" t="s">
        <v>147</v>
      </c>
      <c r="AX48" s="55"/>
      <c r="AY48" s="56" t="s">
        <v>146</v>
      </c>
      <c r="AZ48" s="51" t="s">
        <v>147</v>
      </c>
      <c r="BA48" s="52"/>
      <c r="BB48" s="53" t="s">
        <v>146</v>
      </c>
      <c r="BC48" s="246" t="s">
        <v>149</v>
      </c>
      <c r="BD48" s="55"/>
      <c r="BE48" s="77" t="s">
        <v>149</v>
      </c>
      <c r="BF48" s="249" t="s">
        <v>134</v>
      </c>
      <c r="BG48" s="52"/>
      <c r="BH48" s="53" t="s">
        <v>197</v>
      </c>
      <c r="BI48" s="251" t="s">
        <v>134</v>
      </c>
      <c r="BJ48" s="55"/>
      <c r="BK48" s="56" t="s">
        <v>134</v>
      </c>
      <c r="BL48" s="249" t="s">
        <v>198</v>
      </c>
      <c r="BM48" s="52"/>
      <c r="BN48" s="53" t="s">
        <v>199</v>
      </c>
    </row>
    <row r="49" customFormat="false" ht="17.25" hidden="false" customHeight="true" outlineLevel="0" collapsed="false">
      <c r="B49" s="239"/>
      <c r="C49" s="87" t="s">
        <v>54</v>
      </c>
      <c r="D49" s="82" t="s">
        <v>42</v>
      </c>
      <c r="E49" s="46" t="s">
        <v>43</v>
      </c>
      <c r="F49" s="92"/>
      <c r="G49" s="161" t="s">
        <v>130</v>
      </c>
      <c r="H49" s="101"/>
      <c r="I49" s="97" t="s">
        <v>130</v>
      </c>
      <c r="J49" s="51" t="s">
        <v>44</v>
      </c>
      <c r="K49" s="103"/>
      <c r="L49" s="153" t="s">
        <v>44</v>
      </c>
      <c r="M49" s="80" t="s">
        <v>44</v>
      </c>
      <c r="N49" s="55"/>
      <c r="O49" s="152" t="s">
        <v>44</v>
      </c>
      <c r="P49" s="80" t="s">
        <v>44</v>
      </c>
      <c r="Q49" s="55"/>
      <c r="R49" s="56" t="s">
        <v>44</v>
      </c>
      <c r="S49" s="245" t="s">
        <v>132</v>
      </c>
      <c r="T49" s="52"/>
      <c r="U49" s="53" t="s">
        <v>155</v>
      </c>
      <c r="V49" s="246" t="s">
        <v>133</v>
      </c>
      <c r="W49" s="101"/>
      <c r="X49" s="56" t="s">
        <v>166</v>
      </c>
      <c r="Y49" s="249" t="s">
        <v>135</v>
      </c>
      <c r="Z49" s="95"/>
      <c r="AA49" s="59" t="s">
        <v>201</v>
      </c>
      <c r="AB49" s="257" t="s">
        <v>135</v>
      </c>
      <c r="AC49" s="101"/>
      <c r="AD49" s="97" t="s">
        <v>201</v>
      </c>
      <c r="AE49" s="98" t="s">
        <v>202</v>
      </c>
      <c r="AF49" s="95"/>
      <c r="AG49" s="99" t="s">
        <v>203</v>
      </c>
      <c r="AH49" s="96" t="s">
        <v>192</v>
      </c>
      <c r="AI49" s="101"/>
      <c r="AJ49" s="97" t="s">
        <v>193</v>
      </c>
      <c r="AK49" s="255" t="s">
        <v>181</v>
      </c>
      <c r="AL49" s="168"/>
      <c r="AM49" s="169" t="s">
        <v>204</v>
      </c>
      <c r="AN49" s="57" t="s">
        <v>205</v>
      </c>
      <c r="AO49" s="95"/>
      <c r="AP49" s="53" t="s">
        <v>206</v>
      </c>
      <c r="AQ49" s="248" t="s">
        <v>196</v>
      </c>
      <c r="AR49" s="76"/>
      <c r="AS49" s="77" t="s">
        <v>144</v>
      </c>
      <c r="AT49" s="51" t="s">
        <v>160</v>
      </c>
      <c r="AU49" s="52"/>
      <c r="AV49" s="53" t="s">
        <v>146</v>
      </c>
      <c r="AW49" s="80" t="s">
        <v>160</v>
      </c>
      <c r="AX49" s="55"/>
      <c r="AY49" s="56" t="s">
        <v>147</v>
      </c>
      <c r="AZ49" s="51" t="s">
        <v>161</v>
      </c>
      <c r="BA49" s="52"/>
      <c r="BB49" s="53" t="s">
        <v>147</v>
      </c>
      <c r="BC49" s="246" t="s">
        <v>149</v>
      </c>
      <c r="BD49" s="101"/>
      <c r="BE49" s="77" t="s">
        <v>149</v>
      </c>
      <c r="BF49" s="249" t="s">
        <v>207</v>
      </c>
      <c r="BG49" s="52"/>
      <c r="BH49" s="53" t="s">
        <v>197</v>
      </c>
      <c r="BI49" s="251" t="s">
        <v>208</v>
      </c>
      <c r="BJ49" s="55"/>
      <c r="BK49" s="56" t="s">
        <v>207</v>
      </c>
      <c r="BL49" s="249" t="s">
        <v>207</v>
      </c>
      <c r="BM49" s="52"/>
      <c r="BN49" s="53" t="s">
        <v>199</v>
      </c>
    </row>
    <row r="50" customFormat="false" ht="17.25" hidden="false" customHeight="true" outlineLevel="0" collapsed="false">
      <c r="B50" s="239"/>
      <c r="C50" s="87"/>
      <c r="D50" s="82"/>
      <c r="E50" s="46" t="s">
        <v>45</v>
      </c>
      <c r="F50" s="92"/>
      <c r="G50" s="161" t="s">
        <v>130</v>
      </c>
      <c r="H50" s="101"/>
      <c r="I50" s="97" t="s">
        <v>130</v>
      </c>
      <c r="J50" s="51" t="s">
        <v>44</v>
      </c>
      <c r="K50" s="103"/>
      <c r="L50" s="153" t="s">
        <v>44</v>
      </c>
      <c r="M50" s="80" t="s">
        <v>44</v>
      </c>
      <c r="N50" s="55"/>
      <c r="O50" s="152" t="s">
        <v>44</v>
      </c>
      <c r="P50" s="80" t="s">
        <v>44</v>
      </c>
      <c r="Q50" s="55"/>
      <c r="R50" s="56" t="s">
        <v>44</v>
      </c>
      <c r="S50" s="245" t="s">
        <v>132</v>
      </c>
      <c r="T50" s="52"/>
      <c r="U50" s="53" t="s">
        <v>155</v>
      </c>
      <c r="V50" s="246" t="s">
        <v>133</v>
      </c>
      <c r="W50" s="101"/>
      <c r="X50" s="56" t="s">
        <v>166</v>
      </c>
      <c r="Y50" s="249" t="s">
        <v>135</v>
      </c>
      <c r="Z50" s="95"/>
      <c r="AA50" s="59" t="s">
        <v>201</v>
      </c>
      <c r="AB50" s="257" t="s">
        <v>135</v>
      </c>
      <c r="AC50" s="101"/>
      <c r="AD50" s="97" t="s">
        <v>201</v>
      </c>
      <c r="AE50" s="98" t="s">
        <v>202</v>
      </c>
      <c r="AF50" s="95"/>
      <c r="AG50" s="99" t="s">
        <v>203</v>
      </c>
      <c r="AH50" s="96" t="s">
        <v>192</v>
      </c>
      <c r="AI50" s="101"/>
      <c r="AJ50" s="97" t="s">
        <v>193</v>
      </c>
      <c r="AK50" s="255" t="s">
        <v>181</v>
      </c>
      <c r="AL50" s="168"/>
      <c r="AM50" s="169" t="s">
        <v>204</v>
      </c>
      <c r="AN50" s="57" t="s">
        <v>205</v>
      </c>
      <c r="AO50" s="95"/>
      <c r="AP50" s="53" t="s">
        <v>206</v>
      </c>
      <c r="AQ50" s="248" t="s">
        <v>196</v>
      </c>
      <c r="AR50" s="76"/>
      <c r="AS50" s="77" t="s">
        <v>144</v>
      </c>
      <c r="AT50" s="51" t="s">
        <v>160</v>
      </c>
      <c r="AU50" s="52"/>
      <c r="AV50" s="53" t="s">
        <v>146</v>
      </c>
      <c r="AW50" s="80" t="s">
        <v>160</v>
      </c>
      <c r="AX50" s="55"/>
      <c r="AY50" s="56" t="s">
        <v>147</v>
      </c>
      <c r="AZ50" s="51" t="s">
        <v>161</v>
      </c>
      <c r="BA50" s="52"/>
      <c r="BB50" s="53" t="s">
        <v>147</v>
      </c>
      <c r="BC50" s="246" t="s">
        <v>149</v>
      </c>
      <c r="BD50" s="101"/>
      <c r="BE50" s="77" t="s">
        <v>149</v>
      </c>
      <c r="BF50" s="249" t="s">
        <v>207</v>
      </c>
      <c r="BG50" s="52"/>
      <c r="BH50" s="53" t="s">
        <v>197</v>
      </c>
      <c r="BI50" s="251" t="s">
        <v>208</v>
      </c>
      <c r="BJ50" s="55"/>
      <c r="BK50" s="56" t="s">
        <v>207</v>
      </c>
      <c r="BL50" s="249" t="s">
        <v>207</v>
      </c>
      <c r="BM50" s="52"/>
      <c r="BN50" s="53" t="s">
        <v>199</v>
      </c>
    </row>
    <row r="51" customFormat="false" ht="17.25" hidden="false" customHeight="true" outlineLevel="0" collapsed="false">
      <c r="B51" s="239"/>
      <c r="C51" s="87"/>
      <c r="D51" s="82"/>
      <c r="E51" s="46" t="s">
        <v>46</v>
      </c>
      <c r="F51" s="92"/>
      <c r="G51" s="161" t="s">
        <v>130</v>
      </c>
      <c r="H51" s="101"/>
      <c r="I51" s="97" t="s">
        <v>130</v>
      </c>
      <c r="J51" s="51" t="s">
        <v>44</v>
      </c>
      <c r="K51" s="103"/>
      <c r="L51" s="153" t="s">
        <v>44</v>
      </c>
      <c r="M51" s="80" t="s">
        <v>44</v>
      </c>
      <c r="N51" s="55"/>
      <c r="O51" s="152" t="s">
        <v>44</v>
      </c>
      <c r="P51" s="80" t="s">
        <v>44</v>
      </c>
      <c r="Q51" s="55"/>
      <c r="R51" s="56" t="s">
        <v>44</v>
      </c>
      <c r="S51" s="245" t="s">
        <v>132</v>
      </c>
      <c r="T51" s="52"/>
      <c r="U51" s="53" t="s">
        <v>155</v>
      </c>
      <c r="V51" s="246" t="s">
        <v>133</v>
      </c>
      <c r="W51" s="101"/>
      <c r="X51" s="56" t="s">
        <v>166</v>
      </c>
      <c r="Y51" s="249" t="s">
        <v>135</v>
      </c>
      <c r="Z51" s="95"/>
      <c r="AA51" s="59" t="s">
        <v>201</v>
      </c>
      <c r="AB51" s="257" t="s">
        <v>135</v>
      </c>
      <c r="AC51" s="101"/>
      <c r="AD51" s="97" t="s">
        <v>201</v>
      </c>
      <c r="AE51" s="98" t="s">
        <v>202</v>
      </c>
      <c r="AF51" s="95"/>
      <c r="AG51" s="99" t="s">
        <v>203</v>
      </c>
      <c r="AH51" s="96" t="s">
        <v>192</v>
      </c>
      <c r="AI51" s="101"/>
      <c r="AJ51" s="97" t="s">
        <v>193</v>
      </c>
      <c r="AK51" s="255" t="s">
        <v>181</v>
      </c>
      <c r="AL51" s="168"/>
      <c r="AM51" s="169" t="s">
        <v>204</v>
      </c>
      <c r="AN51" s="57" t="s">
        <v>205</v>
      </c>
      <c r="AO51" s="95"/>
      <c r="AP51" s="53" t="s">
        <v>206</v>
      </c>
      <c r="AQ51" s="248" t="s">
        <v>196</v>
      </c>
      <c r="AR51" s="76"/>
      <c r="AS51" s="77" t="s">
        <v>144</v>
      </c>
      <c r="AT51" s="51" t="s">
        <v>160</v>
      </c>
      <c r="AU51" s="52"/>
      <c r="AV51" s="53" t="s">
        <v>146</v>
      </c>
      <c r="AW51" s="80" t="s">
        <v>160</v>
      </c>
      <c r="AX51" s="55"/>
      <c r="AY51" s="56" t="s">
        <v>147</v>
      </c>
      <c r="AZ51" s="51" t="s">
        <v>161</v>
      </c>
      <c r="BA51" s="52"/>
      <c r="BB51" s="53" t="s">
        <v>147</v>
      </c>
      <c r="BC51" s="246" t="s">
        <v>149</v>
      </c>
      <c r="BD51" s="101"/>
      <c r="BE51" s="77" t="s">
        <v>149</v>
      </c>
      <c r="BF51" s="249" t="s">
        <v>207</v>
      </c>
      <c r="BG51" s="52"/>
      <c r="BH51" s="53" t="s">
        <v>197</v>
      </c>
      <c r="BI51" s="251" t="s">
        <v>208</v>
      </c>
      <c r="BJ51" s="55"/>
      <c r="BK51" s="56" t="s">
        <v>207</v>
      </c>
      <c r="BL51" s="249" t="s">
        <v>207</v>
      </c>
      <c r="BM51" s="52"/>
      <c r="BN51" s="53" t="s">
        <v>199</v>
      </c>
    </row>
    <row r="52" customFormat="false" ht="17.25" hidden="false" customHeight="true" outlineLevel="0" collapsed="false">
      <c r="B52" s="239"/>
      <c r="C52" s="87"/>
      <c r="D52" s="82"/>
      <c r="E52" s="46" t="s">
        <v>47</v>
      </c>
      <c r="F52" s="92"/>
      <c r="G52" s="161" t="s">
        <v>130</v>
      </c>
      <c r="H52" s="101"/>
      <c r="I52" s="97" t="s">
        <v>130</v>
      </c>
      <c r="J52" s="51" t="s">
        <v>44</v>
      </c>
      <c r="K52" s="103"/>
      <c r="L52" s="153" t="s">
        <v>44</v>
      </c>
      <c r="M52" s="80" t="s">
        <v>44</v>
      </c>
      <c r="N52" s="55"/>
      <c r="O52" s="152" t="s">
        <v>44</v>
      </c>
      <c r="P52" s="80" t="s">
        <v>44</v>
      </c>
      <c r="Q52" s="55"/>
      <c r="R52" s="56" t="s">
        <v>44</v>
      </c>
      <c r="S52" s="245" t="s">
        <v>132</v>
      </c>
      <c r="T52" s="52"/>
      <c r="U52" s="53" t="s">
        <v>155</v>
      </c>
      <c r="V52" s="246" t="s">
        <v>133</v>
      </c>
      <c r="W52" s="101"/>
      <c r="X52" s="56" t="s">
        <v>166</v>
      </c>
      <c r="Y52" s="249" t="s">
        <v>135</v>
      </c>
      <c r="Z52" s="95"/>
      <c r="AA52" s="59" t="s">
        <v>201</v>
      </c>
      <c r="AB52" s="257" t="s">
        <v>135</v>
      </c>
      <c r="AC52" s="101"/>
      <c r="AD52" s="97" t="s">
        <v>201</v>
      </c>
      <c r="AE52" s="98" t="s">
        <v>202</v>
      </c>
      <c r="AF52" s="95"/>
      <c r="AG52" s="99" t="s">
        <v>203</v>
      </c>
      <c r="AH52" s="96" t="s">
        <v>192</v>
      </c>
      <c r="AI52" s="101"/>
      <c r="AJ52" s="97" t="s">
        <v>193</v>
      </c>
      <c r="AK52" s="255" t="s">
        <v>181</v>
      </c>
      <c r="AL52" s="168"/>
      <c r="AM52" s="169" t="s">
        <v>204</v>
      </c>
      <c r="AN52" s="57" t="s">
        <v>205</v>
      </c>
      <c r="AO52" s="95"/>
      <c r="AP52" s="53" t="s">
        <v>206</v>
      </c>
      <c r="AQ52" s="248" t="s">
        <v>196</v>
      </c>
      <c r="AR52" s="76"/>
      <c r="AS52" s="77" t="s">
        <v>144</v>
      </c>
      <c r="AT52" s="51" t="s">
        <v>160</v>
      </c>
      <c r="AU52" s="52"/>
      <c r="AV52" s="53" t="s">
        <v>146</v>
      </c>
      <c r="AW52" s="80" t="s">
        <v>160</v>
      </c>
      <c r="AX52" s="55"/>
      <c r="AY52" s="56" t="s">
        <v>147</v>
      </c>
      <c r="AZ52" s="51" t="s">
        <v>161</v>
      </c>
      <c r="BA52" s="52"/>
      <c r="BB52" s="53" t="s">
        <v>147</v>
      </c>
      <c r="BC52" s="246" t="s">
        <v>149</v>
      </c>
      <c r="BD52" s="101"/>
      <c r="BE52" s="77" t="s">
        <v>149</v>
      </c>
      <c r="BF52" s="249" t="s">
        <v>207</v>
      </c>
      <c r="BG52" s="52"/>
      <c r="BH52" s="53" t="s">
        <v>197</v>
      </c>
      <c r="BI52" s="251" t="s">
        <v>208</v>
      </c>
      <c r="BJ52" s="55"/>
      <c r="BK52" s="56" t="s">
        <v>207</v>
      </c>
      <c r="BL52" s="249" t="s">
        <v>207</v>
      </c>
      <c r="BM52" s="52"/>
      <c r="BN52" s="53" t="s">
        <v>199</v>
      </c>
    </row>
    <row r="53" customFormat="false" ht="17.25" hidden="false" customHeight="true" outlineLevel="0" collapsed="false">
      <c r="B53" s="239"/>
      <c r="C53" s="87"/>
      <c r="D53" s="82" t="s">
        <v>48</v>
      </c>
      <c r="E53" s="46" t="s">
        <v>43</v>
      </c>
      <c r="F53" s="92"/>
      <c r="G53" s="161" t="s">
        <v>130</v>
      </c>
      <c r="H53" s="101"/>
      <c r="I53" s="97" t="s">
        <v>130</v>
      </c>
      <c r="J53" s="51" t="s">
        <v>44</v>
      </c>
      <c r="K53" s="103"/>
      <c r="L53" s="153" t="s">
        <v>44</v>
      </c>
      <c r="M53" s="80" t="s">
        <v>44</v>
      </c>
      <c r="N53" s="55"/>
      <c r="O53" s="152" t="s">
        <v>44</v>
      </c>
      <c r="P53" s="80" t="s">
        <v>44</v>
      </c>
      <c r="Q53" s="55"/>
      <c r="R53" s="56" t="s">
        <v>44</v>
      </c>
      <c r="S53" s="245" t="s">
        <v>132</v>
      </c>
      <c r="T53" s="52"/>
      <c r="U53" s="53" t="s">
        <v>155</v>
      </c>
      <c r="V53" s="246" t="s">
        <v>133</v>
      </c>
      <c r="W53" s="101"/>
      <c r="X53" s="56" t="s">
        <v>166</v>
      </c>
      <c r="Y53" s="249" t="s">
        <v>135</v>
      </c>
      <c r="Z53" s="95"/>
      <c r="AA53" s="59" t="s">
        <v>201</v>
      </c>
      <c r="AB53" s="257" t="s">
        <v>135</v>
      </c>
      <c r="AC53" s="101"/>
      <c r="AD53" s="97" t="s">
        <v>201</v>
      </c>
      <c r="AE53" s="98" t="s">
        <v>202</v>
      </c>
      <c r="AF53" s="95"/>
      <c r="AG53" s="99" t="s">
        <v>203</v>
      </c>
      <c r="AH53" s="96" t="s">
        <v>192</v>
      </c>
      <c r="AI53" s="101"/>
      <c r="AJ53" s="97" t="s">
        <v>193</v>
      </c>
      <c r="AK53" s="255" t="s">
        <v>181</v>
      </c>
      <c r="AL53" s="168"/>
      <c r="AM53" s="169" t="s">
        <v>204</v>
      </c>
      <c r="AN53" s="57" t="s">
        <v>205</v>
      </c>
      <c r="AO53" s="95"/>
      <c r="AP53" s="53" t="s">
        <v>206</v>
      </c>
      <c r="AQ53" s="248" t="s">
        <v>196</v>
      </c>
      <c r="AR53" s="76"/>
      <c r="AS53" s="77" t="s">
        <v>144</v>
      </c>
      <c r="AT53" s="51" t="s">
        <v>160</v>
      </c>
      <c r="AU53" s="52"/>
      <c r="AV53" s="53" t="s">
        <v>146</v>
      </c>
      <c r="AW53" s="80" t="s">
        <v>160</v>
      </c>
      <c r="AX53" s="55"/>
      <c r="AY53" s="56" t="s">
        <v>147</v>
      </c>
      <c r="AZ53" s="51" t="s">
        <v>161</v>
      </c>
      <c r="BA53" s="52"/>
      <c r="BB53" s="53" t="s">
        <v>147</v>
      </c>
      <c r="BC53" s="246" t="s">
        <v>149</v>
      </c>
      <c r="BD53" s="101"/>
      <c r="BE53" s="77" t="s">
        <v>149</v>
      </c>
      <c r="BF53" s="249" t="s">
        <v>207</v>
      </c>
      <c r="BG53" s="52"/>
      <c r="BH53" s="53" t="s">
        <v>197</v>
      </c>
      <c r="BI53" s="251" t="s">
        <v>208</v>
      </c>
      <c r="BJ53" s="55"/>
      <c r="BK53" s="56" t="s">
        <v>207</v>
      </c>
      <c r="BL53" s="249" t="s">
        <v>207</v>
      </c>
      <c r="BM53" s="52"/>
      <c r="BN53" s="53" t="s">
        <v>199</v>
      </c>
    </row>
    <row r="54" customFormat="false" ht="17.25" hidden="false" customHeight="true" outlineLevel="0" collapsed="false">
      <c r="B54" s="239"/>
      <c r="C54" s="87"/>
      <c r="D54" s="82"/>
      <c r="E54" s="46" t="s">
        <v>45</v>
      </c>
      <c r="F54" s="92"/>
      <c r="G54" s="161" t="s">
        <v>130</v>
      </c>
      <c r="H54" s="101"/>
      <c r="I54" s="97" t="s">
        <v>130</v>
      </c>
      <c r="J54" s="51" t="s">
        <v>44</v>
      </c>
      <c r="K54" s="103"/>
      <c r="L54" s="153" t="s">
        <v>44</v>
      </c>
      <c r="M54" s="80" t="s">
        <v>44</v>
      </c>
      <c r="N54" s="55"/>
      <c r="O54" s="152" t="s">
        <v>44</v>
      </c>
      <c r="P54" s="80" t="s">
        <v>44</v>
      </c>
      <c r="Q54" s="55"/>
      <c r="R54" s="56" t="s">
        <v>44</v>
      </c>
      <c r="S54" s="245" t="s">
        <v>132</v>
      </c>
      <c r="T54" s="52"/>
      <c r="U54" s="53" t="s">
        <v>155</v>
      </c>
      <c r="V54" s="246" t="s">
        <v>133</v>
      </c>
      <c r="W54" s="101"/>
      <c r="X54" s="56" t="s">
        <v>166</v>
      </c>
      <c r="Y54" s="249" t="s">
        <v>135</v>
      </c>
      <c r="Z54" s="95"/>
      <c r="AA54" s="59" t="s">
        <v>201</v>
      </c>
      <c r="AB54" s="257" t="s">
        <v>135</v>
      </c>
      <c r="AC54" s="101"/>
      <c r="AD54" s="97" t="s">
        <v>201</v>
      </c>
      <c r="AE54" s="98" t="s">
        <v>202</v>
      </c>
      <c r="AF54" s="95"/>
      <c r="AG54" s="99" t="s">
        <v>203</v>
      </c>
      <c r="AH54" s="96" t="s">
        <v>192</v>
      </c>
      <c r="AI54" s="101"/>
      <c r="AJ54" s="97" t="s">
        <v>193</v>
      </c>
      <c r="AK54" s="255" t="s">
        <v>181</v>
      </c>
      <c r="AL54" s="168"/>
      <c r="AM54" s="169" t="s">
        <v>204</v>
      </c>
      <c r="AN54" s="57" t="s">
        <v>205</v>
      </c>
      <c r="AO54" s="95"/>
      <c r="AP54" s="53" t="s">
        <v>206</v>
      </c>
      <c r="AQ54" s="248" t="s">
        <v>196</v>
      </c>
      <c r="AR54" s="76"/>
      <c r="AS54" s="77" t="s">
        <v>144</v>
      </c>
      <c r="AT54" s="51" t="s">
        <v>160</v>
      </c>
      <c r="AU54" s="52"/>
      <c r="AV54" s="53" t="s">
        <v>146</v>
      </c>
      <c r="AW54" s="80" t="s">
        <v>160</v>
      </c>
      <c r="AX54" s="55"/>
      <c r="AY54" s="56" t="s">
        <v>147</v>
      </c>
      <c r="AZ54" s="51" t="s">
        <v>161</v>
      </c>
      <c r="BA54" s="52"/>
      <c r="BB54" s="53" t="s">
        <v>147</v>
      </c>
      <c r="BC54" s="246" t="s">
        <v>149</v>
      </c>
      <c r="BD54" s="101"/>
      <c r="BE54" s="77" t="s">
        <v>149</v>
      </c>
      <c r="BF54" s="249" t="s">
        <v>207</v>
      </c>
      <c r="BG54" s="52"/>
      <c r="BH54" s="53" t="s">
        <v>197</v>
      </c>
      <c r="BI54" s="251" t="s">
        <v>208</v>
      </c>
      <c r="BJ54" s="55"/>
      <c r="BK54" s="56" t="s">
        <v>207</v>
      </c>
      <c r="BL54" s="249" t="s">
        <v>207</v>
      </c>
      <c r="BM54" s="52"/>
      <c r="BN54" s="53" t="s">
        <v>199</v>
      </c>
    </row>
    <row r="55" customFormat="false" ht="17.25" hidden="false" customHeight="true" outlineLevel="0" collapsed="false">
      <c r="B55" s="239"/>
      <c r="C55" s="87"/>
      <c r="D55" s="82"/>
      <c r="E55" s="46" t="s">
        <v>46</v>
      </c>
      <c r="F55" s="92"/>
      <c r="G55" s="161" t="s">
        <v>130</v>
      </c>
      <c r="H55" s="101"/>
      <c r="I55" s="97" t="s">
        <v>130</v>
      </c>
      <c r="J55" s="51" t="s">
        <v>44</v>
      </c>
      <c r="K55" s="103"/>
      <c r="L55" s="153" t="s">
        <v>44</v>
      </c>
      <c r="M55" s="80" t="s">
        <v>44</v>
      </c>
      <c r="N55" s="55"/>
      <c r="O55" s="152" t="s">
        <v>44</v>
      </c>
      <c r="P55" s="80" t="s">
        <v>44</v>
      </c>
      <c r="Q55" s="55"/>
      <c r="R55" s="56" t="s">
        <v>44</v>
      </c>
      <c r="S55" s="245" t="s">
        <v>132</v>
      </c>
      <c r="T55" s="52"/>
      <c r="U55" s="53" t="s">
        <v>155</v>
      </c>
      <c r="V55" s="246" t="s">
        <v>133</v>
      </c>
      <c r="W55" s="101"/>
      <c r="X55" s="56" t="s">
        <v>166</v>
      </c>
      <c r="Y55" s="249" t="s">
        <v>135</v>
      </c>
      <c r="Z55" s="95"/>
      <c r="AA55" s="59" t="s">
        <v>201</v>
      </c>
      <c r="AB55" s="257" t="s">
        <v>135</v>
      </c>
      <c r="AC55" s="101"/>
      <c r="AD55" s="97" t="s">
        <v>201</v>
      </c>
      <c r="AE55" s="98" t="s">
        <v>202</v>
      </c>
      <c r="AF55" s="95"/>
      <c r="AG55" s="99" t="s">
        <v>203</v>
      </c>
      <c r="AH55" s="96" t="s">
        <v>192</v>
      </c>
      <c r="AI55" s="101"/>
      <c r="AJ55" s="97" t="s">
        <v>193</v>
      </c>
      <c r="AK55" s="255" t="s">
        <v>181</v>
      </c>
      <c r="AL55" s="168"/>
      <c r="AM55" s="169" t="s">
        <v>204</v>
      </c>
      <c r="AN55" s="57" t="s">
        <v>205</v>
      </c>
      <c r="AO55" s="95"/>
      <c r="AP55" s="53" t="s">
        <v>206</v>
      </c>
      <c r="AQ55" s="248" t="s">
        <v>196</v>
      </c>
      <c r="AR55" s="76"/>
      <c r="AS55" s="77" t="s">
        <v>144</v>
      </c>
      <c r="AT55" s="51" t="s">
        <v>160</v>
      </c>
      <c r="AU55" s="52"/>
      <c r="AV55" s="53" t="s">
        <v>146</v>
      </c>
      <c r="AW55" s="80" t="s">
        <v>160</v>
      </c>
      <c r="AX55" s="55"/>
      <c r="AY55" s="56" t="s">
        <v>147</v>
      </c>
      <c r="AZ55" s="51" t="s">
        <v>161</v>
      </c>
      <c r="BA55" s="52"/>
      <c r="BB55" s="53" t="s">
        <v>147</v>
      </c>
      <c r="BC55" s="246" t="s">
        <v>149</v>
      </c>
      <c r="BD55" s="101"/>
      <c r="BE55" s="77" t="s">
        <v>149</v>
      </c>
      <c r="BF55" s="249" t="s">
        <v>207</v>
      </c>
      <c r="BG55" s="52"/>
      <c r="BH55" s="53" t="s">
        <v>197</v>
      </c>
      <c r="BI55" s="251" t="s">
        <v>208</v>
      </c>
      <c r="BJ55" s="55"/>
      <c r="BK55" s="56" t="s">
        <v>207</v>
      </c>
      <c r="BL55" s="249" t="s">
        <v>207</v>
      </c>
      <c r="BM55" s="52"/>
      <c r="BN55" s="53" t="s">
        <v>199</v>
      </c>
    </row>
    <row r="56" customFormat="false" ht="17.25" hidden="false" customHeight="true" outlineLevel="0" collapsed="false">
      <c r="B56" s="239"/>
      <c r="C56" s="87"/>
      <c r="D56" s="82"/>
      <c r="E56" s="46" t="s">
        <v>47</v>
      </c>
      <c r="F56" s="92"/>
      <c r="G56" s="161" t="s">
        <v>130</v>
      </c>
      <c r="H56" s="101"/>
      <c r="I56" s="97" t="s">
        <v>130</v>
      </c>
      <c r="J56" s="51" t="s">
        <v>44</v>
      </c>
      <c r="K56" s="103"/>
      <c r="L56" s="153" t="s">
        <v>44</v>
      </c>
      <c r="M56" s="80" t="s">
        <v>44</v>
      </c>
      <c r="N56" s="55"/>
      <c r="O56" s="152" t="s">
        <v>44</v>
      </c>
      <c r="P56" s="80" t="s">
        <v>44</v>
      </c>
      <c r="Q56" s="55"/>
      <c r="R56" s="56" t="s">
        <v>44</v>
      </c>
      <c r="S56" s="245" t="s">
        <v>132</v>
      </c>
      <c r="T56" s="52"/>
      <c r="U56" s="53" t="s">
        <v>155</v>
      </c>
      <c r="V56" s="246" t="s">
        <v>133</v>
      </c>
      <c r="W56" s="101"/>
      <c r="X56" s="56" t="s">
        <v>166</v>
      </c>
      <c r="Y56" s="249" t="s">
        <v>135</v>
      </c>
      <c r="Z56" s="95"/>
      <c r="AA56" s="59" t="s">
        <v>201</v>
      </c>
      <c r="AB56" s="257" t="s">
        <v>135</v>
      </c>
      <c r="AC56" s="101"/>
      <c r="AD56" s="97" t="s">
        <v>201</v>
      </c>
      <c r="AE56" s="98" t="s">
        <v>202</v>
      </c>
      <c r="AF56" s="95"/>
      <c r="AG56" s="99" t="s">
        <v>203</v>
      </c>
      <c r="AH56" s="96" t="s">
        <v>192</v>
      </c>
      <c r="AI56" s="101"/>
      <c r="AJ56" s="97" t="s">
        <v>193</v>
      </c>
      <c r="AK56" s="255" t="s">
        <v>181</v>
      </c>
      <c r="AL56" s="168"/>
      <c r="AM56" s="169" t="s">
        <v>204</v>
      </c>
      <c r="AN56" s="57" t="s">
        <v>205</v>
      </c>
      <c r="AO56" s="95"/>
      <c r="AP56" s="53" t="s">
        <v>206</v>
      </c>
      <c r="AQ56" s="248" t="s">
        <v>196</v>
      </c>
      <c r="AR56" s="76"/>
      <c r="AS56" s="77" t="s">
        <v>144</v>
      </c>
      <c r="AT56" s="51" t="s">
        <v>160</v>
      </c>
      <c r="AU56" s="52"/>
      <c r="AV56" s="53" t="s">
        <v>146</v>
      </c>
      <c r="AW56" s="80" t="s">
        <v>160</v>
      </c>
      <c r="AX56" s="55"/>
      <c r="AY56" s="56" t="s">
        <v>147</v>
      </c>
      <c r="AZ56" s="51" t="s">
        <v>161</v>
      </c>
      <c r="BA56" s="52"/>
      <c r="BB56" s="53" t="s">
        <v>147</v>
      </c>
      <c r="BC56" s="246" t="s">
        <v>149</v>
      </c>
      <c r="BD56" s="101"/>
      <c r="BE56" s="77" t="s">
        <v>149</v>
      </c>
      <c r="BF56" s="249" t="s">
        <v>207</v>
      </c>
      <c r="BG56" s="52"/>
      <c r="BH56" s="53" t="s">
        <v>197</v>
      </c>
      <c r="BI56" s="251" t="s">
        <v>208</v>
      </c>
      <c r="BJ56" s="55"/>
      <c r="BK56" s="56" t="s">
        <v>207</v>
      </c>
      <c r="BL56" s="249" t="s">
        <v>207</v>
      </c>
      <c r="BM56" s="52"/>
      <c r="BN56" s="53" t="s">
        <v>199</v>
      </c>
    </row>
    <row r="57" customFormat="false" ht="17.25" hidden="false" customHeight="true" outlineLevel="0" collapsed="false">
      <c r="B57" s="239"/>
      <c r="C57" s="87"/>
      <c r="D57" s="82" t="s">
        <v>49</v>
      </c>
      <c r="E57" s="46" t="s">
        <v>43</v>
      </c>
      <c r="F57" s="92"/>
      <c r="G57" s="161" t="s">
        <v>130</v>
      </c>
      <c r="H57" s="101"/>
      <c r="I57" s="97" t="s">
        <v>130</v>
      </c>
      <c r="J57" s="51" t="s">
        <v>44</v>
      </c>
      <c r="K57" s="103"/>
      <c r="L57" s="153" t="s">
        <v>44</v>
      </c>
      <c r="M57" s="80" t="s">
        <v>44</v>
      </c>
      <c r="N57" s="55"/>
      <c r="O57" s="152" t="s">
        <v>44</v>
      </c>
      <c r="P57" s="80" t="s">
        <v>44</v>
      </c>
      <c r="Q57" s="55"/>
      <c r="R57" s="56" t="s">
        <v>44</v>
      </c>
      <c r="S57" s="245" t="s">
        <v>132</v>
      </c>
      <c r="T57" s="52"/>
      <c r="U57" s="53" t="s">
        <v>155</v>
      </c>
      <c r="V57" s="246" t="s">
        <v>133</v>
      </c>
      <c r="W57" s="101"/>
      <c r="X57" s="56" t="s">
        <v>166</v>
      </c>
      <c r="Y57" s="249" t="s">
        <v>135</v>
      </c>
      <c r="Z57" s="95"/>
      <c r="AA57" s="59" t="s">
        <v>201</v>
      </c>
      <c r="AB57" s="257" t="s">
        <v>135</v>
      </c>
      <c r="AC57" s="101"/>
      <c r="AD57" s="97" t="s">
        <v>201</v>
      </c>
      <c r="AE57" s="98" t="s">
        <v>202</v>
      </c>
      <c r="AF57" s="95"/>
      <c r="AG57" s="99" t="s">
        <v>203</v>
      </c>
      <c r="AH57" s="96" t="s">
        <v>200</v>
      </c>
      <c r="AI57" s="101"/>
      <c r="AJ57" s="97" t="s">
        <v>193</v>
      </c>
      <c r="AK57" s="255" t="s">
        <v>181</v>
      </c>
      <c r="AL57" s="168"/>
      <c r="AM57" s="169" t="s">
        <v>204</v>
      </c>
      <c r="AN57" s="57" t="s">
        <v>205</v>
      </c>
      <c r="AO57" s="95"/>
      <c r="AP57" s="53" t="s">
        <v>206</v>
      </c>
      <c r="AQ57" s="248" t="s">
        <v>196</v>
      </c>
      <c r="AR57" s="76"/>
      <c r="AS57" s="77" t="s">
        <v>144</v>
      </c>
      <c r="AT57" s="51" t="s">
        <v>160</v>
      </c>
      <c r="AU57" s="52"/>
      <c r="AV57" s="53" t="s">
        <v>146</v>
      </c>
      <c r="AW57" s="80" t="s">
        <v>160</v>
      </c>
      <c r="AX57" s="55"/>
      <c r="AY57" s="56" t="s">
        <v>147</v>
      </c>
      <c r="AZ57" s="51" t="s">
        <v>161</v>
      </c>
      <c r="BA57" s="52"/>
      <c r="BB57" s="53" t="s">
        <v>147</v>
      </c>
      <c r="BC57" s="246" t="s">
        <v>149</v>
      </c>
      <c r="BD57" s="101"/>
      <c r="BE57" s="77" t="s">
        <v>149</v>
      </c>
      <c r="BF57" s="249" t="s">
        <v>207</v>
      </c>
      <c r="BG57" s="52"/>
      <c r="BH57" s="53" t="s">
        <v>197</v>
      </c>
      <c r="BI57" s="251" t="s">
        <v>208</v>
      </c>
      <c r="BJ57" s="55"/>
      <c r="BK57" s="56" t="s">
        <v>207</v>
      </c>
      <c r="BL57" s="249" t="s">
        <v>207</v>
      </c>
      <c r="BM57" s="52"/>
      <c r="BN57" s="53" t="s">
        <v>199</v>
      </c>
    </row>
    <row r="58" customFormat="false" ht="17.25" hidden="false" customHeight="true" outlineLevel="0" collapsed="false">
      <c r="B58" s="239"/>
      <c r="C58" s="87"/>
      <c r="D58" s="82"/>
      <c r="E58" s="46" t="s">
        <v>45</v>
      </c>
      <c r="F58" s="92"/>
      <c r="G58" s="161" t="s">
        <v>130</v>
      </c>
      <c r="H58" s="101"/>
      <c r="I58" s="97" t="s">
        <v>130</v>
      </c>
      <c r="J58" s="51" t="s">
        <v>44</v>
      </c>
      <c r="K58" s="103"/>
      <c r="L58" s="153" t="s">
        <v>44</v>
      </c>
      <c r="M58" s="80" t="s">
        <v>44</v>
      </c>
      <c r="N58" s="55"/>
      <c r="O58" s="152" t="s">
        <v>44</v>
      </c>
      <c r="P58" s="80" t="s">
        <v>44</v>
      </c>
      <c r="Q58" s="55"/>
      <c r="R58" s="56" t="s">
        <v>44</v>
      </c>
      <c r="S58" s="245" t="s">
        <v>132</v>
      </c>
      <c r="T58" s="52"/>
      <c r="U58" s="53" t="s">
        <v>155</v>
      </c>
      <c r="V58" s="246" t="s">
        <v>133</v>
      </c>
      <c r="W58" s="101"/>
      <c r="X58" s="56" t="s">
        <v>166</v>
      </c>
      <c r="Y58" s="249" t="s">
        <v>135</v>
      </c>
      <c r="Z58" s="95"/>
      <c r="AA58" s="59" t="s">
        <v>201</v>
      </c>
      <c r="AB58" s="257" t="s">
        <v>135</v>
      </c>
      <c r="AC58" s="101"/>
      <c r="AD58" s="97" t="s">
        <v>201</v>
      </c>
      <c r="AE58" s="98" t="s">
        <v>202</v>
      </c>
      <c r="AF58" s="95"/>
      <c r="AG58" s="99" t="s">
        <v>203</v>
      </c>
      <c r="AH58" s="96" t="s">
        <v>200</v>
      </c>
      <c r="AI58" s="101"/>
      <c r="AJ58" s="97" t="s">
        <v>193</v>
      </c>
      <c r="AK58" s="255" t="s">
        <v>181</v>
      </c>
      <c r="AL58" s="168"/>
      <c r="AM58" s="169" t="s">
        <v>204</v>
      </c>
      <c r="AN58" s="57" t="s">
        <v>205</v>
      </c>
      <c r="AO58" s="95"/>
      <c r="AP58" s="53" t="s">
        <v>206</v>
      </c>
      <c r="AQ58" s="248" t="s">
        <v>196</v>
      </c>
      <c r="AR58" s="76"/>
      <c r="AS58" s="77" t="s">
        <v>144</v>
      </c>
      <c r="AT58" s="51" t="s">
        <v>160</v>
      </c>
      <c r="AU58" s="52"/>
      <c r="AV58" s="53" t="s">
        <v>146</v>
      </c>
      <c r="AW58" s="80" t="s">
        <v>160</v>
      </c>
      <c r="AX58" s="55"/>
      <c r="AY58" s="56" t="s">
        <v>147</v>
      </c>
      <c r="AZ58" s="51" t="s">
        <v>161</v>
      </c>
      <c r="BA58" s="52"/>
      <c r="BB58" s="53" t="s">
        <v>147</v>
      </c>
      <c r="BC58" s="246" t="s">
        <v>149</v>
      </c>
      <c r="BD58" s="101"/>
      <c r="BE58" s="77" t="s">
        <v>149</v>
      </c>
      <c r="BF58" s="249" t="s">
        <v>207</v>
      </c>
      <c r="BG58" s="52"/>
      <c r="BH58" s="53" t="s">
        <v>197</v>
      </c>
      <c r="BI58" s="251" t="s">
        <v>208</v>
      </c>
      <c r="BJ58" s="55"/>
      <c r="BK58" s="56" t="s">
        <v>207</v>
      </c>
      <c r="BL58" s="249" t="s">
        <v>207</v>
      </c>
      <c r="BM58" s="52"/>
      <c r="BN58" s="53" t="s">
        <v>199</v>
      </c>
    </row>
    <row r="59" customFormat="false" ht="17.25" hidden="false" customHeight="true" outlineLevel="0" collapsed="false">
      <c r="B59" s="239"/>
      <c r="C59" s="87"/>
      <c r="D59" s="82"/>
      <c r="E59" s="46" t="s">
        <v>46</v>
      </c>
      <c r="F59" s="92"/>
      <c r="G59" s="161" t="s">
        <v>130</v>
      </c>
      <c r="H59" s="101"/>
      <c r="I59" s="97" t="s">
        <v>130</v>
      </c>
      <c r="J59" s="51" t="s">
        <v>44</v>
      </c>
      <c r="K59" s="103"/>
      <c r="L59" s="153" t="s">
        <v>44</v>
      </c>
      <c r="M59" s="80" t="s">
        <v>44</v>
      </c>
      <c r="N59" s="55"/>
      <c r="O59" s="152" t="s">
        <v>44</v>
      </c>
      <c r="P59" s="80" t="s">
        <v>44</v>
      </c>
      <c r="Q59" s="55"/>
      <c r="R59" s="56" t="s">
        <v>44</v>
      </c>
      <c r="S59" s="245" t="s">
        <v>132</v>
      </c>
      <c r="T59" s="52"/>
      <c r="U59" s="53" t="s">
        <v>155</v>
      </c>
      <c r="V59" s="246" t="s">
        <v>133</v>
      </c>
      <c r="W59" s="101"/>
      <c r="X59" s="56" t="s">
        <v>166</v>
      </c>
      <c r="Y59" s="249" t="s">
        <v>135</v>
      </c>
      <c r="Z59" s="95"/>
      <c r="AA59" s="59" t="s">
        <v>201</v>
      </c>
      <c r="AB59" s="257" t="s">
        <v>135</v>
      </c>
      <c r="AC59" s="101"/>
      <c r="AD59" s="97" t="s">
        <v>201</v>
      </c>
      <c r="AE59" s="98" t="s">
        <v>202</v>
      </c>
      <c r="AF59" s="95"/>
      <c r="AG59" s="99" t="s">
        <v>203</v>
      </c>
      <c r="AH59" s="96" t="s">
        <v>200</v>
      </c>
      <c r="AI59" s="101"/>
      <c r="AJ59" s="97" t="s">
        <v>193</v>
      </c>
      <c r="AK59" s="255" t="s">
        <v>181</v>
      </c>
      <c r="AL59" s="168"/>
      <c r="AM59" s="169" t="s">
        <v>204</v>
      </c>
      <c r="AN59" s="57" t="s">
        <v>205</v>
      </c>
      <c r="AO59" s="95"/>
      <c r="AP59" s="53" t="s">
        <v>206</v>
      </c>
      <c r="AQ59" s="248" t="s">
        <v>196</v>
      </c>
      <c r="AR59" s="76"/>
      <c r="AS59" s="77" t="s">
        <v>144</v>
      </c>
      <c r="AT59" s="51" t="s">
        <v>160</v>
      </c>
      <c r="AU59" s="52"/>
      <c r="AV59" s="53" t="s">
        <v>146</v>
      </c>
      <c r="AW59" s="80" t="s">
        <v>160</v>
      </c>
      <c r="AX59" s="55"/>
      <c r="AY59" s="56" t="s">
        <v>147</v>
      </c>
      <c r="AZ59" s="51" t="s">
        <v>161</v>
      </c>
      <c r="BA59" s="52"/>
      <c r="BB59" s="53" t="s">
        <v>147</v>
      </c>
      <c r="BC59" s="246" t="s">
        <v>149</v>
      </c>
      <c r="BD59" s="101"/>
      <c r="BE59" s="77" t="s">
        <v>149</v>
      </c>
      <c r="BF59" s="249" t="s">
        <v>207</v>
      </c>
      <c r="BG59" s="52"/>
      <c r="BH59" s="53" t="s">
        <v>197</v>
      </c>
      <c r="BI59" s="251" t="s">
        <v>208</v>
      </c>
      <c r="BJ59" s="55"/>
      <c r="BK59" s="56" t="s">
        <v>207</v>
      </c>
      <c r="BL59" s="249" t="s">
        <v>207</v>
      </c>
      <c r="BM59" s="52"/>
      <c r="BN59" s="53" t="s">
        <v>199</v>
      </c>
    </row>
    <row r="60" customFormat="false" ht="17.25" hidden="false" customHeight="true" outlineLevel="0" collapsed="false">
      <c r="B60" s="239"/>
      <c r="C60" s="87"/>
      <c r="D60" s="82"/>
      <c r="E60" s="46" t="s">
        <v>47</v>
      </c>
      <c r="F60" s="92"/>
      <c r="G60" s="161" t="s">
        <v>130</v>
      </c>
      <c r="H60" s="101"/>
      <c r="I60" s="97" t="s">
        <v>130</v>
      </c>
      <c r="J60" s="51" t="s">
        <v>44</v>
      </c>
      <c r="K60" s="103"/>
      <c r="L60" s="153" t="s">
        <v>44</v>
      </c>
      <c r="M60" s="80" t="s">
        <v>44</v>
      </c>
      <c r="N60" s="55"/>
      <c r="O60" s="152" t="s">
        <v>44</v>
      </c>
      <c r="P60" s="80" t="s">
        <v>44</v>
      </c>
      <c r="Q60" s="55"/>
      <c r="R60" s="56" t="s">
        <v>44</v>
      </c>
      <c r="S60" s="245" t="s">
        <v>132</v>
      </c>
      <c r="T60" s="52"/>
      <c r="U60" s="53" t="s">
        <v>155</v>
      </c>
      <c r="V60" s="246" t="s">
        <v>133</v>
      </c>
      <c r="W60" s="101"/>
      <c r="X60" s="56" t="s">
        <v>166</v>
      </c>
      <c r="Y60" s="249" t="s">
        <v>135</v>
      </c>
      <c r="Z60" s="95"/>
      <c r="AA60" s="59" t="s">
        <v>201</v>
      </c>
      <c r="AB60" s="257" t="s">
        <v>135</v>
      </c>
      <c r="AC60" s="101"/>
      <c r="AD60" s="97" t="s">
        <v>201</v>
      </c>
      <c r="AE60" s="98" t="s">
        <v>202</v>
      </c>
      <c r="AF60" s="95"/>
      <c r="AG60" s="99" t="s">
        <v>203</v>
      </c>
      <c r="AH60" s="96" t="s">
        <v>200</v>
      </c>
      <c r="AI60" s="101"/>
      <c r="AJ60" s="97" t="s">
        <v>193</v>
      </c>
      <c r="AK60" s="255" t="s">
        <v>181</v>
      </c>
      <c r="AL60" s="168"/>
      <c r="AM60" s="169" t="s">
        <v>204</v>
      </c>
      <c r="AN60" s="57" t="s">
        <v>205</v>
      </c>
      <c r="AO60" s="95"/>
      <c r="AP60" s="53" t="s">
        <v>206</v>
      </c>
      <c r="AQ60" s="248" t="s">
        <v>196</v>
      </c>
      <c r="AR60" s="76"/>
      <c r="AS60" s="77" t="s">
        <v>144</v>
      </c>
      <c r="AT60" s="51" t="s">
        <v>160</v>
      </c>
      <c r="AU60" s="52"/>
      <c r="AV60" s="53" t="s">
        <v>146</v>
      </c>
      <c r="AW60" s="80" t="s">
        <v>160</v>
      </c>
      <c r="AX60" s="55"/>
      <c r="AY60" s="56" t="s">
        <v>147</v>
      </c>
      <c r="AZ60" s="51" t="s">
        <v>161</v>
      </c>
      <c r="BA60" s="52"/>
      <c r="BB60" s="53" t="s">
        <v>147</v>
      </c>
      <c r="BC60" s="246" t="s">
        <v>149</v>
      </c>
      <c r="BD60" s="101"/>
      <c r="BE60" s="77" t="s">
        <v>149</v>
      </c>
      <c r="BF60" s="249" t="s">
        <v>207</v>
      </c>
      <c r="BG60" s="52"/>
      <c r="BH60" s="53" t="s">
        <v>197</v>
      </c>
      <c r="BI60" s="251" t="s">
        <v>208</v>
      </c>
      <c r="BJ60" s="55"/>
      <c r="BK60" s="56" t="s">
        <v>207</v>
      </c>
      <c r="BL60" s="249" t="s">
        <v>207</v>
      </c>
      <c r="BM60" s="52"/>
      <c r="BN60" s="53" t="s">
        <v>199</v>
      </c>
    </row>
    <row r="61" customFormat="false" ht="17.25" hidden="false" customHeight="true" outlineLevel="0" collapsed="false">
      <c r="B61" s="239"/>
      <c r="C61" s="87" t="s">
        <v>55</v>
      </c>
      <c r="D61" s="82" t="s">
        <v>42</v>
      </c>
      <c r="E61" s="46" t="s">
        <v>43</v>
      </c>
      <c r="F61" s="92"/>
      <c r="G61" s="161" t="s">
        <v>130</v>
      </c>
      <c r="H61" s="101"/>
      <c r="I61" s="97" t="s">
        <v>130</v>
      </c>
      <c r="J61" s="51" t="s">
        <v>44</v>
      </c>
      <c r="K61" s="103"/>
      <c r="L61" s="153" t="s">
        <v>44</v>
      </c>
      <c r="M61" s="80" t="s">
        <v>44</v>
      </c>
      <c r="N61" s="55"/>
      <c r="O61" s="152" t="s">
        <v>44</v>
      </c>
      <c r="P61" s="80" t="s">
        <v>44</v>
      </c>
      <c r="Q61" s="55"/>
      <c r="R61" s="56" t="s">
        <v>44</v>
      </c>
      <c r="S61" s="245" t="s">
        <v>132</v>
      </c>
      <c r="T61" s="52"/>
      <c r="U61" s="53" t="s">
        <v>155</v>
      </c>
      <c r="V61" s="246" t="s">
        <v>133</v>
      </c>
      <c r="W61" s="101"/>
      <c r="X61" s="56" t="s">
        <v>166</v>
      </c>
      <c r="Y61" s="249" t="s">
        <v>135</v>
      </c>
      <c r="Z61" s="95"/>
      <c r="AA61" s="59" t="s">
        <v>201</v>
      </c>
      <c r="AB61" s="257" t="s">
        <v>135</v>
      </c>
      <c r="AC61" s="101"/>
      <c r="AD61" s="97" t="s">
        <v>201</v>
      </c>
      <c r="AE61" s="98" t="s">
        <v>202</v>
      </c>
      <c r="AF61" s="95"/>
      <c r="AG61" s="99" t="s">
        <v>203</v>
      </c>
      <c r="AH61" s="96" t="s">
        <v>192</v>
      </c>
      <c r="AI61" s="101"/>
      <c r="AJ61" s="97" t="s">
        <v>193</v>
      </c>
      <c r="AK61" s="255" t="s">
        <v>181</v>
      </c>
      <c r="AL61" s="168"/>
      <c r="AM61" s="169" t="s">
        <v>204</v>
      </c>
      <c r="AN61" s="57" t="s">
        <v>205</v>
      </c>
      <c r="AO61" s="95"/>
      <c r="AP61" s="53" t="s">
        <v>206</v>
      </c>
      <c r="AQ61" s="248" t="s">
        <v>196</v>
      </c>
      <c r="AR61" s="76"/>
      <c r="AS61" s="77" t="s">
        <v>144</v>
      </c>
      <c r="AT61" s="51" t="s">
        <v>160</v>
      </c>
      <c r="AU61" s="52"/>
      <c r="AV61" s="53" t="s">
        <v>146</v>
      </c>
      <c r="AW61" s="80" t="s">
        <v>160</v>
      </c>
      <c r="AX61" s="55"/>
      <c r="AY61" s="56" t="s">
        <v>147</v>
      </c>
      <c r="AZ61" s="51" t="s">
        <v>161</v>
      </c>
      <c r="BA61" s="52"/>
      <c r="BB61" s="53" t="s">
        <v>147</v>
      </c>
      <c r="BC61" s="246" t="s">
        <v>149</v>
      </c>
      <c r="BD61" s="101"/>
      <c r="BE61" s="77" t="s">
        <v>149</v>
      </c>
      <c r="BF61" s="249" t="s">
        <v>207</v>
      </c>
      <c r="BG61" s="52"/>
      <c r="BH61" s="53" t="s">
        <v>197</v>
      </c>
      <c r="BI61" s="251" t="s">
        <v>208</v>
      </c>
      <c r="BJ61" s="55"/>
      <c r="BK61" s="56" t="s">
        <v>207</v>
      </c>
      <c r="BL61" s="249" t="s">
        <v>207</v>
      </c>
      <c r="BM61" s="52"/>
      <c r="BN61" s="53" t="s">
        <v>199</v>
      </c>
    </row>
    <row r="62" customFormat="false" ht="17.25" hidden="false" customHeight="true" outlineLevel="0" collapsed="false">
      <c r="B62" s="239"/>
      <c r="C62" s="87"/>
      <c r="D62" s="82"/>
      <c r="E62" s="46" t="s">
        <v>45</v>
      </c>
      <c r="F62" s="92"/>
      <c r="G62" s="161" t="s">
        <v>130</v>
      </c>
      <c r="H62" s="101"/>
      <c r="I62" s="97" t="s">
        <v>130</v>
      </c>
      <c r="J62" s="51" t="s">
        <v>44</v>
      </c>
      <c r="K62" s="103"/>
      <c r="L62" s="153" t="s">
        <v>44</v>
      </c>
      <c r="M62" s="80" t="s">
        <v>44</v>
      </c>
      <c r="N62" s="55"/>
      <c r="O62" s="152" t="s">
        <v>44</v>
      </c>
      <c r="P62" s="80" t="s">
        <v>44</v>
      </c>
      <c r="Q62" s="55"/>
      <c r="R62" s="56" t="s">
        <v>44</v>
      </c>
      <c r="S62" s="245" t="s">
        <v>132</v>
      </c>
      <c r="T62" s="52"/>
      <c r="U62" s="53" t="s">
        <v>155</v>
      </c>
      <c r="V62" s="246" t="s">
        <v>133</v>
      </c>
      <c r="W62" s="101"/>
      <c r="X62" s="56" t="s">
        <v>166</v>
      </c>
      <c r="Y62" s="249" t="s">
        <v>135</v>
      </c>
      <c r="Z62" s="95"/>
      <c r="AA62" s="59" t="s">
        <v>201</v>
      </c>
      <c r="AB62" s="257" t="s">
        <v>135</v>
      </c>
      <c r="AC62" s="101"/>
      <c r="AD62" s="97" t="s">
        <v>201</v>
      </c>
      <c r="AE62" s="98" t="s">
        <v>202</v>
      </c>
      <c r="AF62" s="95"/>
      <c r="AG62" s="99" t="s">
        <v>203</v>
      </c>
      <c r="AH62" s="96" t="s">
        <v>192</v>
      </c>
      <c r="AI62" s="101"/>
      <c r="AJ62" s="97" t="s">
        <v>193</v>
      </c>
      <c r="AK62" s="255" t="s">
        <v>181</v>
      </c>
      <c r="AL62" s="168"/>
      <c r="AM62" s="169" t="s">
        <v>204</v>
      </c>
      <c r="AN62" s="57" t="s">
        <v>205</v>
      </c>
      <c r="AO62" s="95"/>
      <c r="AP62" s="53" t="s">
        <v>206</v>
      </c>
      <c r="AQ62" s="248" t="s">
        <v>196</v>
      </c>
      <c r="AR62" s="76"/>
      <c r="AS62" s="77" t="s">
        <v>144</v>
      </c>
      <c r="AT62" s="51" t="s">
        <v>160</v>
      </c>
      <c r="AU62" s="52"/>
      <c r="AV62" s="53" t="s">
        <v>146</v>
      </c>
      <c r="AW62" s="80" t="s">
        <v>160</v>
      </c>
      <c r="AX62" s="55"/>
      <c r="AY62" s="56" t="s">
        <v>147</v>
      </c>
      <c r="AZ62" s="51" t="s">
        <v>161</v>
      </c>
      <c r="BA62" s="52"/>
      <c r="BB62" s="53" t="s">
        <v>147</v>
      </c>
      <c r="BC62" s="246" t="s">
        <v>149</v>
      </c>
      <c r="BD62" s="101"/>
      <c r="BE62" s="77" t="s">
        <v>149</v>
      </c>
      <c r="BF62" s="249" t="s">
        <v>207</v>
      </c>
      <c r="BG62" s="52"/>
      <c r="BH62" s="53" t="s">
        <v>197</v>
      </c>
      <c r="BI62" s="251" t="s">
        <v>208</v>
      </c>
      <c r="BJ62" s="55"/>
      <c r="BK62" s="56" t="s">
        <v>207</v>
      </c>
      <c r="BL62" s="249" t="s">
        <v>207</v>
      </c>
      <c r="BM62" s="52"/>
      <c r="BN62" s="53" t="s">
        <v>199</v>
      </c>
    </row>
    <row r="63" customFormat="false" ht="17.25" hidden="false" customHeight="true" outlineLevel="0" collapsed="false">
      <c r="B63" s="239"/>
      <c r="C63" s="87"/>
      <c r="D63" s="82"/>
      <c r="E63" s="46" t="s">
        <v>46</v>
      </c>
      <c r="F63" s="92"/>
      <c r="G63" s="161" t="s">
        <v>130</v>
      </c>
      <c r="H63" s="101"/>
      <c r="I63" s="97" t="s">
        <v>130</v>
      </c>
      <c r="J63" s="51" t="s">
        <v>44</v>
      </c>
      <c r="K63" s="103"/>
      <c r="L63" s="153" t="s">
        <v>44</v>
      </c>
      <c r="M63" s="80" t="s">
        <v>44</v>
      </c>
      <c r="N63" s="55"/>
      <c r="O63" s="152" t="s">
        <v>44</v>
      </c>
      <c r="P63" s="80" t="s">
        <v>44</v>
      </c>
      <c r="Q63" s="55"/>
      <c r="R63" s="56" t="s">
        <v>44</v>
      </c>
      <c r="S63" s="245" t="s">
        <v>132</v>
      </c>
      <c r="T63" s="52"/>
      <c r="U63" s="53" t="s">
        <v>155</v>
      </c>
      <c r="V63" s="246" t="s">
        <v>133</v>
      </c>
      <c r="W63" s="101"/>
      <c r="X63" s="56" t="s">
        <v>166</v>
      </c>
      <c r="Y63" s="249" t="s">
        <v>135</v>
      </c>
      <c r="Z63" s="95"/>
      <c r="AA63" s="59" t="s">
        <v>201</v>
      </c>
      <c r="AB63" s="257" t="s">
        <v>135</v>
      </c>
      <c r="AC63" s="101"/>
      <c r="AD63" s="97" t="s">
        <v>201</v>
      </c>
      <c r="AE63" s="98" t="s">
        <v>202</v>
      </c>
      <c r="AF63" s="95"/>
      <c r="AG63" s="99" t="s">
        <v>203</v>
      </c>
      <c r="AH63" s="96" t="s">
        <v>192</v>
      </c>
      <c r="AI63" s="101"/>
      <c r="AJ63" s="97" t="s">
        <v>193</v>
      </c>
      <c r="AK63" s="255" t="s">
        <v>181</v>
      </c>
      <c r="AL63" s="168"/>
      <c r="AM63" s="169" t="s">
        <v>204</v>
      </c>
      <c r="AN63" s="57" t="s">
        <v>205</v>
      </c>
      <c r="AO63" s="95"/>
      <c r="AP63" s="53" t="s">
        <v>206</v>
      </c>
      <c r="AQ63" s="248" t="s">
        <v>196</v>
      </c>
      <c r="AR63" s="76"/>
      <c r="AS63" s="77" t="s">
        <v>144</v>
      </c>
      <c r="AT63" s="51" t="s">
        <v>160</v>
      </c>
      <c r="AU63" s="52"/>
      <c r="AV63" s="53" t="s">
        <v>146</v>
      </c>
      <c r="AW63" s="80" t="s">
        <v>160</v>
      </c>
      <c r="AX63" s="55"/>
      <c r="AY63" s="56" t="s">
        <v>147</v>
      </c>
      <c r="AZ63" s="51" t="s">
        <v>161</v>
      </c>
      <c r="BA63" s="52"/>
      <c r="BB63" s="53" t="s">
        <v>147</v>
      </c>
      <c r="BC63" s="246" t="s">
        <v>149</v>
      </c>
      <c r="BD63" s="101"/>
      <c r="BE63" s="77" t="s">
        <v>149</v>
      </c>
      <c r="BF63" s="249" t="s">
        <v>207</v>
      </c>
      <c r="BG63" s="52"/>
      <c r="BH63" s="53" t="s">
        <v>197</v>
      </c>
      <c r="BI63" s="251" t="s">
        <v>208</v>
      </c>
      <c r="BJ63" s="55"/>
      <c r="BK63" s="56" t="s">
        <v>207</v>
      </c>
      <c r="BL63" s="249" t="s">
        <v>207</v>
      </c>
      <c r="BM63" s="52"/>
      <c r="BN63" s="53" t="s">
        <v>199</v>
      </c>
    </row>
    <row r="64" customFormat="false" ht="17.25" hidden="false" customHeight="true" outlineLevel="0" collapsed="false">
      <c r="B64" s="239"/>
      <c r="C64" s="87"/>
      <c r="D64" s="82"/>
      <c r="E64" s="46" t="s">
        <v>47</v>
      </c>
      <c r="F64" s="92"/>
      <c r="G64" s="161" t="s">
        <v>130</v>
      </c>
      <c r="H64" s="101"/>
      <c r="I64" s="97" t="s">
        <v>130</v>
      </c>
      <c r="J64" s="51" t="s">
        <v>44</v>
      </c>
      <c r="K64" s="103"/>
      <c r="L64" s="153" t="s">
        <v>44</v>
      </c>
      <c r="M64" s="80" t="s">
        <v>44</v>
      </c>
      <c r="N64" s="55"/>
      <c r="O64" s="152" t="s">
        <v>44</v>
      </c>
      <c r="P64" s="80" t="s">
        <v>44</v>
      </c>
      <c r="Q64" s="55"/>
      <c r="R64" s="56" t="s">
        <v>44</v>
      </c>
      <c r="S64" s="245" t="s">
        <v>132</v>
      </c>
      <c r="T64" s="52"/>
      <c r="U64" s="53" t="s">
        <v>155</v>
      </c>
      <c r="V64" s="246" t="s">
        <v>133</v>
      </c>
      <c r="W64" s="101"/>
      <c r="X64" s="56" t="s">
        <v>166</v>
      </c>
      <c r="Y64" s="249" t="s">
        <v>135</v>
      </c>
      <c r="Z64" s="95"/>
      <c r="AA64" s="59" t="s">
        <v>201</v>
      </c>
      <c r="AB64" s="257" t="s">
        <v>135</v>
      </c>
      <c r="AC64" s="101"/>
      <c r="AD64" s="97" t="s">
        <v>201</v>
      </c>
      <c r="AE64" s="98" t="s">
        <v>202</v>
      </c>
      <c r="AF64" s="95"/>
      <c r="AG64" s="99" t="s">
        <v>203</v>
      </c>
      <c r="AH64" s="96" t="s">
        <v>192</v>
      </c>
      <c r="AI64" s="101"/>
      <c r="AJ64" s="97" t="s">
        <v>193</v>
      </c>
      <c r="AK64" s="255" t="s">
        <v>181</v>
      </c>
      <c r="AL64" s="168"/>
      <c r="AM64" s="169" t="s">
        <v>204</v>
      </c>
      <c r="AN64" s="57" t="s">
        <v>205</v>
      </c>
      <c r="AO64" s="95"/>
      <c r="AP64" s="53" t="s">
        <v>206</v>
      </c>
      <c r="AQ64" s="248" t="s">
        <v>196</v>
      </c>
      <c r="AR64" s="76"/>
      <c r="AS64" s="77" t="s">
        <v>144</v>
      </c>
      <c r="AT64" s="51" t="s">
        <v>160</v>
      </c>
      <c r="AU64" s="52"/>
      <c r="AV64" s="53" t="s">
        <v>146</v>
      </c>
      <c r="AW64" s="80" t="s">
        <v>160</v>
      </c>
      <c r="AX64" s="55"/>
      <c r="AY64" s="56" t="s">
        <v>147</v>
      </c>
      <c r="AZ64" s="51" t="s">
        <v>161</v>
      </c>
      <c r="BA64" s="52"/>
      <c r="BB64" s="53" t="s">
        <v>147</v>
      </c>
      <c r="BC64" s="246" t="s">
        <v>149</v>
      </c>
      <c r="BD64" s="101"/>
      <c r="BE64" s="77" t="s">
        <v>149</v>
      </c>
      <c r="BF64" s="249" t="s">
        <v>207</v>
      </c>
      <c r="BG64" s="52"/>
      <c r="BH64" s="53" t="s">
        <v>197</v>
      </c>
      <c r="BI64" s="251" t="s">
        <v>208</v>
      </c>
      <c r="BJ64" s="55"/>
      <c r="BK64" s="56" t="s">
        <v>207</v>
      </c>
      <c r="BL64" s="249" t="s">
        <v>207</v>
      </c>
      <c r="BM64" s="52"/>
      <c r="BN64" s="53" t="s">
        <v>199</v>
      </c>
    </row>
    <row r="65" customFormat="false" ht="17.25" hidden="false" customHeight="true" outlineLevel="0" collapsed="false">
      <c r="B65" s="239"/>
      <c r="C65" s="87"/>
      <c r="D65" s="82" t="s">
        <v>52</v>
      </c>
      <c r="E65" s="46" t="s">
        <v>43</v>
      </c>
      <c r="F65" s="92"/>
      <c r="G65" s="161" t="s">
        <v>130</v>
      </c>
      <c r="H65" s="101"/>
      <c r="I65" s="97" t="s">
        <v>130</v>
      </c>
      <c r="J65" s="51" t="s">
        <v>44</v>
      </c>
      <c r="K65" s="103"/>
      <c r="L65" s="153" t="s">
        <v>44</v>
      </c>
      <c r="M65" s="80" t="s">
        <v>44</v>
      </c>
      <c r="N65" s="55"/>
      <c r="O65" s="152" t="s">
        <v>44</v>
      </c>
      <c r="P65" s="80" t="s">
        <v>44</v>
      </c>
      <c r="Q65" s="55"/>
      <c r="R65" s="56" t="s">
        <v>44</v>
      </c>
      <c r="S65" s="245" t="s">
        <v>132</v>
      </c>
      <c r="T65" s="52"/>
      <c r="U65" s="53" t="s">
        <v>155</v>
      </c>
      <c r="V65" s="246" t="s">
        <v>133</v>
      </c>
      <c r="W65" s="101"/>
      <c r="X65" s="56" t="s">
        <v>166</v>
      </c>
      <c r="Y65" s="249" t="s">
        <v>135</v>
      </c>
      <c r="Z65" s="95"/>
      <c r="AA65" s="59" t="s">
        <v>201</v>
      </c>
      <c r="AB65" s="257" t="s">
        <v>135</v>
      </c>
      <c r="AC65" s="101"/>
      <c r="AD65" s="97" t="s">
        <v>201</v>
      </c>
      <c r="AE65" s="98" t="s">
        <v>202</v>
      </c>
      <c r="AF65" s="95"/>
      <c r="AG65" s="99" t="s">
        <v>203</v>
      </c>
      <c r="AH65" s="96" t="s">
        <v>192</v>
      </c>
      <c r="AI65" s="101"/>
      <c r="AJ65" s="97" t="s">
        <v>193</v>
      </c>
      <c r="AK65" s="255" t="s">
        <v>181</v>
      </c>
      <c r="AL65" s="168"/>
      <c r="AM65" s="169" t="s">
        <v>204</v>
      </c>
      <c r="AN65" s="57" t="s">
        <v>205</v>
      </c>
      <c r="AO65" s="95"/>
      <c r="AP65" s="53" t="s">
        <v>206</v>
      </c>
      <c r="AQ65" s="248" t="s">
        <v>196</v>
      </c>
      <c r="AR65" s="76"/>
      <c r="AS65" s="77" t="s">
        <v>144</v>
      </c>
      <c r="AT65" s="51" t="s">
        <v>160</v>
      </c>
      <c r="AU65" s="52"/>
      <c r="AV65" s="53" t="s">
        <v>146</v>
      </c>
      <c r="AW65" s="80" t="s">
        <v>160</v>
      </c>
      <c r="AX65" s="55"/>
      <c r="AY65" s="56" t="s">
        <v>147</v>
      </c>
      <c r="AZ65" s="51" t="s">
        <v>161</v>
      </c>
      <c r="BA65" s="52"/>
      <c r="BB65" s="53" t="s">
        <v>147</v>
      </c>
      <c r="BC65" s="246" t="s">
        <v>149</v>
      </c>
      <c r="BD65" s="101"/>
      <c r="BE65" s="77" t="s">
        <v>149</v>
      </c>
      <c r="BF65" s="249" t="s">
        <v>207</v>
      </c>
      <c r="BG65" s="52"/>
      <c r="BH65" s="53" t="s">
        <v>197</v>
      </c>
      <c r="BI65" s="251" t="s">
        <v>208</v>
      </c>
      <c r="BJ65" s="55"/>
      <c r="BK65" s="56" t="s">
        <v>207</v>
      </c>
      <c r="BL65" s="249" t="s">
        <v>207</v>
      </c>
      <c r="BM65" s="52"/>
      <c r="BN65" s="53" t="s">
        <v>199</v>
      </c>
    </row>
    <row r="66" customFormat="false" ht="17.25" hidden="false" customHeight="true" outlineLevel="0" collapsed="false">
      <c r="B66" s="239"/>
      <c r="C66" s="87"/>
      <c r="D66" s="82"/>
      <c r="E66" s="46" t="s">
        <v>45</v>
      </c>
      <c r="F66" s="92"/>
      <c r="G66" s="161" t="s">
        <v>130</v>
      </c>
      <c r="H66" s="101"/>
      <c r="I66" s="97" t="s">
        <v>130</v>
      </c>
      <c r="J66" s="51" t="s">
        <v>44</v>
      </c>
      <c r="K66" s="103"/>
      <c r="L66" s="153" t="s">
        <v>44</v>
      </c>
      <c r="M66" s="80" t="s">
        <v>44</v>
      </c>
      <c r="N66" s="55"/>
      <c r="O66" s="152" t="s">
        <v>44</v>
      </c>
      <c r="P66" s="80" t="s">
        <v>44</v>
      </c>
      <c r="Q66" s="55"/>
      <c r="R66" s="56" t="s">
        <v>44</v>
      </c>
      <c r="S66" s="245" t="s">
        <v>132</v>
      </c>
      <c r="T66" s="52"/>
      <c r="U66" s="53" t="s">
        <v>155</v>
      </c>
      <c r="V66" s="246" t="s">
        <v>133</v>
      </c>
      <c r="W66" s="101"/>
      <c r="X66" s="56" t="s">
        <v>166</v>
      </c>
      <c r="Y66" s="249" t="s">
        <v>135</v>
      </c>
      <c r="Z66" s="95"/>
      <c r="AA66" s="59" t="s">
        <v>201</v>
      </c>
      <c r="AB66" s="257" t="s">
        <v>135</v>
      </c>
      <c r="AC66" s="101"/>
      <c r="AD66" s="97" t="s">
        <v>201</v>
      </c>
      <c r="AE66" s="98" t="s">
        <v>202</v>
      </c>
      <c r="AF66" s="95"/>
      <c r="AG66" s="99" t="s">
        <v>203</v>
      </c>
      <c r="AH66" s="96" t="s">
        <v>192</v>
      </c>
      <c r="AI66" s="101"/>
      <c r="AJ66" s="97" t="s">
        <v>193</v>
      </c>
      <c r="AK66" s="255" t="s">
        <v>181</v>
      </c>
      <c r="AL66" s="168"/>
      <c r="AM66" s="169" t="s">
        <v>204</v>
      </c>
      <c r="AN66" s="57" t="s">
        <v>205</v>
      </c>
      <c r="AO66" s="95"/>
      <c r="AP66" s="53" t="s">
        <v>206</v>
      </c>
      <c r="AQ66" s="248" t="s">
        <v>196</v>
      </c>
      <c r="AR66" s="76"/>
      <c r="AS66" s="77" t="s">
        <v>144</v>
      </c>
      <c r="AT66" s="51" t="s">
        <v>160</v>
      </c>
      <c r="AU66" s="52"/>
      <c r="AV66" s="53" t="s">
        <v>146</v>
      </c>
      <c r="AW66" s="80" t="s">
        <v>160</v>
      </c>
      <c r="AX66" s="55"/>
      <c r="AY66" s="56" t="s">
        <v>147</v>
      </c>
      <c r="AZ66" s="51" t="s">
        <v>161</v>
      </c>
      <c r="BA66" s="52"/>
      <c r="BB66" s="53" t="s">
        <v>147</v>
      </c>
      <c r="BC66" s="246" t="s">
        <v>149</v>
      </c>
      <c r="BD66" s="101"/>
      <c r="BE66" s="77" t="s">
        <v>149</v>
      </c>
      <c r="BF66" s="249" t="s">
        <v>207</v>
      </c>
      <c r="BG66" s="52"/>
      <c r="BH66" s="53" t="s">
        <v>197</v>
      </c>
      <c r="BI66" s="251" t="s">
        <v>208</v>
      </c>
      <c r="BJ66" s="55"/>
      <c r="BK66" s="56" t="s">
        <v>207</v>
      </c>
      <c r="BL66" s="249" t="s">
        <v>207</v>
      </c>
      <c r="BM66" s="52"/>
      <c r="BN66" s="53" t="s">
        <v>199</v>
      </c>
    </row>
    <row r="67" customFormat="false" ht="17.25" hidden="false" customHeight="true" outlineLevel="0" collapsed="false">
      <c r="B67" s="239"/>
      <c r="C67" s="87"/>
      <c r="D67" s="82"/>
      <c r="E67" s="46" t="s">
        <v>46</v>
      </c>
      <c r="F67" s="92"/>
      <c r="G67" s="161" t="s">
        <v>130</v>
      </c>
      <c r="H67" s="101"/>
      <c r="I67" s="97" t="s">
        <v>130</v>
      </c>
      <c r="J67" s="51" t="s">
        <v>44</v>
      </c>
      <c r="K67" s="103"/>
      <c r="L67" s="153" t="s">
        <v>44</v>
      </c>
      <c r="M67" s="80" t="s">
        <v>44</v>
      </c>
      <c r="N67" s="55"/>
      <c r="O67" s="152" t="s">
        <v>44</v>
      </c>
      <c r="P67" s="80" t="s">
        <v>44</v>
      </c>
      <c r="Q67" s="55"/>
      <c r="R67" s="56" t="s">
        <v>44</v>
      </c>
      <c r="S67" s="245" t="s">
        <v>132</v>
      </c>
      <c r="T67" s="52"/>
      <c r="U67" s="53" t="s">
        <v>155</v>
      </c>
      <c r="V67" s="246" t="s">
        <v>133</v>
      </c>
      <c r="W67" s="101"/>
      <c r="X67" s="56" t="s">
        <v>166</v>
      </c>
      <c r="Y67" s="249" t="s">
        <v>135</v>
      </c>
      <c r="Z67" s="95"/>
      <c r="AA67" s="59" t="s">
        <v>201</v>
      </c>
      <c r="AB67" s="257" t="s">
        <v>135</v>
      </c>
      <c r="AC67" s="101"/>
      <c r="AD67" s="97" t="s">
        <v>201</v>
      </c>
      <c r="AE67" s="98" t="s">
        <v>202</v>
      </c>
      <c r="AF67" s="95"/>
      <c r="AG67" s="99" t="s">
        <v>203</v>
      </c>
      <c r="AH67" s="96" t="s">
        <v>192</v>
      </c>
      <c r="AI67" s="101"/>
      <c r="AJ67" s="97" t="s">
        <v>193</v>
      </c>
      <c r="AK67" s="255" t="s">
        <v>181</v>
      </c>
      <c r="AL67" s="168"/>
      <c r="AM67" s="169" t="s">
        <v>204</v>
      </c>
      <c r="AN67" s="57" t="s">
        <v>205</v>
      </c>
      <c r="AO67" s="95"/>
      <c r="AP67" s="53" t="s">
        <v>206</v>
      </c>
      <c r="AQ67" s="248" t="s">
        <v>196</v>
      </c>
      <c r="AR67" s="76"/>
      <c r="AS67" s="77" t="s">
        <v>144</v>
      </c>
      <c r="AT67" s="51" t="s">
        <v>160</v>
      </c>
      <c r="AU67" s="52"/>
      <c r="AV67" s="53" t="s">
        <v>146</v>
      </c>
      <c r="AW67" s="80" t="s">
        <v>160</v>
      </c>
      <c r="AX67" s="55"/>
      <c r="AY67" s="56" t="s">
        <v>147</v>
      </c>
      <c r="AZ67" s="51" t="s">
        <v>161</v>
      </c>
      <c r="BA67" s="52"/>
      <c r="BB67" s="53" t="s">
        <v>147</v>
      </c>
      <c r="BC67" s="246" t="s">
        <v>149</v>
      </c>
      <c r="BD67" s="101"/>
      <c r="BE67" s="77" t="s">
        <v>149</v>
      </c>
      <c r="BF67" s="249" t="s">
        <v>207</v>
      </c>
      <c r="BG67" s="52"/>
      <c r="BH67" s="53" t="s">
        <v>197</v>
      </c>
      <c r="BI67" s="251" t="s">
        <v>208</v>
      </c>
      <c r="BJ67" s="55"/>
      <c r="BK67" s="56" t="s">
        <v>207</v>
      </c>
      <c r="BL67" s="249" t="s">
        <v>207</v>
      </c>
      <c r="BM67" s="52"/>
      <c r="BN67" s="53" t="s">
        <v>199</v>
      </c>
    </row>
    <row r="68" customFormat="false" ht="17.25" hidden="false" customHeight="true" outlineLevel="0" collapsed="false">
      <c r="B68" s="239"/>
      <c r="C68" s="87"/>
      <c r="D68" s="82"/>
      <c r="E68" s="46" t="s">
        <v>47</v>
      </c>
      <c r="F68" s="92"/>
      <c r="G68" s="161" t="s">
        <v>130</v>
      </c>
      <c r="H68" s="101"/>
      <c r="I68" s="97" t="s">
        <v>130</v>
      </c>
      <c r="J68" s="51" t="s">
        <v>44</v>
      </c>
      <c r="K68" s="103"/>
      <c r="L68" s="153" t="s">
        <v>44</v>
      </c>
      <c r="M68" s="80" t="s">
        <v>44</v>
      </c>
      <c r="N68" s="55"/>
      <c r="O68" s="152" t="s">
        <v>44</v>
      </c>
      <c r="P68" s="80" t="s">
        <v>44</v>
      </c>
      <c r="Q68" s="55"/>
      <c r="R68" s="56" t="s">
        <v>44</v>
      </c>
      <c r="S68" s="245" t="s">
        <v>132</v>
      </c>
      <c r="T68" s="52"/>
      <c r="U68" s="53" t="s">
        <v>155</v>
      </c>
      <c r="V68" s="246" t="s">
        <v>133</v>
      </c>
      <c r="W68" s="101"/>
      <c r="X68" s="56" t="s">
        <v>166</v>
      </c>
      <c r="Y68" s="249" t="s">
        <v>135</v>
      </c>
      <c r="Z68" s="95"/>
      <c r="AA68" s="59" t="s">
        <v>201</v>
      </c>
      <c r="AB68" s="257" t="s">
        <v>135</v>
      </c>
      <c r="AC68" s="101"/>
      <c r="AD68" s="97" t="s">
        <v>201</v>
      </c>
      <c r="AE68" s="98" t="s">
        <v>202</v>
      </c>
      <c r="AF68" s="95"/>
      <c r="AG68" s="99" t="s">
        <v>203</v>
      </c>
      <c r="AH68" s="96" t="s">
        <v>192</v>
      </c>
      <c r="AI68" s="101"/>
      <c r="AJ68" s="97" t="s">
        <v>193</v>
      </c>
      <c r="AK68" s="255" t="s">
        <v>181</v>
      </c>
      <c r="AL68" s="168"/>
      <c r="AM68" s="169" t="s">
        <v>204</v>
      </c>
      <c r="AN68" s="57" t="s">
        <v>205</v>
      </c>
      <c r="AO68" s="95"/>
      <c r="AP68" s="53" t="s">
        <v>206</v>
      </c>
      <c r="AQ68" s="248" t="s">
        <v>196</v>
      </c>
      <c r="AR68" s="76"/>
      <c r="AS68" s="77" t="s">
        <v>144</v>
      </c>
      <c r="AT68" s="51" t="s">
        <v>160</v>
      </c>
      <c r="AU68" s="52"/>
      <c r="AV68" s="53" t="s">
        <v>146</v>
      </c>
      <c r="AW68" s="80" t="s">
        <v>160</v>
      </c>
      <c r="AX68" s="55"/>
      <c r="AY68" s="56" t="s">
        <v>147</v>
      </c>
      <c r="AZ68" s="51" t="s">
        <v>161</v>
      </c>
      <c r="BA68" s="52"/>
      <c r="BB68" s="53" t="s">
        <v>147</v>
      </c>
      <c r="BC68" s="246" t="s">
        <v>149</v>
      </c>
      <c r="BD68" s="101"/>
      <c r="BE68" s="77" t="s">
        <v>149</v>
      </c>
      <c r="BF68" s="249" t="s">
        <v>207</v>
      </c>
      <c r="BG68" s="52"/>
      <c r="BH68" s="53" t="s">
        <v>197</v>
      </c>
      <c r="BI68" s="251" t="s">
        <v>208</v>
      </c>
      <c r="BJ68" s="55"/>
      <c r="BK68" s="56" t="s">
        <v>207</v>
      </c>
      <c r="BL68" s="249" t="s">
        <v>207</v>
      </c>
      <c r="BM68" s="52"/>
      <c r="BN68" s="53" t="s">
        <v>199</v>
      </c>
    </row>
    <row r="69" customFormat="false" ht="17.25" hidden="false" customHeight="true" outlineLevel="0" collapsed="false">
      <c r="B69" s="239"/>
      <c r="C69" s="88" t="s">
        <v>56</v>
      </c>
      <c r="D69" s="82"/>
      <c r="E69" s="46" t="s">
        <v>43</v>
      </c>
      <c r="F69" s="83"/>
      <c r="G69" s="80" t="s">
        <v>181</v>
      </c>
      <c r="H69" s="55"/>
      <c r="I69" s="56" t="s">
        <v>142</v>
      </c>
      <c r="J69" s="51" t="s">
        <v>44</v>
      </c>
      <c r="K69" s="153"/>
      <c r="L69" s="153" t="s">
        <v>44</v>
      </c>
      <c r="M69" s="80" t="s">
        <v>44</v>
      </c>
      <c r="N69" s="55"/>
      <c r="O69" s="152" t="s">
        <v>44</v>
      </c>
      <c r="P69" s="80" t="s">
        <v>44</v>
      </c>
      <c r="Q69" s="55"/>
      <c r="R69" s="56" t="s">
        <v>44</v>
      </c>
      <c r="S69" s="245" t="s">
        <v>209</v>
      </c>
      <c r="T69" s="52" t="s">
        <v>209</v>
      </c>
      <c r="U69" s="53" t="s">
        <v>209</v>
      </c>
      <c r="V69" s="246" t="s">
        <v>210</v>
      </c>
      <c r="W69" s="55"/>
      <c r="X69" s="56" t="s">
        <v>210</v>
      </c>
      <c r="Y69" s="249" t="s">
        <v>210</v>
      </c>
      <c r="Z69" s="153"/>
      <c r="AA69" s="53" t="s">
        <v>210</v>
      </c>
      <c r="AB69" s="246" t="s">
        <v>210</v>
      </c>
      <c r="AC69" s="55"/>
      <c r="AD69" s="56" t="s">
        <v>210</v>
      </c>
      <c r="AE69" s="51" t="s">
        <v>57</v>
      </c>
      <c r="AF69" s="52"/>
      <c r="AG69" s="53" t="s">
        <v>57</v>
      </c>
      <c r="AH69" s="80" t="s">
        <v>57</v>
      </c>
      <c r="AI69" s="55"/>
      <c r="AJ69" s="56" t="s">
        <v>57</v>
      </c>
      <c r="AK69" s="255" t="s">
        <v>211</v>
      </c>
      <c r="AL69" s="168"/>
      <c r="AM69" s="169" t="s">
        <v>212</v>
      </c>
      <c r="AN69" s="51" t="s">
        <v>213</v>
      </c>
      <c r="AO69" s="52"/>
      <c r="AP69" s="53" t="s">
        <v>142</v>
      </c>
      <c r="AQ69" s="246" t="s">
        <v>210</v>
      </c>
      <c r="AR69" s="55"/>
      <c r="AS69" s="77" t="s">
        <v>204</v>
      </c>
      <c r="AT69" s="51" t="s">
        <v>57</v>
      </c>
      <c r="AU69" s="52"/>
      <c r="AV69" s="53" t="s">
        <v>57</v>
      </c>
      <c r="AW69" s="80" t="s">
        <v>57</v>
      </c>
      <c r="AX69" s="55"/>
      <c r="AY69" s="56" t="s">
        <v>57</v>
      </c>
      <c r="AZ69" s="51" t="s">
        <v>57</v>
      </c>
      <c r="BA69" s="52"/>
      <c r="BB69" s="53" t="s">
        <v>57</v>
      </c>
      <c r="BC69" s="246" t="s">
        <v>57</v>
      </c>
      <c r="BD69" s="55"/>
      <c r="BE69" s="56" t="s">
        <v>57</v>
      </c>
      <c r="BF69" s="258" t="s">
        <v>210</v>
      </c>
      <c r="BG69" s="105"/>
      <c r="BH69" s="106" t="s">
        <v>210</v>
      </c>
      <c r="BI69" s="255" t="s">
        <v>210</v>
      </c>
      <c r="BJ69" s="108"/>
      <c r="BK69" s="89" t="s">
        <v>210</v>
      </c>
      <c r="BL69" s="258" t="s">
        <v>210</v>
      </c>
      <c r="BM69" s="105"/>
      <c r="BN69" s="106" t="s">
        <v>210</v>
      </c>
    </row>
    <row r="70" customFormat="false" ht="17.25" hidden="false" customHeight="true" outlineLevel="0" collapsed="false">
      <c r="B70" s="239"/>
      <c r="C70" s="88"/>
      <c r="D70" s="82"/>
      <c r="E70" s="46" t="s">
        <v>45</v>
      </c>
      <c r="F70" s="83"/>
      <c r="G70" s="80" t="s">
        <v>181</v>
      </c>
      <c r="H70" s="55"/>
      <c r="I70" s="56" t="s">
        <v>142</v>
      </c>
      <c r="J70" s="51" t="s">
        <v>44</v>
      </c>
      <c r="K70" s="153"/>
      <c r="L70" s="153" t="s">
        <v>44</v>
      </c>
      <c r="M70" s="80" t="s">
        <v>44</v>
      </c>
      <c r="N70" s="55"/>
      <c r="O70" s="152" t="s">
        <v>44</v>
      </c>
      <c r="P70" s="80" t="s">
        <v>44</v>
      </c>
      <c r="Q70" s="55"/>
      <c r="R70" s="56" t="s">
        <v>44</v>
      </c>
      <c r="S70" s="245" t="s">
        <v>209</v>
      </c>
      <c r="T70" s="52" t="s">
        <v>209</v>
      </c>
      <c r="U70" s="53" t="s">
        <v>209</v>
      </c>
      <c r="V70" s="246" t="s">
        <v>210</v>
      </c>
      <c r="W70" s="55"/>
      <c r="X70" s="56" t="s">
        <v>210</v>
      </c>
      <c r="Y70" s="249" t="s">
        <v>210</v>
      </c>
      <c r="Z70" s="153"/>
      <c r="AA70" s="53" t="s">
        <v>210</v>
      </c>
      <c r="AB70" s="246" t="s">
        <v>210</v>
      </c>
      <c r="AC70" s="55"/>
      <c r="AD70" s="56" t="s">
        <v>210</v>
      </c>
      <c r="AE70" s="51" t="s">
        <v>57</v>
      </c>
      <c r="AF70" s="52"/>
      <c r="AG70" s="53" t="s">
        <v>57</v>
      </c>
      <c r="AH70" s="80" t="s">
        <v>57</v>
      </c>
      <c r="AI70" s="55"/>
      <c r="AJ70" s="56" t="s">
        <v>57</v>
      </c>
      <c r="AK70" s="255" t="s">
        <v>211</v>
      </c>
      <c r="AL70" s="168"/>
      <c r="AM70" s="169" t="s">
        <v>212</v>
      </c>
      <c r="AN70" s="51" t="s">
        <v>213</v>
      </c>
      <c r="AO70" s="52"/>
      <c r="AP70" s="53" t="s">
        <v>142</v>
      </c>
      <c r="AQ70" s="246" t="s">
        <v>210</v>
      </c>
      <c r="AR70" s="55"/>
      <c r="AS70" s="77" t="s">
        <v>204</v>
      </c>
      <c r="AT70" s="51" t="s">
        <v>57</v>
      </c>
      <c r="AU70" s="52"/>
      <c r="AV70" s="53" t="s">
        <v>57</v>
      </c>
      <c r="AW70" s="80" t="s">
        <v>57</v>
      </c>
      <c r="AX70" s="55"/>
      <c r="AY70" s="56" t="s">
        <v>57</v>
      </c>
      <c r="AZ70" s="51" t="s">
        <v>57</v>
      </c>
      <c r="BA70" s="52"/>
      <c r="BB70" s="53" t="s">
        <v>57</v>
      </c>
      <c r="BC70" s="246" t="s">
        <v>57</v>
      </c>
      <c r="BD70" s="55"/>
      <c r="BE70" s="56" t="s">
        <v>57</v>
      </c>
      <c r="BF70" s="258" t="s">
        <v>210</v>
      </c>
      <c r="BG70" s="105"/>
      <c r="BH70" s="106" t="s">
        <v>210</v>
      </c>
      <c r="BI70" s="255" t="s">
        <v>210</v>
      </c>
      <c r="BJ70" s="108"/>
      <c r="BK70" s="89" t="s">
        <v>210</v>
      </c>
      <c r="BL70" s="258" t="s">
        <v>210</v>
      </c>
      <c r="BM70" s="105"/>
      <c r="BN70" s="106" t="s">
        <v>210</v>
      </c>
    </row>
    <row r="71" customFormat="false" ht="17.25" hidden="false" customHeight="true" outlineLevel="0" collapsed="false">
      <c r="B71" s="239"/>
      <c r="C71" s="88"/>
      <c r="D71" s="82"/>
      <c r="E71" s="46" t="s">
        <v>46</v>
      </c>
      <c r="F71" s="83"/>
      <c r="G71" s="80" t="s">
        <v>181</v>
      </c>
      <c r="H71" s="55"/>
      <c r="I71" s="56" t="s">
        <v>142</v>
      </c>
      <c r="J71" s="51" t="s">
        <v>44</v>
      </c>
      <c r="K71" s="153"/>
      <c r="L71" s="153" t="s">
        <v>44</v>
      </c>
      <c r="M71" s="80" t="s">
        <v>44</v>
      </c>
      <c r="N71" s="55"/>
      <c r="O71" s="152" t="s">
        <v>44</v>
      </c>
      <c r="P71" s="80" t="s">
        <v>44</v>
      </c>
      <c r="Q71" s="55"/>
      <c r="R71" s="56" t="s">
        <v>44</v>
      </c>
      <c r="S71" s="245" t="s">
        <v>209</v>
      </c>
      <c r="T71" s="52" t="s">
        <v>209</v>
      </c>
      <c r="U71" s="53" t="s">
        <v>209</v>
      </c>
      <c r="V71" s="246" t="s">
        <v>210</v>
      </c>
      <c r="W71" s="55"/>
      <c r="X71" s="56" t="s">
        <v>210</v>
      </c>
      <c r="Y71" s="249" t="s">
        <v>210</v>
      </c>
      <c r="Z71" s="153"/>
      <c r="AA71" s="53" t="s">
        <v>210</v>
      </c>
      <c r="AB71" s="246" t="s">
        <v>210</v>
      </c>
      <c r="AC71" s="55"/>
      <c r="AD71" s="56" t="s">
        <v>210</v>
      </c>
      <c r="AE71" s="51" t="s">
        <v>57</v>
      </c>
      <c r="AF71" s="52"/>
      <c r="AG71" s="53" t="s">
        <v>57</v>
      </c>
      <c r="AH71" s="80" t="s">
        <v>57</v>
      </c>
      <c r="AI71" s="55"/>
      <c r="AJ71" s="56" t="s">
        <v>57</v>
      </c>
      <c r="AK71" s="255" t="s">
        <v>211</v>
      </c>
      <c r="AL71" s="168"/>
      <c r="AM71" s="169" t="s">
        <v>212</v>
      </c>
      <c r="AN71" s="51" t="s">
        <v>213</v>
      </c>
      <c r="AO71" s="52"/>
      <c r="AP71" s="53" t="s">
        <v>142</v>
      </c>
      <c r="AQ71" s="246" t="s">
        <v>210</v>
      </c>
      <c r="AR71" s="55"/>
      <c r="AS71" s="77" t="s">
        <v>204</v>
      </c>
      <c r="AT71" s="51" t="s">
        <v>57</v>
      </c>
      <c r="AU71" s="52"/>
      <c r="AV71" s="53" t="s">
        <v>57</v>
      </c>
      <c r="AW71" s="80" t="s">
        <v>57</v>
      </c>
      <c r="AX71" s="55"/>
      <c r="AY71" s="56" t="s">
        <v>57</v>
      </c>
      <c r="AZ71" s="51" t="s">
        <v>57</v>
      </c>
      <c r="BA71" s="52"/>
      <c r="BB71" s="53" t="s">
        <v>57</v>
      </c>
      <c r="BC71" s="246" t="s">
        <v>57</v>
      </c>
      <c r="BD71" s="55"/>
      <c r="BE71" s="56" t="s">
        <v>57</v>
      </c>
      <c r="BF71" s="258" t="s">
        <v>210</v>
      </c>
      <c r="BG71" s="105"/>
      <c r="BH71" s="106" t="s">
        <v>210</v>
      </c>
      <c r="BI71" s="255" t="s">
        <v>210</v>
      </c>
      <c r="BJ71" s="108"/>
      <c r="BK71" s="89" t="s">
        <v>210</v>
      </c>
      <c r="BL71" s="258" t="s">
        <v>210</v>
      </c>
      <c r="BM71" s="105"/>
      <c r="BN71" s="106" t="s">
        <v>210</v>
      </c>
    </row>
    <row r="72" customFormat="false" ht="17.25" hidden="false" customHeight="true" outlineLevel="0" collapsed="false">
      <c r="B72" s="239"/>
      <c r="C72" s="88"/>
      <c r="D72" s="82"/>
      <c r="E72" s="46" t="s">
        <v>47</v>
      </c>
      <c r="F72" s="83"/>
      <c r="G72" s="80" t="s">
        <v>181</v>
      </c>
      <c r="H72" s="55"/>
      <c r="I72" s="56" t="s">
        <v>142</v>
      </c>
      <c r="J72" s="51" t="s">
        <v>44</v>
      </c>
      <c r="K72" s="153"/>
      <c r="L72" s="153" t="s">
        <v>44</v>
      </c>
      <c r="M72" s="80" t="s">
        <v>44</v>
      </c>
      <c r="N72" s="55"/>
      <c r="O72" s="152" t="s">
        <v>44</v>
      </c>
      <c r="P72" s="80" t="s">
        <v>44</v>
      </c>
      <c r="Q72" s="55"/>
      <c r="R72" s="56" t="s">
        <v>44</v>
      </c>
      <c r="S72" s="245" t="s">
        <v>209</v>
      </c>
      <c r="T72" s="52" t="s">
        <v>209</v>
      </c>
      <c r="U72" s="53" t="s">
        <v>209</v>
      </c>
      <c r="V72" s="246" t="s">
        <v>210</v>
      </c>
      <c r="W72" s="55"/>
      <c r="X72" s="56" t="s">
        <v>210</v>
      </c>
      <c r="Y72" s="249" t="s">
        <v>210</v>
      </c>
      <c r="Z72" s="153"/>
      <c r="AA72" s="53" t="s">
        <v>210</v>
      </c>
      <c r="AB72" s="246" t="s">
        <v>210</v>
      </c>
      <c r="AC72" s="55"/>
      <c r="AD72" s="56" t="s">
        <v>210</v>
      </c>
      <c r="AE72" s="51" t="s">
        <v>57</v>
      </c>
      <c r="AF72" s="52"/>
      <c r="AG72" s="53" t="s">
        <v>57</v>
      </c>
      <c r="AH72" s="80" t="s">
        <v>57</v>
      </c>
      <c r="AI72" s="55"/>
      <c r="AJ72" s="56" t="s">
        <v>57</v>
      </c>
      <c r="AK72" s="255" t="s">
        <v>211</v>
      </c>
      <c r="AL72" s="168"/>
      <c r="AM72" s="169" t="s">
        <v>212</v>
      </c>
      <c r="AN72" s="51" t="s">
        <v>213</v>
      </c>
      <c r="AO72" s="52"/>
      <c r="AP72" s="53" t="s">
        <v>142</v>
      </c>
      <c r="AQ72" s="246" t="s">
        <v>210</v>
      </c>
      <c r="AR72" s="55"/>
      <c r="AS72" s="77" t="s">
        <v>204</v>
      </c>
      <c r="AT72" s="51" t="s">
        <v>57</v>
      </c>
      <c r="AU72" s="52"/>
      <c r="AV72" s="53" t="s">
        <v>57</v>
      </c>
      <c r="AW72" s="80" t="s">
        <v>57</v>
      </c>
      <c r="AX72" s="55"/>
      <c r="AY72" s="56" t="s">
        <v>57</v>
      </c>
      <c r="AZ72" s="51" t="s">
        <v>57</v>
      </c>
      <c r="BA72" s="52"/>
      <c r="BB72" s="53" t="s">
        <v>57</v>
      </c>
      <c r="BC72" s="246" t="s">
        <v>57</v>
      </c>
      <c r="BD72" s="55"/>
      <c r="BE72" s="56" t="s">
        <v>57</v>
      </c>
      <c r="BF72" s="258" t="s">
        <v>210</v>
      </c>
      <c r="BG72" s="105"/>
      <c r="BH72" s="106" t="s">
        <v>210</v>
      </c>
      <c r="BI72" s="255" t="s">
        <v>210</v>
      </c>
      <c r="BJ72" s="108"/>
      <c r="BK72" s="89" t="s">
        <v>210</v>
      </c>
      <c r="BL72" s="258" t="s">
        <v>210</v>
      </c>
      <c r="BM72" s="105"/>
      <c r="BN72" s="106" t="s">
        <v>210</v>
      </c>
    </row>
    <row r="73" customFormat="false" ht="17.25" hidden="false" customHeight="true" outlineLevel="0" collapsed="false">
      <c r="B73" s="239"/>
      <c r="C73" s="87" t="s">
        <v>59</v>
      </c>
      <c r="D73" s="111"/>
      <c r="E73" s="46" t="s">
        <v>43</v>
      </c>
      <c r="F73" s="112"/>
      <c r="G73" s="80" t="s">
        <v>44</v>
      </c>
      <c r="H73" s="55"/>
      <c r="I73" s="54" t="s">
        <v>44</v>
      </c>
      <c r="J73" s="51" t="s">
        <v>214</v>
      </c>
      <c r="K73" s="153"/>
      <c r="L73" s="153" t="s">
        <v>214</v>
      </c>
      <c r="M73" s="80" t="s">
        <v>214</v>
      </c>
      <c r="N73" s="55"/>
      <c r="O73" s="152" t="s">
        <v>214</v>
      </c>
      <c r="P73" s="80" t="s">
        <v>214</v>
      </c>
      <c r="Q73" s="55"/>
      <c r="R73" s="56" t="s">
        <v>214</v>
      </c>
      <c r="S73" s="245" t="s">
        <v>215</v>
      </c>
      <c r="T73" s="52"/>
      <c r="U73" s="53" t="s">
        <v>216</v>
      </c>
      <c r="V73" s="246" t="s">
        <v>217</v>
      </c>
      <c r="W73" s="101"/>
      <c r="X73" s="80" t="s">
        <v>217</v>
      </c>
      <c r="Y73" s="249" t="s">
        <v>218</v>
      </c>
      <c r="Z73" s="52"/>
      <c r="AA73" s="51" t="s">
        <v>218</v>
      </c>
      <c r="AB73" s="246" t="s">
        <v>218</v>
      </c>
      <c r="AC73" s="55"/>
      <c r="AD73" s="80" t="s">
        <v>218</v>
      </c>
      <c r="AE73" s="51" t="s">
        <v>57</v>
      </c>
      <c r="AF73" s="52"/>
      <c r="AG73" s="53" t="s">
        <v>57</v>
      </c>
      <c r="AH73" s="80" t="s">
        <v>57</v>
      </c>
      <c r="AI73" s="55"/>
      <c r="AJ73" s="56" t="s">
        <v>57</v>
      </c>
      <c r="AK73" s="255" t="s">
        <v>219</v>
      </c>
      <c r="AL73" s="108"/>
      <c r="AM73" s="89" t="s">
        <v>220</v>
      </c>
      <c r="AN73" s="249" t="s">
        <v>220</v>
      </c>
      <c r="AO73" s="52"/>
      <c r="AP73" s="53" t="s">
        <v>219</v>
      </c>
      <c r="AQ73" s="246" t="s">
        <v>57</v>
      </c>
      <c r="AR73" s="55"/>
      <c r="AS73" s="56" t="s">
        <v>57</v>
      </c>
      <c r="AT73" s="51" t="s">
        <v>57</v>
      </c>
      <c r="AU73" s="52"/>
      <c r="AV73" s="53" t="s">
        <v>57</v>
      </c>
      <c r="AW73" s="80" t="s">
        <v>57</v>
      </c>
      <c r="AX73" s="55"/>
      <c r="AY73" s="56" t="s">
        <v>57</v>
      </c>
      <c r="AZ73" s="51" t="s">
        <v>57</v>
      </c>
      <c r="BA73" s="52"/>
      <c r="BB73" s="53" t="s">
        <v>57</v>
      </c>
      <c r="BC73" s="246" t="s">
        <v>57</v>
      </c>
      <c r="BD73" s="55"/>
      <c r="BE73" s="56" t="s">
        <v>57</v>
      </c>
      <c r="BF73" s="258"/>
      <c r="BG73" s="105"/>
      <c r="BH73" s="106"/>
      <c r="BI73" s="255"/>
      <c r="BJ73" s="108"/>
      <c r="BK73" s="89"/>
      <c r="BL73" s="258"/>
      <c r="BM73" s="105"/>
      <c r="BN73" s="106"/>
    </row>
    <row r="74" customFormat="false" ht="17.25" hidden="false" customHeight="true" outlineLevel="0" collapsed="false">
      <c r="B74" s="239"/>
      <c r="C74" s="87"/>
      <c r="D74" s="111"/>
      <c r="E74" s="46" t="s">
        <v>45</v>
      </c>
      <c r="F74" s="113"/>
      <c r="G74" s="96" t="s">
        <v>44</v>
      </c>
      <c r="H74" s="101"/>
      <c r="I74" s="161" t="s">
        <v>44</v>
      </c>
      <c r="J74" s="51" t="s">
        <v>214</v>
      </c>
      <c r="K74" s="103"/>
      <c r="L74" s="153" t="s">
        <v>214</v>
      </c>
      <c r="M74" s="80" t="s">
        <v>214</v>
      </c>
      <c r="N74" s="55"/>
      <c r="O74" s="152" t="s">
        <v>214</v>
      </c>
      <c r="P74" s="80" t="s">
        <v>214</v>
      </c>
      <c r="Q74" s="55"/>
      <c r="R74" s="56" t="s">
        <v>214</v>
      </c>
      <c r="S74" s="245" t="s">
        <v>215</v>
      </c>
      <c r="T74" s="52"/>
      <c r="U74" s="53" t="s">
        <v>216</v>
      </c>
      <c r="V74" s="246" t="s">
        <v>217</v>
      </c>
      <c r="W74" s="101"/>
      <c r="X74" s="80" t="s">
        <v>217</v>
      </c>
      <c r="Y74" s="249" t="s">
        <v>218</v>
      </c>
      <c r="Z74" s="95"/>
      <c r="AA74" s="51" t="s">
        <v>218</v>
      </c>
      <c r="AB74" s="246" t="s">
        <v>218</v>
      </c>
      <c r="AC74" s="101"/>
      <c r="AD74" s="80" t="s">
        <v>218</v>
      </c>
      <c r="AE74" s="98" t="s">
        <v>57</v>
      </c>
      <c r="AF74" s="95"/>
      <c r="AG74" s="99" t="s">
        <v>57</v>
      </c>
      <c r="AH74" s="96" t="s">
        <v>57</v>
      </c>
      <c r="AI74" s="101"/>
      <c r="AJ74" s="97" t="s">
        <v>57</v>
      </c>
      <c r="AK74" s="255" t="s">
        <v>219</v>
      </c>
      <c r="AL74" s="168"/>
      <c r="AM74" s="89" t="s">
        <v>220</v>
      </c>
      <c r="AN74" s="249" t="s">
        <v>220</v>
      </c>
      <c r="AO74" s="95"/>
      <c r="AP74" s="53" t="s">
        <v>219</v>
      </c>
      <c r="AQ74" s="246" t="s">
        <v>57</v>
      </c>
      <c r="AR74" s="101"/>
      <c r="AS74" s="56" t="s">
        <v>57</v>
      </c>
      <c r="AT74" s="51" t="s">
        <v>57</v>
      </c>
      <c r="AU74" s="52"/>
      <c r="AV74" s="53" t="s">
        <v>57</v>
      </c>
      <c r="AW74" s="80" t="s">
        <v>57</v>
      </c>
      <c r="AX74" s="55"/>
      <c r="AY74" s="56" t="s">
        <v>57</v>
      </c>
      <c r="AZ74" s="51" t="s">
        <v>57</v>
      </c>
      <c r="BA74" s="52"/>
      <c r="BB74" s="53" t="s">
        <v>57</v>
      </c>
      <c r="BC74" s="257" t="s">
        <v>57</v>
      </c>
      <c r="BD74" s="101"/>
      <c r="BE74" s="97" t="s">
        <v>57</v>
      </c>
      <c r="BF74" s="258"/>
      <c r="BG74" s="105"/>
      <c r="BH74" s="106"/>
      <c r="BI74" s="255"/>
      <c r="BJ74" s="108"/>
      <c r="BK74" s="89"/>
      <c r="BL74" s="258"/>
      <c r="BM74" s="105"/>
      <c r="BN74" s="106"/>
    </row>
    <row r="75" customFormat="false" ht="17.25" hidden="false" customHeight="true" outlineLevel="0" collapsed="false">
      <c r="B75" s="239"/>
      <c r="C75" s="87"/>
      <c r="D75" s="111"/>
      <c r="E75" s="46" t="s">
        <v>46</v>
      </c>
      <c r="F75" s="113"/>
      <c r="G75" s="80" t="s">
        <v>44</v>
      </c>
      <c r="H75" s="101"/>
      <c r="I75" s="54" t="s">
        <v>44</v>
      </c>
      <c r="J75" s="51" t="s">
        <v>214</v>
      </c>
      <c r="K75" s="103"/>
      <c r="L75" s="153" t="s">
        <v>214</v>
      </c>
      <c r="M75" s="80" t="s">
        <v>214</v>
      </c>
      <c r="N75" s="55"/>
      <c r="O75" s="152" t="s">
        <v>214</v>
      </c>
      <c r="P75" s="80" t="s">
        <v>214</v>
      </c>
      <c r="Q75" s="55"/>
      <c r="R75" s="56" t="s">
        <v>214</v>
      </c>
      <c r="S75" s="245" t="s">
        <v>215</v>
      </c>
      <c r="T75" s="52"/>
      <c r="U75" s="53" t="s">
        <v>216</v>
      </c>
      <c r="V75" s="246" t="s">
        <v>217</v>
      </c>
      <c r="W75" s="101"/>
      <c r="X75" s="80" t="s">
        <v>217</v>
      </c>
      <c r="Y75" s="249" t="s">
        <v>218</v>
      </c>
      <c r="Z75" s="95"/>
      <c r="AA75" s="51" t="s">
        <v>218</v>
      </c>
      <c r="AB75" s="246" t="s">
        <v>218</v>
      </c>
      <c r="AC75" s="101"/>
      <c r="AD75" s="80" t="s">
        <v>218</v>
      </c>
      <c r="AE75" s="98" t="s">
        <v>57</v>
      </c>
      <c r="AF75" s="95"/>
      <c r="AG75" s="99" t="s">
        <v>57</v>
      </c>
      <c r="AH75" s="96" t="s">
        <v>57</v>
      </c>
      <c r="AI75" s="101"/>
      <c r="AJ75" s="97" t="s">
        <v>57</v>
      </c>
      <c r="AK75" s="255" t="s">
        <v>219</v>
      </c>
      <c r="AL75" s="168"/>
      <c r="AM75" s="89" t="s">
        <v>220</v>
      </c>
      <c r="AN75" s="249" t="s">
        <v>220</v>
      </c>
      <c r="AO75" s="95"/>
      <c r="AP75" s="53" t="s">
        <v>219</v>
      </c>
      <c r="AQ75" s="246" t="s">
        <v>57</v>
      </c>
      <c r="AR75" s="101"/>
      <c r="AS75" s="56" t="s">
        <v>57</v>
      </c>
      <c r="AT75" s="51" t="s">
        <v>57</v>
      </c>
      <c r="AU75" s="52"/>
      <c r="AV75" s="53" t="s">
        <v>57</v>
      </c>
      <c r="AW75" s="80" t="s">
        <v>57</v>
      </c>
      <c r="AX75" s="55"/>
      <c r="AY75" s="56" t="s">
        <v>57</v>
      </c>
      <c r="AZ75" s="51" t="s">
        <v>57</v>
      </c>
      <c r="BA75" s="52"/>
      <c r="BB75" s="53" t="s">
        <v>57</v>
      </c>
      <c r="BC75" s="257" t="s">
        <v>57</v>
      </c>
      <c r="BD75" s="101"/>
      <c r="BE75" s="97" t="s">
        <v>57</v>
      </c>
      <c r="BF75" s="258"/>
      <c r="BG75" s="105"/>
      <c r="BH75" s="106"/>
      <c r="BI75" s="255"/>
      <c r="BJ75" s="108"/>
      <c r="BK75" s="89"/>
      <c r="BL75" s="258"/>
      <c r="BM75" s="105"/>
      <c r="BN75" s="106"/>
    </row>
    <row r="76" customFormat="false" ht="17.25" hidden="false" customHeight="true" outlineLevel="0" collapsed="false">
      <c r="B76" s="239"/>
      <c r="C76" s="87"/>
      <c r="D76" s="111"/>
      <c r="E76" s="46" t="s">
        <v>47</v>
      </c>
      <c r="F76" s="113"/>
      <c r="G76" s="96" t="s">
        <v>44</v>
      </c>
      <c r="H76" s="101"/>
      <c r="I76" s="161" t="s">
        <v>44</v>
      </c>
      <c r="J76" s="51" t="s">
        <v>214</v>
      </c>
      <c r="K76" s="103"/>
      <c r="L76" s="153" t="s">
        <v>214</v>
      </c>
      <c r="M76" s="80" t="s">
        <v>214</v>
      </c>
      <c r="N76" s="55"/>
      <c r="O76" s="152" t="s">
        <v>214</v>
      </c>
      <c r="P76" s="80" t="s">
        <v>214</v>
      </c>
      <c r="Q76" s="55"/>
      <c r="R76" s="56" t="s">
        <v>214</v>
      </c>
      <c r="S76" s="245" t="s">
        <v>215</v>
      </c>
      <c r="T76" s="52"/>
      <c r="U76" s="53" t="s">
        <v>216</v>
      </c>
      <c r="V76" s="246" t="s">
        <v>217</v>
      </c>
      <c r="W76" s="101"/>
      <c r="X76" s="80" t="s">
        <v>217</v>
      </c>
      <c r="Y76" s="249" t="s">
        <v>218</v>
      </c>
      <c r="Z76" s="95"/>
      <c r="AA76" s="51" t="s">
        <v>218</v>
      </c>
      <c r="AB76" s="246" t="s">
        <v>218</v>
      </c>
      <c r="AC76" s="101"/>
      <c r="AD76" s="80" t="s">
        <v>218</v>
      </c>
      <c r="AE76" s="98" t="s">
        <v>57</v>
      </c>
      <c r="AF76" s="95"/>
      <c r="AG76" s="99" t="s">
        <v>57</v>
      </c>
      <c r="AH76" s="96" t="s">
        <v>57</v>
      </c>
      <c r="AI76" s="101"/>
      <c r="AJ76" s="97" t="s">
        <v>57</v>
      </c>
      <c r="AK76" s="255" t="s">
        <v>219</v>
      </c>
      <c r="AL76" s="168"/>
      <c r="AM76" s="89" t="s">
        <v>220</v>
      </c>
      <c r="AN76" s="249" t="s">
        <v>220</v>
      </c>
      <c r="AO76" s="95"/>
      <c r="AP76" s="53" t="s">
        <v>219</v>
      </c>
      <c r="AQ76" s="246" t="s">
        <v>57</v>
      </c>
      <c r="AR76" s="101"/>
      <c r="AS76" s="56" t="s">
        <v>57</v>
      </c>
      <c r="AT76" s="51" t="s">
        <v>57</v>
      </c>
      <c r="AU76" s="52"/>
      <c r="AV76" s="53" t="s">
        <v>57</v>
      </c>
      <c r="AW76" s="80" t="s">
        <v>57</v>
      </c>
      <c r="AX76" s="55"/>
      <c r="AY76" s="56" t="s">
        <v>57</v>
      </c>
      <c r="AZ76" s="51" t="s">
        <v>57</v>
      </c>
      <c r="BA76" s="52"/>
      <c r="BB76" s="53" t="s">
        <v>57</v>
      </c>
      <c r="BC76" s="257" t="s">
        <v>57</v>
      </c>
      <c r="BD76" s="101"/>
      <c r="BE76" s="97" t="s">
        <v>57</v>
      </c>
      <c r="BF76" s="258"/>
      <c r="BG76" s="105"/>
      <c r="BH76" s="106"/>
      <c r="BI76" s="255"/>
      <c r="BJ76" s="108"/>
      <c r="BK76" s="89"/>
      <c r="BL76" s="258"/>
      <c r="BM76" s="105"/>
      <c r="BN76" s="106"/>
    </row>
    <row r="77" customFormat="false" ht="17.25" hidden="false" customHeight="true" outlineLevel="0" collapsed="false">
      <c r="B77" s="239"/>
      <c r="C77" s="114" t="s">
        <v>60</v>
      </c>
      <c r="D77" s="115"/>
      <c r="E77" s="116" t="s">
        <v>43</v>
      </c>
      <c r="F77" s="113"/>
      <c r="G77" s="80" t="s">
        <v>44</v>
      </c>
      <c r="H77" s="101"/>
      <c r="I77" s="54" t="s">
        <v>44</v>
      </c>
      <c r="J77" s="51" t="s">
        <v>214</v>
      </c>
      <c r="K77" s="103"/>
      <c r="L77" s="153" t="s">
        <v>214</v>
      </c>
      <c r="M77" s="80" t="s">
        <v>214</v>
      </c>
      <c r="N77" s="55"/>
      <c r="O77" s="152" t="s">
        <v>214</v>
      </c>
      <c r="P77" s="80" t="s">
        <v>214</v>
      </c>
      <c r="Q77" s="55"/>
      <c r="R77" s="56" t="s">
        <v>214</v>
      </c>
      <c r="S77" s="245" t="s">
        <v>215</v>
      </c>
      <c r="T77" s="52"/>
      <c r="U77" s="53" t="s">
        <v>216</v>
      </c>
      <c r="V77" s="246" t="s">
        <v>217</v>
      </c>
      <c r="W77" s="101"/>
      <c r="X77" s="80" t="s">
        <v>217</v>
      </c>
      <c r="Y77" s="249" t="s">
        <v>218</v>
      </c>
      <c r="Z77" s="95"/>
      <c r="AA77" s="51" t="s">
        <v>218</v>
      </c>
      <c r="AB77" s="246" t="s">
        <v>218</v>
      </c>
      <c r="AC77" s="101"/>
      <c r="AD77" s="80" t="s">
        <v>218</v>
      </c>
      <c r="AE77" s="98" t="s">
        <v>57</v>
      </c>
      <c r="AF77" s="95"/>
      <c r="AG77" s="99" t="s">
        <v>57</v>
      </c>
      <c r="AH77" s="96" t="s">
        <v>57</v>
      </c>
      <c r="AI77" s="101"/>
      <c r="AJ77" s="97" t="s">
        <v>57</v>
      </c>
      <c r="AK77" s="255" t="s">
        <v>219</v>
      </c>
      <c r="AL77" s="168"/>
      <c r="AM77" s="89" t="s">
        <v>220</v>
      </c>
      <c r="AN77" s="249" t="s">
        <v>220</v>
      </c>
      <c r="AO77" s="95"/>
      <c r="AP77" s="53" t="s">
        <v>219</v>
      </c>
      <c r="AQ77" s="246" t="s">
        <v>57</v>
      </c>
      <c r="AR77" s="101"/>
      <c r="AS77" s="56" t="s">
        <v>57</v>
      </c>
      <c r="AT77" s="51" t="s">
        <v>57</v>
      </c>
      <c r="AU77" s="52"/>
      <c r="AV77" s="53" t="s">
        <v>57</v>
      </c>
      <c r="AW77" s="80" t="s">
        <v>57</v>
      </c>
      <c r="AX77" s="55"/>
      <c r="AY77" s="56" t="s">
        <v>57</v>
      </c>
      <c r="AZ77" s="51" t="s">
        <v>57</v>
      </c>
      <c r="BA77" s="52"/>
      <c r="BB77" s="53" t="s">
        <v>57</v>
      </c>
      <c r="BC77" s="257" t="s">
        <v>57</v>
      </c>
      <c r="BD77" s="101"/>
      <c r="BE77" s="97" t="s">
        <v>57</v>
      </c>
      <c r="BF77" s="258"/>
      <c r="BG77" s="105"/>
      <c r="BH77" s="106"/>
      <c r="BI77" s="255"/>
      <c r="BJ77" s="108"/>
      <c r="BK77" s="89"/>
      <c r="BL77" s="258"/>
      <c r="BM77" s="105"/>
      <c r="BN77" s="106"/>
    </row>
    <row r="78" customFormat="false" ht="17.25" hidden="false" customHeight="true" outlineLevel="0" collapsed="false">
      <c r="B78" s="239"/>
      <c r="C78" s="114"/>
      <c r="D78" s="117"/>
      <c r="E78" s="116" t="s">
        <v>45</v>
      </c>
      <c r="F78" s="113"/>
      <c r="G78" s="96" t="s">
        <v>44</v>
      </c>
      <c r="H78" s="101"/>
      <c r="I78" s="161" t="s">
        <v>44</v>
      </c>
      <c r="J78" s="51" t="s">
        <v>214</v>
      </c>
      <c r="K78" s="103"/>
      <c r="L78" s="153" t="s">
        <v>214</v>
      </c>
      <c r="M78" s="80" t="s">
        <v>214</v>
      </c>
      <c r="N78" s="55"/>
      <c r="O78" s="152" t="s">
        <v>214</v>
      </c>
      <c r="P78" s="80" t="s">
        <v>214</v>
      </c>
      <c r="Q78" s="55"/>
      <c r="R78" s="56" t="s">
        <v>214</v>
      </c>
      <c r="S78" s="245" t="s">
        <v>215</v>
      </c>
      <c r="T78" s="52"/>
      <c r="U78" s="53" t="s">
        <v>216</v>
      </c>
      <c r="V78" s="246" t="s">
        <v>217</v>
      </c>
      <c r="W78" s="101"/>
      <c r="X78" s="80" t="s">
        <v>217</v>
      </c>
      <c r="Y78" s="249" t="s">
        <v>218</v>
      </c>
      <c r="Z78" s="95"/>
      <c r="AA78" s="51" t="s">
        <v>218</v>
      </c>
      <c r="AB78" s="246" t="s">
        <v>218</v>
      </c>
      <c r="AC78" s="101"/>
      <c r="AD78" s="80" t="s">
        <v>218</v>
      </c>
      <c r="AE78" s="98" t="s">
        <v>57</v>
      </c>
      <c r="AF78" s="95"/>
      <c r="AG78" s="99" t="s">
        <v>57</v>
      </c>
      <c r="AH78" s="96" t="s">
        <v>57</v>
      </c>
      <c r="AI78" s="101"/>
      <c r="AJ78" s="97" t="s">
        <v>57</v>
      </c>
      <c r="AK78" s="255" t="s">
        <v>219</v>
      </c>
      <c r="AL78" s="168"/>
      <c r="AM78" s="89" t="s">
        <v>220</v>
      </c>
      <c r="AN78" s="249" t="s">
        <v>220</v>
      </c>
      <c r="AO78" s="95"/>
      <c r="AP78" s="53" t="s">
        <v>219</v>
      </c>
      <c r="AQ78" s="246" t="s">
        <v>57</v>
      </c>
      <c r="AR78" s="101"/>
      <c r="AS78" s="56" t="s">
        <v>57</v>
      </c>
      <c r="AT78" s="51" t="s">
        <v>57</v>
      </c>
      <c r="AU78" s="52"/>
      <c r="AV78" s="53" t="s">
        <v>57</v>
      </c>
      <c r="AW78" s="80" t="s">
        <v>57</v>
      </c>
      <c r="AX78" s="55"/>
      <c r="AY78" s="56" t="s">
        <v>57</v>
      </c>
      <c r="AZ78" s="51" t="s">
        <v>57</v>
      </c>
      <c r="BA78" s="52"/>
      <c r="BB78" s="53" t="s">
        <v>57</v>
      </c>
      <c r="BC78" s="257" t="s">
        <v>57</v>
      </c>
      <c r="BD78" s="101"/>
      <c r="BE78" s="97" t="s">
        <v>57</v>
      </c>
      <c r="BF78" s="258"/>
      <c r="BG78" s="105"/>
      <c r="BH78" s="106"/>
      <c r="BI78" s="255"/>
      <c r="BJ78" s="108"/>
      <c r="BK78" s="89"/>
      <c r="BL78" s="258"/>
      <c r="BM78" s="105"/>
      <c r="BN78" s="106"/>
    </row>
    <row r="79" customFormat="false" ht="17.25" hidden="false" customHeight="true" outlineLevel="0" collapsed="false">
      <c r="B79" s="239"/>
      <c r="C79" s="114"/>
      <c r="D79" s="117"/>
      <c r="E79" s="116" t="s">
        <v>46</v>
      </c>
      <c r="F79" s="113"/>
      <c r="G79" s="80" t="s">
        <v>44</v>
      </c>
      <c r="H79" s="101"/>
      <c r="I79" s="54" t="s">
        <v>44</v>
      </c>
      <c r="J79" s="51" t="s">
        <v>214</v>
      </c>
      <c r="K79" s="103"/>
      <c r="L79" s="153" t="s">
        <v>214</v>
      </c>
      <c r="M79" s="80" t="s">
        <v>214</v>
      </c>
      <c r="N79" s="55"/>
      <c r="O79" s="152" t="s">
        <v>214</v>
      </c>
      <c r="P79" s="80" t="s">
        <v>214</v>
      </c>
      <c r="Q79" s="55"/>
      <c r="R79" s="56" t="s">
        <v>214</v>
      </c>
      <c r="S79" s="245" t="s">
        <v>215</v>
      </c>
      <c r="T79" s="52"/>
      <c r="U79" s="53" t="s">
        <v>216</v>
      </c>
      <c r="V79" s="246" t="s">
        <v>217</v>
      </c>
      <c r="W79" s="101"/>
      <c r="X79" s="80" t="s">
        <v>217</v>
      </c>
      <c r="Y79" s="249" t="s">
        <v>218</v>
      </c>
      <c r="Z79" s="95"/>
      <c r="AA79" s="51" t="s">
        <v>218</v>
      </c>
      <c r="AB79" s="246" t="s">
        <v>218</v>
      </c>
      <c r="AC79" s="101"/>
      <c r="AD79" s="80" t="s">
        <v>218</v>
      </c>
      <c r="AE79" s="98" t="s">
        <v>57</v>
      </c>
      <c r="AF79" s="95"/>
      <c r="AG79" s="99" t="s">
        <v>57</v>
      </c>
      <c r="AH79" s="96" t="s">
        <v>57</v>
      </c>
      <c r="AI79" s="101"/>
      <c r="AJ79" s="97" t="s">
        <v>57</v>
      </c>
      <c r="AK79" s="255" t="s">
        <v>219</v>
      </c>
      <c r="AL79" s="168"/>
      <c r="AM79" s="89" t="s">
        <v>220</v>
      </c>
      <c r="AN79" s="249" t="s">
        <v>220</v>
      </c>
      <c r="AO79" s="95"/>
      <c r="AP79" s="53" t="s">
        <v>219</v>
      </c>
      <c r="AQ79" s="246" t="s">
        <v>57</v>
      </c>
      <c r="AR79" s="101"/>
      <c r="AS79" s="56" t="s">
        <v>57</v>
      </c>
      <c r="AT79" s="51" t="s">
        <v>57</v>
      </c>
      <c r="AU79" s="52"/>
      <c r="AV79" s="53" t="s">
        <v>57</v>
      </c>
      <c r="AW79" s="80" t="s">
        <v>57</v>
      </c>
      <c r="AX79" s="55"/>
      <c r="AY79" s="56" t="s">
        <v>57</v>
      </c>
      <c r="AZ79" s="51" t="s">
        <v>57</v>
      </c>
      <c r="BA79" s="52"/>
      <c r="BB79" s="53" t="s">
        <v>57</v>
      </c>
      <c r="BC79" s="257" t="s">
        <v>57</v>
      </c>
      <c r="BD79" s="101"/>
      <c r="BE79" s="97" t="s">
        <v>57</v>
      </c>
      <c r="BF79" s="258"/>
      <c r="BG79" s="105"/>
      <c r="BH79" s="106"/>
      <c r="BI79" s="255"/>
      <c r="BJ79" s="108"/>
      <c r="BK79" s="89"/>
      <c r="BL79" s="258"/>
      <c r="BM79" s="105"/>
      <c r="BN79" s="106"/>
    </row>
    <row r="80" customFormat="false" ht="17.25" hidden="false" customHeight="true" outlineLevel="0" collapsed="false">
      <c r="B80" s="239"/>
      <c r="C80" s="114"/>
      <c r="D80" s="117"/>
      <c r="E80" s="116" t="s">
        <v>47</v>
      </c>
      <c r="F80" s="113"/>
      <c r="G80" s="96" t="s">
        <v>44</v>
      </c>
      <c r="H80" s="259"/>
      <c r="I80" s="161" t="s">
        <v>44</v>
      </c>
      <c r="J80" s="98" t="s">
        <v>214</v>
      </c>
      <c r="K80" s="103"/>
      <c r="L80" s="163" t="s">
        <v>214</v>
      </c>
      <c r="M80" s="202" t="s">
        <v>214</v>
      </c>
      <c r="N80" s="123"/>
      <c r="O80" s="118" t="s">
        <v>214</v>
      </c>
      <c r="P80" s="202" t="s">
        <v>214</v>
      </c>
      <c r="Q80" s="123"/>
      <c r="R80" s="124" t="s">
        <v>214</v>
      </c>
      <c r="S80" s="245" t="s">
        <v>215</v>
      </c>
      <c r="T80" s="120"/>
      <c r="U80" s="53" t="s">
        <v>216</v>
      </c>
      <c r="V80" s="246" t="s">
        <v>217</v>
      </c>
      <c r="W80" s="101"/>
      <c r="X80" s="80" t="s">
        <v>217</v>
      </c>
      <c r="Y80" s="249" t="s">
        <v>218</v>
      </c>
      <c r="Z80" s="95"/>
      <c r="AA80" s="51" t="s">
        <v>218</v>
      </c>
      <c r="AB80" s="246" t="s">
        <v>218</v>
      </c>
      <c r="AC80" s="101"/>
      <c r="AD80" s="80" t="s">
        <v>218</v>
      </c>
      <c r="AE80" s="98" t="s">
        <v>57</v>
      </c>
      <c r="AF80" s="95"/>
      <c r="AG80" s="99" t="s">
        <v>57</v>
      </c>
      <c r="AH80" s="96" t="s">
        <v>57</v>
      </c>
      <c r="AI80" s="101"/>
      <c r="AJ80" s="97" t="s">
        <v>57</v>
      </c>
      <c r="AK80" s="255" t="s">
        <v>219</v>
      </c>
      <c r="AL80" s="168"/>
      <c r="AM80" s="89" t="s">
        <v>220</v>
      </c>
      <c r="AN80" s="249" t="s">
        <v>220</v>
      </c>
      <c r="AO80" s="95"/>
      <c r="AP80" s="53" t="s">
        <v>219</v>
      </c>
      <c r="AQ80" s="246" t="s">
        <v>57</v>
      </c>
      <c r="AR80" s="101"/>
      <c r="AS80" s="56" t="s">
        <v>57</v>
      </c>
      <c r="AT80" s="119" t="s">
        <v>57</v>
      </c>
      <c r="AU80" s="120"/>
      <c r="AV80" s="121" t="s">
        <v>57</v>
      </c>
      <c r="AW80" s="202" t="s">
        <v>57</v>
      </c>
      <c r="AX80" s="123"/>
      <c r="AY80" s="124" t="s">
        <v>57</v>
      </c>
      <c r="AZ80" s="119" t="s">
        <v>57</v>
      </c>
      <c r="BA80" s="120"/>
      <c r="BB80" s="121" t="s">
        <v>57</v>
      </c>
      <c r="BC80" s="257" t="s">
        <v>57</v>
      </c>
      <c r="BD80" s="101"/>
      <c r="BE80" s="97" t="s">
        <v>57</v>
      </c>
      <c r="BF80" s="260"/>
      <c r="BG80" s="126"/>
      <c r="BH80" s="127"/>
      <c r="BI80" s="261"/>
      <c r="BJ80" s="129"/>
      <c r="BK80" s="130"/>
      <c r="BL80" s="260"/>
      <c r="BM80" s="126"/>
      <c r="BN80" s="127"/>
    </row>
    <row r="81" customFormat="false" ht="17.25" hidden="false" customHeight="true" outlineLevel="0" collapsed="false">
      <c r="B81" s="132" t="s">
        <v>61</v>
      </c>
      <c r="C81" s="133" t="s">
        <v>62</v>
      </c>
      <c r="D81" s="134"/>
      <c r="E81" s="135" t="s">
        <v>63</v>
      </c>
      <c r="F81" s="136"/>
      <c r="G81" s="60" t="s">
        <v>130</v>
      </c>
      <c r="H81" s="76"/>
      <c r="I81" s="62" t="s">
        <v>130</v>
      </c>
      <c r="J81" s="63" t="s">
        <v>44</v>
      </c>
      <c r="K81" s="64"/>
      <c r="L81" s="208" t="s">
        <v>44</v>
      </c>
      <c r="M81" s="60" t="s">
        <v>44</v>
      </c>
      <c r="N81" s="61"/>
      <c r="O81" s="175" t="s">
        <v>44</v>
      </c>
      <c r="P81" s="60" t="s">
        <v>44</v>
      </c>
      <c r="Q81" s="61"/>
      <c r="R81" s="62" t="s">
        <v>44</v>
      </c>
      <c r="S81" s="262" t="s">
        <v>221</v>
      </c>
      <c r="T81" s="58"/>
      <c r="U81" s="59" t="s">
        <v>222</v>
      </c>
      <c r="V81" s="241" t="s">
        <v>166</v>
      </c>
      <c r="W81" s="61"/>
      <c r="X81" s="62" t="s">
        <v>166</v>
      </c>
      <c r="Y81" s="242" t="s">
        <v>156</v>
      </c>
      <c r="Z81" s="64"/>
      <c r="AA81" s="65" t="s">
        <v>136</v>
      </c>
      <c r="AB81" s="241" t="s">
        <v>156</v>
      </c>
      <c r="AC81" s="61"/>
      <c r="AD81" s="62" t="s">
        <v>136</v>
      </c>
      <c r="AE81" s="63" t="s">
        <v>223</v>
      </c>
      <c r="AF81" s="64"/>
      <c r="AG81" s="65" t="s">
        <v>223</v>
      </c>
      <c r="AH81" s="60" t="s">
        <v>224</v>
      </c>
      <c r="AI81" s="61"/>
      <c r="AJ81" s="62" t="s">
        <v>223</v>
      </c>
      <c r="AK81" s="263" t="s">
        <v>224</v>
      </c>
      <c r="AL81" s="182"/>
      <c r="AM81" s="183" t="s">
        <v>225</v>
      </c>
      <c r="AN81" s="63" t="s">
        <v>226</v>
      </c>
      <c r="AO81" s="64"/>
      <c r="AP81" s="65" t="s">
        <v>227</v>
      </c>
      <c r="AQ81" s="241" t="s">
        <v>143</v>
      </c>
      <c r="AR81" s="61"/>
      <c r="AS81" s="62" t="s">
        <v>144</v>
      </c>
      <c r="AT81" s="57" t="s">
        <v>228</v>
      </c>
      <c r="AU81" s="58"/>
      <c r="AV81" s="59" t="s">
        <v>229</v>
      </c>
      <c r="AW81" s="75" t="s">
        <v>228</v>
      </c>
      <c r="AX81" s="76"/>
      <c r="AY81" s="77" t="s">
        <v>229</v>
      </c>
      <c r="AZ81" s="57" t="s">
        <v>230</v>
      </c>
      <c r="BA81" s="58"/>
      <c r="BB81" s="59" t="s">
        <v>231</v>
      </c>
      <c r="BC81" s="241" t="s">
        <v>148</v>
      </c>
      <c r="BD81" s="61"/>
      <c r="BE81" s="62" t="s">
        <v>149</v>
      </c>
      <c r="BF81" s="247"/>
      <c r="BG81" s="58"/>
      <c r="BH81" s="59"/>
      <c r="BI81" s="248"/>
      <c r="BJ81" s="76"/>
      <c r="BK81" s="77"/>
      <c r="BL81" s="247"/>
      <c r="BM81" s="58"/>
      <c r="BN81" s="59"/>
    </row>
    <row r="82" customFormat="false" ht="17.25" hidden="false" customHeight="true" outlineLevel="0" collapsed="false">
      <c r="B82" s="132"/>
      <c r="C82" s="133"/>
      <c r="D82" s="134"/>
      <c r="E82" s="140" t="s">
        <v>64</v>
      </c>
      <c r="F82" s="136"/>
      <c r="G82" s="75" t="s">
        <v>130</v>
      </c>
      <c r="H82" s="76"/>
      <c r="I82" s="77" t="s">
        <v>130</v>
      </c>
      <c r="J82" s="57" t="s">
        <v>44</v>
      </c>
      <c r="K82" s="58"/>
      <c r="L82" s="216" t="s">
        <v>44</v>
      </c>
      <c r="M82" s="80" t="s">
        <v>44</v>
      </c>
      <c r="N82" s="55"/>
      <c r="O82" s="152" t="s">
        <v>44</v>
      </c>
      <c r="P82" s="80" t="s">
        <v>44</v>
      </c>
      <c r="Q82" s="55"/>
      <c r="R82" s="56" t="s">
        <v>44</v>
      </c>
      <c r="S82" s="245" t="s">
        <v>232</v>
      </c>
      <c r="T82" s="58"/>
      <c r="U82" s="53" t="s">
        <v>222</v>
      </c>
      <c r="V82" s="246" t="s">
        <v>166</v>
      </c>
      <c r="W82" s="76"/>
      <c r="X82" s="55" t="s">
        <v>166</v>
      </c>
      <c r="Y82" s="249" t="s">
        <v>156</v>
      </c>
      <c r="Z82" s="52"/>
      <c r="AA82" s="59" t="s">
        <v>136</v>
      </c>
      <c r="AB82" s="248" t="s">
        <v>156</v>
      </c>
      <c r="AC82" s="76"/>
      <c r="AD82" s="77" t="s">
        <v>136</v>
      </c>
      <c r="AE82" s="57" t="s">
        <v>223</v>
      </c>
      <c r="AF82" s="58"/>
      <c r="AG82" s="59" t="s">
        <v>223</v>
      </c>
      <c r="AH82" s="75" t="s">
        <v>224</v>
      </c>
      <c r="AI82" s="76"/>
      <c r="AJ82" s="77" t="s">
        <v>223</v>
      </c>
      <c r="AK82" s="263" t="s">
        <v>224</v>
      </c>
      <c r="AL82" s="185"/>
      <c r="AM82" s="183" t="s">
        <v>225</v>
      </c>
      <c r="AN82" s="57" t="s">
        <v>226</v>
      </c>
      <c r="AO82" s="58"/>
      <c r="AP82" s="59" t="s">
        <v>227</v>
      </c>
      <c r="AQ82" s="248" t="s">
        <v>143</v>
      </c>
      <c r="AR82" s="76"/>
      <c r="AS82" s="77" t="s">
        <v>144</v>
      </c>
      <c r="AT82" s="51" t="s">
        <v>228</v>
      </c>
      <c r="AU82" s="52"/>
      <c r="AV82" s="53" t="s">
        <v>229</v>
      </c>
      <c r="AW82" s="80" t="s">
        <v>228</v>
      </c>
      <c r="AX82" s="55"/>
      <c r="AY82" s="56" t="s">
        <v>229</v>
      </c>
      <c r="AZ82" s="51" t="s">
        <v>230</v>
      </c>
      <c r="BA82" s="52"/>
      <c r="BB82" s="53" t="s">
        <v>231</v>
      </c>
      <c r="BC82" s="248" t="s">
        <v>148</v>
      </c>
      <c r="BD82" s="76"/>
      <c r="BE82" s="77" t="s">
        <v>149</v>
      </c>
      <c r="BF82" s="249"/>
      <c r="BG82" s="52"/>
      <c r="BH82" s="53"/>
      <c r="BI82" s="246"/>
      <c r="BJ82" s="55"/>
      <c r="BK82" s="56"/>
      <c r="BL82" s="249"/>
      <c r="BM82" s="52"/>
      <c r="BN82" s="53"/>
    </row>
    <row r="83" customFormat="false" ht="17.25" hidden="false" customHeight="true" outlineLevel="0" collapsed="false">
      <c r="B83" s="132"/>
      <c r="C83" s="133"/>
      <c r="D83" s="134"/>
      <c r="E83" s="140" t="s">
        <v>65</v>
      </c>
      <c r="F83" s="136"/>
      <c r="G83" s="75" t="s">
        <v>130</v>
      </c>
      <c r="H83" s="76"/>
      <c r="I83" s="77" t="s">
        <v>130</v>
      </c>
      <c r="J83" s="57" t="s">
        <v>44</v>
      </c>
      <c r="K83" s="58"/>
      <c r="L83" s="216" t="s">
        <v>44</v>
      </c>
      <c r="M83" s="80" t="s">
        <v>44</v>
      </c>
      <c r="N83" s="55"/>
      <c r="O83" s="152" t="s">
        <v>44</v>
      </c>
      <c r="P83" s="80" t="s">
        <v>44</v>
      </c>
      <c r="Q83" s="55"/>
      <c r="R83" s="56" t="s">
        <v>44</v>
      </c>
      <c r="S83" s="245" t="s">
        <v>232</v>
      </c>
      <c r="T83" s="58"/>
      <c r="U83" s="53" t="s">
        <v>222</v>
      </c>
      <c r="V83" s="246" t="s">
        <v>166</v>
      </c>
      <c r="W83" s="76"/>
      <c r="X83" s="55" t="s">
        <v>166</v>
      </c>
      <c r="Y83" s="249" t="s">
        <v>156</v>
      </c>
      <c r="Z83" s="52"/>
      <c r="AA83" s="59" t="s">
        <v>136</v>
      </c>
      <c r="AB83" s="248" t="s">
        <v>156</v>
      </c>
      <c r="AC83" s="76"/>
      <c r="AD83" s="77" t="s">
        <v>136</v>
      </c>
      <c r="AE83" s="57" t="s">
        <v>223</v>
      </c>
      <c r="AF83" s="58"/>
      <c r="AG83" s="59" t="s">
        <v>223</v>
      </c>
      <c r="AH83" s="75" t="s">
        <v>224</v>
      </c>
      <c r="AI83" s="76"/>
      <c r="AJ83" s="77" t="s">
        <v>223</v>
      </c>
      <c r="AK83" s="263" t="s">
        <v>224</v>
      </c>
      <c r="AL83" s="185"/>
      <c r="AM83" s="183" t="s">
        <v>225</v>
      </c>
      <c r="AN83" s="57" t="s">
        <v>226</v>
      </c>
      <c r="AO83" s="58"/>
      <c r="AP83" s="59" t="s">
        <v>227</v>
      </c>
      <c r="AQ83" s="248" t="s">
        <v>143</v>
      </c>
      <c r="AR83" s="76"/>
      <c r="AS83" s="77" t="s">
        <v>144</v>
      </c>
      <c r="AT83" s="51" t="s">
        <v>228</v>
      </c>
      <c r="AU83" s="52"/>
      <c r="AV83" s="53" t="s">
        <v>229</v>
      </c>
      <c r="AW83" s="80" t="s">
        <v>228</v>
      </c>
      <c r="AX83" s="55"/>
      <c r="AY83" s="56" t="s">
        <v>229</v>
      </c>
      <c r="AZ83" s="51" t="s">
        <v>230</v>
      </c>
      <c r="BA83" s="52"/>
      <c r="BB83" s="53" t="s">
        <v>231</v>
      </c>
      <c r="BC83" s="248" t="s">
        <v>148</v>
      </c>
      <c r="BD83" s="76"/>
      <c r="BE83" s="77" t="s">
        <v>149</v>
      </c>
      <c r="BF83" s="249"/>
      <c r="BG83" s="52"/>
      <c r="BH83" s="53"/>
      <c r="BI83" s="246"/>
      <c r="BJ83" s="55"/>
      <c r="BK83" s="56"/>
      <c r="BL83" s="249"/>
      <c r="BM83" s="52"/>
      <c r="BN83" s="53"/>
    </row>
    <row r="84" customFormat="false" ht="17.25" hidden="false" customHeight="true" outlineLevel="0" collapsed="false">
      <c r="B84" s="132"/>
      <c r="C84" s="133"/>
      <c r="D84" s="134"/>
      <c r="E84" s="140" t="s">
        <v>66</v>
      </c>
      <c r="F84" s="136"/>
      <c r="G84" s="75" t="s">
        <v>130</v>
      </c>
      <c r="H84" s="76"/>
      <c r="I84" s="77" t="s">
        <v>130</v>
      </c>
      <c r="J84" s="57" t="s">
        <v>44</v>
      </c>
      <c r="K84" s="58"/>
      <c r="L84" s="216" t="s">
        <v>44</v>
      </c>
      <c r="M84" s="80" t="s">
        <v>44</v>
      </c>
      <c r="N84" s="55"/>
      <c r="O84" s="152" t="s">
        <v>44</v>
      </c>
      <c r="P84" s="80" t="s">
        <v>44</v>
      </c>
      <c r="Q84" s="55"/>
      <c r="R84" s="56" t="s">
        <v>44</v>
      </c>
      <c r="S84" s="245" t="s">
        <v>232</v>
      </c>
      <c r="T84" s="58"/>
      <c r="U84" s="53" t="s">
        <v>222</v>
      </c>
      <c r="V84" s="246" t="s">
        <v>166</v>
      </c>
      <c r="W84" s="76"/>
      <c r="X84" s="55" t="s">
        <v>166</v>
      </c>
      <c r="Y84" s="249" t="s">
        <v>156</v>
      </c>
      <c r="Z84" s="52"/>
      <c r="AA84" s="59" t="s">
        <v>136</v>
      </c>
      <c r="AB84" s="248" t="s">
        <v>156</v>
      </c>
      <c r="AC84" s="76"/>
      <c r="AD84" s="77" t="s">
        <v>136</v>
      </c>
      <c r="AE84" s="57" t="s">
        <v>223</v>
      </c>
      <c r="AF84" s="58"/>
      <c r="AG84" s="59" t="s">
        <v>223</v>
      </c>
      <c r="AH84" s="75" t="s">
        <v>224</v>
      </c>
      <c r="AI84" s="76"/>
      <c r="AJ84" s="77" t="s">
        <v>223</v>
      </c>
      <c r="AK84" s="263" t="s">
        <v>224</v>
      </c>
      <c r="AL84" s="185"/>
      <c r="AM84" s="183" t="s">
        <v>225</v>
      </c>
      <c r="AN84" s="57" t="s">
        <v>226</v>
      </c>
      <c r="AO84" s="58"/>
      <c r="AP84" s="59" t="s">
        <v>227</v>
      </c>
      <c r="AQ84" s="248" t="s">
        <v>143</v>
      </c>
      <c r="AR84" s="76"/>
      <c r="AS84" s="77" t="s">
        <v>144</v>
      </c>
      <c r="AT84" s="51" t="s">
        <v>228</v>
      </c>
      <c r="AU84" s="52"/>
      <c r="AV84" s="53" t="s">
        <v>229</v>
      </c>
      <c r="AW84" s="80" t="s">
        <v>228</v>
      </c>
      <c r="AX84" s="55"/>
      <c r="AY84" s="56" t="s">
        <v>229</v>
      </c>
      <c r="AZ84" s="51" t="s">
        <v>230</v>
      </c>
      <c r="BA84" s="52"/>
      <c r="BB84" s="53" t="s">
        <v>231</v>
      </c>
      <c r="BC84" s="248" t="s">
        <v>148</v>
      </c>
      <c r="BD84" s="76"/>
      <c r="BE84" s="77" t="s">
        <v>149</v>
      </c>
      <c r="BF84" s="249"/>
      <c r="BG84" s="52"/>
      <c r="BH84" s="53"/>
      <c r="BI84" s="246"/>
      <c r="BJ84" s="55"/>
      <c r="BK84" s="56"/>
      <c r="BL84" s="249"/>
      <c r="BM84" s="52"/>
      <c r="BN84" s="53"/>
    </row>
    <row r="85" customFormat="false" ht="17.25" hidden="false" customHeight="true" outlineLevel="0" collapsed="false">
      <c r="B85" s="132"/>
      <c r="C85" s="142" t="s">
        <v>67</v>
      </c>
      <c r="D85" s="143" t="s">
        <v>68</v>
      </c>
      <c r="E85" s="144" t="s">
        <v>63</v>
      </c>
      <c r="F85" s="145" t="s">
        <v>69</v>
      </c>
      <c r="G85" s="80" t="s">
        <v>130</v>
      </c>
      <c r="H85" s="55"/>
      <c r="I85" s="56" t="s">
        <v>130</v>
      </c>
      <c r="J85" s="51" t="s">
        <v>44</v>
      </c>
      <c r="K85" s="52"/>
      <c r="L85" s="153" t="s">
        <v>44</v>
      </c>
      <c r="M85" s="80" t="s">
        <v>44</v>
      </c>
      <c r="N85" s="55"/>
      <c r="O85" s="152" t="s">
        <v>44</v>
      </c>
      <c r="P85" s="80" t="s">
        <v>44</v>
      </c>
      <c r="Q85" s="55"/>
      <c r="R85" s="56" t="s">
        <v>44</v>
      </c>
      <c r="S85" s="245" t="s">
        <v>232</v>
      </c>
      <c r="T85" s="52"/>
      <c r="U85" s="53" t="s">
        <v>222</v>
      </c>
      <c r="V85" s="246" t="s">
        <v>233</v>
      </c>
      <c r="W85" s="55"/>
      <c r="X85" s="55" t="s">
        <v>166</v>
      </c>
      <c r="Y85" s="249" t="s">
        <v>156</v>
      </c>
      <c r="Z85" s="52"/>
      <c r="AA85" s="59" t="s">
        <v>136</v>
      </c>
      <c r="AB85" s="246" t="s">
        <v>156</v>
      </c>
      <c r="AC85" s="55"/>
      <c r="AD85" s="56" t="s">
        <v>136</v>
      </c>
      <c r="AE85" s="51" t="s">
        <v>223</v>
      </c>
      <c r="AF85" s="52"/>
      <c r="AG85" s="53" t="s">
        <v>234</v>
      </c>
      <c r="AH85" s="80" t="s">
        <v>224</v>
      </c>
      <c r="AI85" s="55"/>
      <c r="AJ85" s="56" t="s">
        <v>223</v>
      </c>
      <c r="AK85" s="263" t="s">
        <v>224</v>
      </c>
      <c r="AL85" s="108"/>
      <c r="AM85" s="184" t="s">
        <v>159</v>
      </c>
      <c r="AN85" s="59" t="s">
        <v>235</v>
      </c>
      <c r="AO85" s="58"/>
      <c r="AP85" s="59" t="s">
        <v>235</v>
      </c>
      <c r="AQ85" s="248" t="s">
        <v>236</v>
      </c>
      <c r="AR85" s="76"/>
      <c r="AS85" s="77" t="s">
        <v>144</v>
      </c>
      <c r="AT85" s="51" t="s">
        <v>160</v>
      </c>
      <c r="AU85" s="52"/>
      <c r="AV85" s="53" t="s">
        <v>146</v>
      </c>
      <c r="AW85" s="80" t="s">
        <v>160</v>
      </c>
      <c r="AX85" s="55"/>
      <c r="AY85" s="56" t="s">
        <v>146</v>
      </c>
      <c r="AZ85" s="51" t="s">
        <v>160</v>
      </c>
      <c r="BA85" s="52"/>
      <c r="BB85" s="53" t="s">
        <v>143</v>
      </c>
      <c r="BC85" s="248" t="s">
        <v>148</v>
      </c>
      <c r="BD85" s="76"/>
      <c r="BE85" s="77" t="s">
        <v>149</v>
      </c>
      <c r="BF85" s="249" t="s">
        <v>207</v>
      </c>
      <c r="BG85" s="52"/>
      <c r="BH85" s="53" t="s">
        <v>134</v>
      </c>
      <c r="BI85" s="246" t="s">
        <v>207</v>
      </c>
      <c r="BJ85" s="55"/>
      <c r="BK85" s="56" t="s">
        <v>237</v>
      </c>
      <c r="BL85" s="249" t="s">
        <v>134</v>
      </c>
      <c r="BM85" s="52"/>
      <c r="BN85" s="53" t="s">
        <v>167</v>
      </c>
    </row>
    <row r="86" customFormat="false" ht="17.25" hidden="false" customHeight="true" outlineLevel="0" collapsed="false">
      <c r="B86" s="132"/>
      <c r="C86" s="142"/>
      <c r="D86" s="143"/>
      <c r="E86" s="144" t="s">
        <v>64</v>
      </c>
      <c r="F86" s="145"/>
      <c r="G86" s="80" t="s">
        <v>130</v>
      </c>
      <c r="H86" s="55"/>
      <c r="I86" s="56" t="s">
        <v>130</v>
      </c>
      <c r="J86" s="51" t="s">
        <v>44</v>
      </c>
      <c r="K86" s="52"/>
      <c r="L86" s="153" t="s">
        <v>44</v>
      </c>
      <c r="M86" s="80" t="s">
        <v>44</v>
      </c>
      <c r="N86" s="55"/>
      <c r="O86" s="152" t="s">
        <v>44</v>
      </c>
      <c r="P86" s="80" t="s">
        <v>44</v>
      </c>
      <c r="Q86" s="55"/>
      <c r="R86" s="56" t="s">
        <v>44</v>
      </c>
      <c r="S86" s="245" t="s">
        <v>232</v>
      </c>
      <c r="T86" s="52"/>
      <c r="U86" s="53" t="s">
        <v>222</v>
      </c>
      <c r="V86" s="246" t="s">
        <v>233</v>
      </c>
      <c r="W86" s="55"/>
      <c r="X86" s="55" t="s">
        <v>166</v>
      </c>
      <c r="Y86" s="249" t="s">
        <v>156</v>
      </c>
      <c r="Z86" s="52"/>
      <c r="AA86" s="59" t="s">
        <v>136</v>
      </c>
      <c r="AB86" s="246" t="s">
        <v>156</v>
      </c>
      <c r="AC86" s="55"/>
      <c r="AD86" s="56" t="s">
        <v>136</v>
      </c>
      <c r="AE86" s="51" t="s">
        <v>223</v>
      </c>
      <c r="AF86" s="52"/>
      <c r="AG86" s="53" t="s">
        <v>234</v>
      </c>
      <c r="AH86" s="80" t="s">
        <v>224</v>
      </c>
      <c r="AI86" s="55"/>
      <c r="AJ86" s="56" t="s">
        <v>223</v>
      </c>
      <c r="AK86" s="263" t="s">
        <v>224</v>
      </c>
      <c r="AL86" s="108"/>
      <c r="AM86" s="184" t="s">
        <v>159</v>
      </c>
      <c r="AN86" s="59" t="s">
        <v>235</v>
      </c>
      <c r="AO86" s="58"/>
      <c r="AP86" s="59" t="s">
        <v>235</v>
      </c>
      <c r="AQ86" s="248" t="s">
        <v>236</v>
      </c>
      <c r="AR86" s="76"/>
      <c r="AS86" s="77" t="s">
        <v>144</v>
      </c>
      <c r="AT86" s="51" t="s">
        <v>160</v>
      </c>
      <c r="AU86" s="52"/>
      <c r="AV86" s="53" t="s">
        <v>146</v>
      </c>
      <c r="AW86" s="80" t="s">
        <v>160</v>
      </c>
      <c r="AX86" s="55"/>
      <c r="AY86" s="56" t="s">
        <v>146</v>
      </c>
      <c r="AZ86" s="51" t="s">
        <v>160</v>
      </c>
      <c r="BA86" s="52"/>
      <c r="BB86" s="53" t="s">
        <v>143</v>
      </c>
      <c r="BC86" s="248" t="s">
        <v>148</v>
      </c>
      <c r="BD86" s="76"/>
      <c r="BE86" s="77" t="s">
        <v>149</v>
      </c>
      <c r="BF86" s="249" t="s">
        <v>207</v>
      </c>
      <c r="BG86" s="52"/>
      <c r="BH86" s="53" t="s">
        <v>134</v>
      </c>
      <c r="BI86" s="246" t="s">
        <v>207</v>
      </c>
      <c r="BJ86" s="55"/>
      <c r="BK86" s="56" t="s">
        <v>238</v>
      </c>
      <c r="BL86" s="249" t="s">
        <v>134</v>
      </c>
      <c r="BM86" s="52"/>
      <c r="BN86" s="53" t="s">
        <v>167</v>
      </c>
    </row>
    <row r="87" customFormat="false" ht="17.25" hidden="false" customHeight="true" outlineLevel="0" collapsed="false">
      <c r="B87" s="132"/>
      <c r="C87" s="142"/>
      <c r="D87" s="143"/>
      <c r="E87" s="144" t="s">
        <v>65</v>
      </c>
      <c r="F87" s="145"/>
      <c r="G87" s="80" t="s">
        <v>130</v>
      </c>
      <c r="H87" s="55"/>
      <c r="I87" s="56" t="s">
        <v>130</v>
      </c>
      <c r="J87" s="51" t="s">
        <v>44</v>
      </c>
      <c r="K87" s="52"/>
      <c r="L87" s="153" t="s">
        <v>44</v>
      </c>
      <c r="M87" s="80" t="s">
        <v>44</v>
      </c>
      <c r="N87" s="55"/>
      <c r="O87" s="152" t="s">
        <v>44</v>
      </c>
      <c r="P87" s="80" t="s">
        <v>44</v>
      </c>
      <c r="Q87" s="55"/>
      <c r="R87" s="56" t="s">
        <v>44</v>
      </c>
      <c r="S87" s="245" t="s">
        <v>232</v>
      </c>
      <c r="T87" s="52"/>
      <c r="U87" s="53" t="s">
        <v>222</v>
      </c>
      <c r="V87" s="246" t="s">
        <v>233</v>
      </c>
      <c r="W87" s="55"/>
      <c r="X87" s="55" t="s">
        <v>166</v>
      </c>
      <c r="Y87" s="249" t="s">
        <v>156</v>
      </c>
      <c r="Z87" s="52"/>
      <c r="AA87" s="59" t="s">
        <v>136</v>
      </c>
      <c r="AB87" s="246" t="s">
        <v>156</v>
      </c>
      <c r="AC87" s="55"/>
      <c r="AD87" s="56" t="s">
        <v>136</v>
      </c>
      <c r="AE87" s="51" t="s">
        <v>223</v>
      </c>
      <c r="AF87" s="52"/>
      <c r="AG87" s="53" t="s">
        <v>234</v>
      </c>
      <c r="AH87" s="80" t="s">
        <v>224</v>
      </c>
      <c r="AI87" s="55"/>
      <c r="AJ87" s="56" t="s">
        <v>223</v>
      </c>
      <c r="AK87" s="263" t="s">
        <v>224</v>
      </c>
      <c r="AL87" s="108"/>
      <c r="AM87" s="184" t="s">
        <v>159</v>
      </c>
      <c r="AN87" s="59" t="s">
        <v>235</v>
      </c>
      <c r="AO87" s="58"/>
      <c r="AP87" s="59" t="s">
        <v>235</v>
      </c>
      <c r="AQ87" s="248" t="s">
        <v>236</v>
      </c>
      <c r="AR87" s="76"/>
      <c r="AS87" s="77" t="s">
        <v>144</v>
      </c>
      <c r="AT87" s="51" t="s">
        <v>160</v>
      </c>
      <c r="AU87" s="52"/>
      <c r="AV87" s="53" t="s">
        <v>146</v>
      </c>
      <c r="AW87" s="80" t="s">
        <v>160</v>
      </c>
      <c r="AX87" s="55"/>
      <c r="AY87" s="56" t="s">
        <v>146</v>
      </c>
      <c r="AZ87" s="51" t="s">
        <v>160</v>
      </c>
      <c r="BA87" s="52"/>
      <c r="BB87" s="53" t="s">
        <v>143</v>
      </c>
      <c r="BC87" s="248" t="s">
        <v>148</v>
      </c>
      <c r="BD87" s="76"/>
      <c r="BE87" s="77" t="s">
        <v>149</v>
      </c>
      <c r="BF87" s="249" t="s">
        <v>207</v>
      </c>
      <c r="BG87" s="52"/>
      <c r="BH87" s="53" t="s">
        <v>134</v>
      </c>
      <c r="BI87" s="246" t="s">
        <v>207</v>
      </c>
      <c r="BJ87" s="55"/>
      <c r="BK87" s="56" t="s">
        <v>239</v>
      </c>
      <c r="BL87" s="249" t="s">
        <v>134</v>
      </c>
      <c r="BM87" s="52"/>
      <c r="BN87" s="53" t="s">
        <v>167</v>
      </c>
    </row>
    <row r="88" customFormat="false" ht="17.25" hidden="false" customHeight="true" outlineLevel="0" collapsed="false">
      <c r="B88" s="132"/>
      <c r="C88" s="142"/>
      <c r="D88" s="143"/>
      <c r="E88" s="144" t="s">
        <v>66</v>
      </c>
      <c r="F88" s="145"/>
      <c r="G88" s="80" t="s">
        <v>130</v>
      </c>
      <c r="H88" s="55"/>
      <c r="I88" s="56" t="s">
        <v>130</v>
      </c>
      <c r="J88" s="51" t="s">
        <v>44</v>
      </c>
      <c r="K88" s="52"/>
      <c r="L88" s="153" t="s">
        <v>44</v>
      </c>
      <c r="M88" s="80" t="s">
        <v>44</v>
      </c>
      <c r="N88" s="55"/>
      <c r="O88" s="152" t="s">
        <v>44</v>
      </c>
      <c r="P88" s="80" t="s">
        <v>44</v>
      </c>
      <c r="Q88" s="55"/>
      <c r="R88" s="56" t="s">
        <v>44</v>
      </c>
      <c r="S88" s="245" t="s">
        <v>232</v>
      </c>
      <c r="T88" s="52"/>
      <c r="U88" s="53" t="s">
        <v>222</v>
      </c>
      <c r="V88" s="246" t="s">
        <v>233</v>
      </c>
      <c r="W88" s="55"/>
      <c r="X88" s="55" t="s">
        <v>166</v>
      </c>
      <c r="Y88" s="249" t="s">
        <v>156</v>
      </c>
      <c r="Z88" s="52"/>
      <c r="AA88" s="59" t="s">
        <v>136</v>
      </c>
      <c r="AB88" s="246" t="s">
        <v>156</v>
      </c>
      <c r="AC88" s="55"/>
      <c r="AD88" s="56" t="s">
        <v>136</v>
      </c>
      <c r="AE88" s="51" t="s">
        <v>223</v>
      </c>
      <c r="AF88" s="52"/>
      <c r="AG88" s="53" t="s">
        <v>234</v>
      </c>
      <c r="AH88" s="80" t="s">
        <v>224</v>
      </c>
      <c r="AI88" s="55"/>
      <c r="AJ88" s="56" t="s">
        <v>223</v>
      </c>
      <c r="AK88" s="263" t="s">
        <v>224</v>
      </c>
      <c r="AL88" s="108"/>
      <c r="AM88" s="184" t="s">
        <v>159</v>
      </c>
      <c r="AN88" s="59" t="s">
        <v>235</v>
      </c>
      <c r="AO88" s="58"/>
      <c r="AP88" s="59" t="s">
        <v>235</v>
      </c>
      <c r="AQ88" s="248" t="s">
        <v>236</v>
      </c>
      <c r="AR88" s="76"/>
      <c r="AS88" s="77" t="s">
        <v>144</v>
      </c>
      <c r="AT88" s="51" t="s">
        <v>160</v>
      </c>
      <c r="AU88" s="52"/>
      <c r="AV88" s="53" t="s">
        <v>146</v>
      </c>
      <c r="AW88" s="80" t="s">
        <v>160</v>
      </c>
      <c r="AX88" s="55"/>
      <c r="AY88" s="56" t="s">
        <v>146</v>
      </c>
      <c r="AZ88" s="51" t="s">
        <v>160</v>
      </c>
      <c r="BA88" s="52"/>
      <c r="BB88" s="53" t="s">
        <v>143</v>
      </c>
      <c r="BC88" s="248" t="s">
        <v>148</v>
      </c>
      <c r="BD88" s="76"/>
      <c r="BE88" s="77" t="s">
        <v>149</v>
      </c>
      <c r="BF88" s="249" t="s">
        <v>207</v>
      </c>
      <c r="BG88" s="52"/>
      <c r="BH88" s="53" t="s">
        <v>134</v>
      </c>
      <c r="BI88" s="246" t="s">
        <v>207</v>
      </c>
      <c r="BJ88" s="55"/>
      <c r="BK88" s="56" t="s">
        <v>240</v>
      </c>
      <c r="BL88" s="249" t="s">
        <v>134</v>
      </c>
      <c r="BM88" s="52"/>
      <c r="BN88" s="53" t="s">
        <v>167</v>
      </c>
    </row>
    <row r="89" customFormat="false" ht="17.25" hidden="false" customHeight="true" outlineLevel="0" collapsed="false">
      <c r="B89" s="132"/>
      <c r="C89" s="142"/>
      <c r="D89" s="143" t="s">
        <v>70</v>
      </c>
      <c r="E89" s="144" t="s">
        <v>63</v>
      </c>
      <c r="F89" s="145" t="s">
        <v>71</v>
      </c>
      <c r="G89" s="80" t="s">
        <v>130</v>
      </c>
      <c r="H89" s="55"/>
      <c r="I89" s="56" t="s">
        <v>130</v>
      </c>
      <c r="J89" s="51" t="s">
        <v>44</v>
      </c>
      <c r="K89" s="52"/>
      <c r="L89" s="153" t="s">
        <v>44</v>
      </c>
      <c r="M89" s="80" t="s">
        <v>44</v>
      </c>
      <c r="N89" s="55"/>
      <c r="O89" s="152" t="s">
        <v>44</v>
      </c>
      <c r="P89" s="80" t="s">
        <v>44</v>
      </c>
      <c r="Q89" s="55"/>
      <c r="R89" s="56" t="s">
        <v>44</v>
      </c>
      <c r="S89" s="245" t="s">
        <v>232</v>
      </c>
      <c r="T89" s="52"/>
      <c r="U89" s="53" t="s">
        <v>222</v>
      </c>
      <c r="V89" s="246" t="s">
        <v>233</v>
      </c>
      <c r="W89" s="55"/>
      <c r="X89" s="55" t="s">
        <v>166</v>
      </c>
      <c r="Y89" s="249" t="s">
        <v>156</v>
      </c>
      <c r="Z89" s="52"/>
      <c r="AA89" s="59" t="s">
        <v>136</v>
      </c>
      <c r="AB89" s="246" t="s">
        <v>156</v>
      </c>
      <c r="AC89" s="55"/>
      <c r="AD89" s="56" t="s">
        <v>136</v>
      </c>
      <c r="AE89" s="51" t="s">
        <v>223</v>
      </c>
      <c r="AF89" s="52"/>
      <c r="AG89" s="53" t="s">
        <v>234</v>
      </c>
      <c r="AH89" s="80" t="s">
        <v>224</v>
      </c>
      <c r="AI89" s="55"/>
      <c r="AJ89" s="56" t="s">
        <v>241</v>
      </c>
      <c r="AK89" s="263" t="s">
        <v>224</v>
      </c>
      <c r="AL89" s="108"/>
      <c r="AM89" s="184" t="s">
        <v>159</v>
      </c>
      <c r="AN89" s="59" t="s">
        <v>235</v>
      </c>
      <c r="AO89" s="58"/>
      <c r="AP89" s="59" t="s">
        <v>235</v>
      </c>
      <c r="AQ89" s="248" t="s">
        <v>236</v>
      </c>
      <c r="AR89" s="76"/>
      <c r="AS89" s="77" t="s">
        <v>144</v>
      </c>
      <c r="AT89" s="51" t="s">
        <v>160</v>
      </c>
      <c r="AU89" s="52"/>
      <c r="AV89" s="53" t="s">
        <v>146</v>
      </c>
      <c r="AW89" s="80" t="s">
        <v>160</v>
      </c>
      <c r="AX89" s="55"/>
      <c r="AY89" s="56" t="s">
        <v>146</v>
      </c>
      <c r="AZ89" s="51" t="s">
        <v>160</v>
      </c>
      <c r="BA89" s="52"/>
      <c r="BB89" s="53" t="s">
        <v>143</v>
      </c>
      <c r="BC89" s="248" t="s">
        <v>148</v>
      </c>
      <c r="BD89" s="76"/>
      <c r="BE89" s="77" t="s">
        <v>149</v>
      </c>
      <c r="BF89" s="249" t="s">
        <v>207</v>
      </c>
      <c r="BG89" s="52"/>
      <c r="BH89" s="51" t="s">
        <v>207</v>
      </c>
      <c r="BI89" s="246" t="s">
        <v>207</v>
      </c>
      <c r="BJ89" s="55"/>
      <c r="BK89" s="56" t="s">
        <v>207</v>
      </c>
      <c r="BL89" s="249" t="s">
        <v>207</v>
      </c>
      <c r="BM89" s="52"/>
      <c r="BN89" s="51" t="s">
        <v>207</v>
      </c>
    </row>
    <row r="90" customFormat="false" ht="17.25" hidden="false" customHeight="true" outlineLevel="0" collapsed="false">
      <c r="B90" s="132"/>
      <c r="C90" s="142"/>
      <c r="D90" s="143"/>
      <c r="E90" s="144" t="s">
        <v>64</v>
      </c>
      <c r="F90" s="145"/>
      <c r="G90" s="80" t="s">
        <v>130</v>
      </c>
      <c r="H90" s="55"/>
      <c r="I90" s="56" t="s">
        <v>130</v>
      </c>
      <c r="J90" s="51" t="s">
        <v>44</v>
      </c>
      <c r="K90" s="52"/>
      <c r="L90" s="153" t="s">
        <v>44</v>
      </c>
      <c r="M90" s="80" t="s">
        <v>44</v>
      </c>
      <c r="N90" s="55"/>
      <c r="O90" s="152" t="s">
        <v>44</v>
      </c>
      <c r="P90" s="80" t="s">
        <v>44</v>
      </c>
      <c r="Q90" s="55"/>
      <c r="R90" s="56" t="s">
        <v>44</v>
      </c>
      <c r="S90" s="245" t="s">
        <v>232</v>
      </c>
      <c r="T90" s="52"/>
      <c r="U90" s="53" t="s">
        <v>222</v>
      </c>
      <c r="V90" s="246" t="s">
        <v>233</v>
      </c>
      <c r="W90" s="55"/>
      <c r="X90" s="55" t="s">
        <v>166</v>
      </c>
      <c r="Y90" s="249" t="s">
        <v>156</v>
      </c>
      <c r="Z90" s="52"/>
      <c r="AA90" s="59" t="s">
        <v>136</v>
      </c>
      <c r="AB90" s="246" t="s">
        <v>156</v>
      </c>
      <c r="AC90" s="55"/>
      <c r="AD90" s="56" t="s">
        <v>136</v>
      </c>
      <c r="AE90" s="51" t="s">
        <v>223</v>
      </c>
      <c r="AF90" s="52"/>
      <c r="AG90" s="53" t="s">
        <v>234</v>
      </c>
      <c r="AH90" s="80" t="s">
        <v>224</v>
      </c>
      <c r="AI90" s="55"/>
      <c r="AJ90" s="56" t="s">
        <v>241</v>
      </c>
      <c r="AK90" s="263" t="s">
        <v>224</v>
      </c>
      <c r="AL90" s="108"/>
      <c r="AM90" s="184" t="s">
        <v>159</v>
      </c>
      <c r="AN90" s="59" t="s">
        <v>235</v>
      </c>
      <c r="AO90" s="58"/>
      <c r="AP90" s="59" t="s">
        <v>235</v>
      </c>
      <c r="AQ90" s="248" t="s">
        <v>236</v>
      </c>
      <c r="AR90" s="76"/>
      <c r="AS90" s="77" t="s">
        <v>144</v>
      </c>
      <c r="AT90" s="51" t="s">
        <v>160</v>
      </c>
      <c r="AU90" s="52"/>
      <c r="AV90" s="53" t="s">
        <v>146</v>
      </c>
      <c r="AW90" s="80" t="s">
        <v>160</v>
      </c>
      <c r="AX90" s="55"/>
      <c r="AY90" s="56" t="s">
        <v>146</v>
      </c>
      <c r="AZ90" s="51" t="s">
        <v>160</v>
      </c>
      <c r="BA90" s="52"/>
      <c r="BB90" s="53" t="s">
        <v>143</v>
      </c>
      <c r="BC90" s="248" t="s">
        <v>148</v>
      </c>
      <c r="BD90" s="76"/>
      <c r="BE90" s="77" t="s">
        <v>149</v>
      </c>
      <c r="BF90" s="249" t="s">
        <v>207</v>
      </c>
      <c r="BG90" s="52"/>
      <c r="BH90" s="51" t="s">
        <v>207</v>
      </c>
      <c r="BI90" s="246" t="s">
        <v>207</v>
      </c>
      <c r="BJ90" s="55"/>
      <c r="BK90" s="56" t="s">
        <v>207</v>
      </c>
      <c r="BL90" s="249" t="s">
        <v>207</v>
      </c>
      <c r="BM90" s="52"/>
      <c r="BN90" s="51" t="s">
        <v>207</v>
      </c>
    </row>
    <row r="91" customFormat="false" ht="17.25" hidden="false" customHeight="true" outlineLevel="0" collapsed="false">
      <c r="B91" s="132"/>
      <c r="C91" s="142"/>
      <c r="D91" s="143"/>
      <c r="E91" s="144" t="s">
        <v>65</v>
      </c>
      <c r="F91" s="145"/>
      <c r="G91" s="80" t="s">
        <v>130</v>
      </c>
      <c r="H91" s="55"/>
      <c r="I91" s="56" t="s">
        <v>130</v>
      </c>
      <c r="J91" s="51" t="s">
        <v>44</v>
      </c>
      <c r="K91" s="52"/>
      <c r="L91" s="153" t="s">
        <v>44</v>
      </c>
      <c r="M91" s="80" t="s">
        <v>44</v>
      </c>
      <c r="N91" s="55"/>
      <c r="O91" s="152" t="s">
        <v>44</v>
      </c>
      <c r="P91" s="80" t="s">
        <v>44</v>
      </c>
      <c r="Q91" s="55"/>
      <c r="R91" s="56" t="s">
        <v>44</v>
      </c>
      <c r="S91" s="245" t="s">
        <v>232</v>
      </c>
      <c r="T91" s="52"/>
      <c r="U91" s="53" t="s">
        <v>222</v>
      </c>
      <c r="V91" s="246" t="s">
        <v>233</v>
      </c>
      <c r="W91" s="55"/>
      <c r="X91" s="55" t="s">
        <v>166</v>
      </c>
      <c r="Y91" s="249" t="s">
        <v>156</v>
      </c>
      <c r="Z91" s="52"/>
      <c r="AA91" s="59" t="s">
        <v>136</v>
      </c>
      <c r="AB91" s="246" t="s">
        <v>156</v>
      </c>
      <c r="AC91" s="55"/>
      <c r="AD91" s="56" t="s">
        <v>136</v>
      </c>
      <c r="AE91" s="51" t="s">
        <v>223</v>
      </c>
      <c r="AF91" s="52"/>
      <c r="AG91" s="53" t="s">
        <v>234</v>
      </c>
      <c r="AH91" s="80" t="s">
        <v>224</v>
      </c>
      <c r="AI91" s="55"/>
      <c r="AJ91" s="56" t="s">
        <v>241</v>
      </c>
      <c r="AK91" s="263" t="s">
        <v>224</v>
      </c>
      <c r="AL91" s="108"/>
      <c r="AM91" s="184" t="s">
        <v>159</v>
      </c>
      <c r="AN91" s="59" t="s">
        <v>235</v>
      </c>
      <c r="AO91" s="58"/>
      <c r="AP91" s="59" t="s">
        <v>235</v>
      </c>
      <c r="AQ91" s="248" t="s">
        <v>236</v>
      </c>
      <c r="AR91" s="76"/>
      <c r="AS91" s="77" t="s">
        <v>144</v>
      </c>
      <c r="AT91" s="51" t="s">
        <v>160</v>
      </c>
      <c r="AU91" s="52"/>
      <c r="AV91" s="53" t="s">
        <v>146</v>
      </c>
      <c r="AW91" s="80" t="s">
        <v>160</v>
      </c>
      <c r="AX91" s="55"/>
      <c r="AY91" s="56" t="s">
        <v>146</v>
      </c>
      <c r="AZ91" s="51" t="s">
        <v>160</v>
      </c>
      <c r="BA91" s="52"/>
      <c r="BB91" s="53" t="s">
        <v>143</v>
      </c>
      <c r="BC91" s="248" t="s">
        <v>148</v>
      </c>
      <c r="BD91" s="76"/>
      <c r="BE91" s="77" t="s">
        <v>149</v>
      </c>
      <c r="BF91" s="249" t="s">
        <v>207</v>
      </c>
      <c r="BG91" s="52"/>
      <c r="BH91" s="51" t="s">
        <v>207</v>
      </c>
      <c r="BI91" s="246" t="s">
        <v>207</v>
      </c>
      <c r="BJ91" s="55"/>
      <c r="BK91" s="56" t="s">
        <v>207</v>
      </c>
      <c r="BL91" s="249" t="s">
        <v>207</v>
      </c>
      <c r="BM91" s="52"/>
      <c r="BN91" s="51" t="s">
        <v>207</v>
      </c>
    </row>
    <row r="92" customFormat="false" ht="17.25" hidden="false" customHeight="true" outlineLevel="0" collapsed="false">
      <c r="B92" s="132"/>
      <c r="C92" s="142"/>
      <c r="D92" s="143"/>
      <c r="E92" s="144" t="s">
        <v>66</v>
      </c>
      <c r="F92" s="145"/>
      <c r="G92" s="80" t="s">
        <v>130</v>
      </c>
      <c r="H92" s="55"/>
      <c r="I92" s="56" t="s">
        <v>130</v>
      </c>
      <c r="J92" s="51" t="s">
        <v>44</v>
      </c>
      <c r="K92" s="52"/>
      <c r="L92" s="153" t="s">
        <v>44</v>
      </c>
      <c r="M92" s="80" t="s">
        <v>44</v>
      </c>
      <c r="N92" s="55"/>
      <c r="O92" s="152" t="s">
        <v>44</v>
      </c>
      <c r="P92" s="80" t="s">
        <v>44</v>
      </c>
      <c r="Q92" s="55"/>
      <c r="R92" s="56" t="s">
        <v>44</v>
      </c>
      <c r="S92" s="245" t="s">
        <v>232</v>
      </c>
      <c r="T92" s="52"/>
      <c r="U92" s="53" t="s">
        <v>222</v>
      </c>
      <c r="V92" s="246" t="s">
        <v>233</v>
      </c>
      <c r="W92" s="55"/>
      <c r="X92" s="55" t="s">
        <v>166</v>
      </c>
      <c r="Y92" s="249" t="s">
        <v>156</v>
      </c>
      <c r="Z92" s="52"/>
      <c r="AA92" s="59" t="s">
        <v>136</v>
      </c>
      <c r="AB92" s="246" t="s">
        <v>156</v>
      </c>
      <c r="AC92" s="55"/>
      <c r="AD92" s="56" t="s">
        <v>136</v>
      </c>
      <c r="AE92" s="51" t="s">
        <v>223</v>
      </c>
      <c r="AF92" s="52"/>
      <c r="AG92" s="53" t="s">
        <v>234</v>
      </c>
      <c r="AH92" s="80" t="s">
        <v>224</v>
      </c>
      <c r="AI92" s="55"/>
      <c r="AJ92" s="56" t="s">
        <v>241</v>
      </c>
      <c r="AK92" s="263" t="s">
        <v>224</v>
      </c>
      <c r="AL92" s="108"/>
      <c r="AM92" s="184" t="s">
        <v>159</v>
      </c>
      <c r="AN92" s="59" t="s">
        <v>235</v>
      </c>
      <c r="AO92" s="58"/>
      <c r="AP92" s="59" t="s">
        <v>235</v>
      </c>
      <c r="AQ92" s="248" t="s">
        <v>236</v>
      </c>
      <c r="AR92" s="76"/>
      <c r="AS92" s="77" t="s">
        <v>144</v>
      </c>
      <c r="AT92" s="51" t="s">
        <v>160</v>
      </c>
      <c r="AU92" s="52"/>
      <c r="AV92" s="53" t="s">
        <v>146</v>
      </c>
      <c r="AW92" s="80" t="s">
        <v>160</v>
      </c>
      <c r="AX92" s="55"/>
      <c r="AY92" s="56" t="s">
        <v>146</v>
      </c>
      <c r="AZ92" s="51" t="s">
        <v>160</v>
      </c>
      <c r="BA92" s="52"/>
      <c r="BB92" s="53" t="s">
        <v>143</v>
      </c>
      <c r="BC92" s="248" t="s">
        <v>148</v>
      </c>
      <c r="BD92" s="76"/>
      <c r="BE92" s="77" t="s">
        <v>149</v>
      </c>
      <c r="BF92" s="249" t="s">
        <v>207</v>
      </c>
      <c r="BG92" s="52"/>
      <c r="BH92" s="51" t="s">
        <v>207</v>
      </c>
      <c r="BI92" s="246" t="s">
        <v>207</v>
      </c>
      <c r="BJ92" s="55"/>
      <c r="BK92" s="56" t="s">
        <v>207</v>
      </c>
      <c r="BL92" s="249" t="s">
        <v>207</v>
      </c>
      <c r="BM92" s="52"/>
      <c r="BN92" s="51" t="s">
        <v>207</v>
      </c>
    </row>
    <row r="93" customFormat="false" ht="17.25" hidden="false" customHeight="true" outlineLevel="0" collapsed="false">
      <c r="B93" s="132"/>
      <c r="C93" s="142"/>
      <c r="D93" s="143" t="s">
        <v>72</v>
      </c>
      <c r="E93" s="144" t="s">
        <v>63</v>
      </c>
      <c r="F93" s="145" t="s">
        <v>73</v>
      </c>
      <c r="G93" s="80" t="s">
        <v>130</v>
      </c>
      <c r="H93" s="55"/>
      <c r="I93" s="56" t="s">
        <v>130</v>
      </c>
      <c r="J93" s="51" t="s">
        <v>44</v>
      </c>
      <c r="K93" s="52"/>
      <c r="L93" s="153" t="s">
        <v>44</v>
      </c>
      <c r="M93" s="80" t="s">
        <v>44</v>
      </c>
      <c r="N93" s="55"/>
      <c r="O93" s="152" t="s">
        <v>44</v>
      </c>
      <c r="P93" s="80" t="s">
        <v>44</v>
      </c>
      <c r="Q93" s="55"/>
      <c r="R93" s="56" t="s">
        <v>44</v>
      </c>
      <c r="S93" s="245" t="s">
        <v>232</v>
      </c>
      <c r="T93" s="52"/>
      <c r="U93" s="53" t="s">
        <v>222</v>
      </c>
      <c r="V93" s="246" t="s">
        <v>166</v>
      </c>
      <c r="W93" s="55"/>
      <c r="X93" s="55" t="s">
        <v>166</v>
      </c>
      <c r="Y93" s="249" t="s">
        <v>156</v>
      </c>
      <c r="Z93" s="52"/>
      <c r="AA93" s="59" t="s">
        <v>136</v>
      </c>
      <c r="AB93" s="246" t="s">
        <v>156</v>
      </c>
      <c r="AC93" s="55"/>
      <c r="AD93" s="56" t="s">
        <v>136</v>
      </c>
      <c r="AE93" s="51" t="s">
        <v>223</v>
      </c>
      <c r="AF93" s="52"/>
      <c r="AG93" s="53" t="s">
        <v>242</v>
      </c>
      <c r="AH93" s="80" t="s">
        <v>224</v>
      </c>
      <c r="AI93" s="55"/>
      <c r="AJ93" s="56" t="s">
        <v>243</v>
      </c>
      <c r="AK93" s="263" t="s">
        <v>224</v>
      </c>
      <c r="AL93" s="108"/>
      <c r="AM93" s="183" t="s">
        <v>225</v>
      </c>
      <c r="AN93" s="57" t="s">
        <v>226</v>
      </c>
      <c r="AO93" s="58"/>
      <c r="AP93" s="59" t="s">
        <v>227</v>
      </c>
      <c r="AQ93" s="248" t="s">
        <v>143</v>
      </c>
      <c r="AR93" s="76"/>
      <c r="AS93" s="77" t="s">
        <v>144</v>
      </c>
      <c r="AT93" s="51" t="s">
        <v>160</v>
      </c>
      <c r="AU93" s="52"/>
      <c r="AV93" s="53" t="s">
        <v>146</v>
      </c>
      <c r="AW93" s="80" t="s">
        <v>160</v>
      </c>
      <c r="AX93" s="55"/>
      <c r="AY93" s="56" t="s">
        <v>146</v>
      </c>
      <c r="AZ93" s="51" t="s">
        <v>160</v>
      </c>
      <c r="BA93" s="52"/>
      <c r="BB93" s="53" t="s">
        <v>143</v>
      </c>
      <c r="BC93" s="248" t="s">
        <v>148</v>
      </c>
      <c r="BD93" s="76"/>
      <c r="BE93" s="77" t="s">
        <v>149</v>
      </c>
      <c r="BF93" s="249" t="s">
        <v>207</v>
      </c>
      <c r="BG93" s="52"/>
      <c r="BH93" s="51" t="s">
        <v>207</v>
      </c>
      <c r="BI93" s="246" t="s">
        <v>207</v>
      </c>
      <c r="BJ93" s="55"/>
      <c r="BK93" s="56" t="s">
        <v>207</v>
      </c>
      <c r="BL93" s="249" t="s">
        <v>207</v>
      </c>
      <c r="BM93" s="52"/>
      <c r="BN93" s="51" t="s">
        <v>207</v>
      </c>
    </row>
    <row r="94" customFormat="false" ht="17.25" hidden="false" customHeight="true" outlineLevel="0" collapsed="false">
      <c r="B94" s="132"/>
      <c r="C94" s="142"/>
      <c r="D94" s="143"/>
      <c r="E94" s="144" t="s">
        <v>64</v>
      </c>
      <c r="F94" s="145"/>
      <c r="G94" s="80" t="s">
        <v>130</v>
      </c>
      <c r="H94" s="55"/>
      <c r="I94" s="56" t="s">
        <v>130</v>
      </c>
      <c r="J94" s="51" t="s">
        <v>44</v>
      </c>
      <c r="K94" s="52"/>
      <c r="L94" s="153" t="s">
        <v>44</v>
      </c>
      <c r="M94" s="80" t="s">
        <v>44</v>
      </c>
      <c r="N94" s="55"/>
      <c r="O94" s="152" t="s">
        <v>44</v>
      </c>
      <c r="P94" s="80" t="s">
        <v>44</v>
      </c>
      <c r="Q94" s="55"/>
      <c r="R94" s="56" t="s">
        <v>44</v>
      </c>
      <c r="S94" s="245" t="s">
        <v>232</v>
      </c>
      <c r="T94" s="52"/>
      <c r="U94" s="53" t="s">
        <v>222</v>
      </c>
      <c r="V94" s="246" t="s">
        <v>166</v>
      </c>
      <c r="W94" s="55"/>
      <c r="X94" s="55" t="s">
        <v>166</v>
      </c>
      <c r="Y94" s="249" t="s">
        <v>156</v>
      </c>
      <c r="Z94" s="52"/>
      <c r="AA94" s="59" t="s">
        <v>136</v>
      </c>
      <c r="AB94" s="246" t="s">
        <v>156</v>
      </c>
      <c r="AC94" s="55"/>
      <c r="AD94" s="56" t="s">
        <v>136</v>
      </c>
      <c r="AE94" s="51" t="s">
        <v>223</v>
      </c>
      <c r="AF94" s="52"/>
      <c r="AG94" s="53" t="s">
        <v>242</v>
      </c>
      <c r="AH94" s="80" t="s">
        <v>224</v>
      </c>
      <c r="AI94" s="55"/>
      <c r="AJ94" s="56" t="s">
        <v>243</v>
      </c>
      <c r="AK94" s="263" t="s">
        <v>224</v>
      </c>
      <c r="AL94" s="108"/>
      <c r="AM94" s="183" t="s">
        <v>225</v>
      </c>
      <c r="AN94" s="57" t="s">
        <v>226</v>
      </c>
      <c r="AO94" s="58"/>
      <c r="AP94" s="59" t="s">
        <v>227</v>
      </c>
      <c r="AQ94" s="248" t="s">
        <v>143</v>
      </c>
      <c r="AR94" s="76"/>
      <c r="AS94" s="77" t="s">
        <v>144</v>
      </c>
      <c r="AT94" s="51" t="s">
        <v>160</v>
      </c>
      <c r="AU94" s="52"/>
      <c r="AV94" s="53" t="s">
        <v>146</v>
      </c>
      <c r="AW94" s="80" t="s">
        <v>160</v>
      </c>
      <c r="AX94" s="55"/>
      <c r="AY94" s="56" t="s">
        <v>146</v>
      </c>
      <c r="AZ94" s="51" t="s">
        <v>160</v>
      </c>
      <c r="BA94" s="52"/>
      <c r="BB94" s="53" t="s">
        <v>143</v>
      </c>
      <c r="BC94" s="248" t="s">
        <v>148</v>
      </c>
      <c r="BD94" s="76"/>
      <c r="BE94" s="77" t="s">
        <v>149</v>
      </c>
      <c r="BF94" s="249" t="s">
        <v>207</v>
      </c>
      <c r="BG94" s="52"/>
      <c r="BH94" s="51" t="s">
        <v>207</v>
      </c>
      <c r="BI94" s="246" t="s">
        <v>207</v>
      </c>
      <c r="BJ94" s="55"/>
      <c r="BK94" s="56" t="s">
        <v>207</v>
      </c>
      <c r="BL94" s="249" t="s">
        <v>207</v>
      </c>
      <c r="BM94" s="52"/>
      <c r="BN94" s="51" t="s">
        <v>207</v>
      </c>
    </row>
    <row r="95" customFormat="false" ht="17.25" hidden="false" customHeight="true" outlineLevel="0" collapsed="false">
      <c r="B95" s="132"/>
      <c r="C95" s="142"/>
      <c r="D95" s="143"/>
      <c r="E95" s="144" t="s">
        <v>65</v>
      </c>
      <c r="F95" s="145"/>
      <c r="G95" s="80" t="s">
        <v>130</v>
      </c>
      <c r="H95" s="55"/>
      <c r="I95" s="56" t="s">
        <v>130</v>
      </c>
      <c r="J95" s="51" t="s">
        <v>44</v>
      </c>
      <c r="K95" s="52"/>
      <c r="L95" s="153" t="s">
        <v>44</v>
      </c>
      <c r="M95" s="80" t="s">
        <v>44</v>
      </c>
      <c r="N95" s="55"/>
      <c r="O95" s="152" t="s">
        <v>44</v>
      </c>
      <c r="P95" s="80" t="s">
        <v>44</v>
      </c>
      <c r="Q95" s="55"/>
      <c r="R95" s="56" t="s">
        <v>44</v>
      </c>
      <c r="S95" s="245" t="s">
        <v>232</v>
      </c>
      <c r="T95" s="52"/>
      <c r="U95" s="53" t="s">
        <v>222</v>
      </c>
      <c r="V95" s="246" t="s">
        <v>166</v>
      </c>
      <c r="W95" s="55"/>
      <c r="X95" s="55" t="s">
        <v>166</v>
      </c>
      <c r="Y95" s="249" t="s">
        <v>156</v>
      </c>
      <c r="Z95" s="52"/>
      <c r="AA95" s="59" t="s">
        <v>136</v>
      </c>
      <c r="AB95" s="246" t="s">
        <v>156</v>
      </c>
      <c r="AC95" s="55"/>
      <c r="AD95" s="56" t="s">
        <v>136</v>
      </c>
      <c r="AE95" s="51" t="s">
        <v>223</v>
      </c>
      <c r="AF95" s="52"/>
      <c r="AG95" s="53" t="s">
        <v>242</v>
      </c>
      <c r="AH95" s="80" t="s">
        <v>224</v>
      </c>
      <c r="AI95" s="55"/>
      <c r="AJ95" s="56" t="s">
        <v>243</v>
      </c>
      <c r="AK95" s="263" t="s">
        <v>224</v>
      </c>
      <c r="AL95" s="108"/>
      <c r="AM95" s="183" t="s">
        <v>225</v>
      </c>
      <c r="AN95" s="57" t="s">
        <v>226</v>
      </c>
      <c r="AO95" s="58"/>
      <c r="AP95" s="59" t="s">
        <v>227</v>
      </c>
      <c r="AQ95" s="248" t="s">
        <v>143</v>
      </c>
      <c r="AR95" s="76"/>
      <c r="AS95" s="77" t="s">
        <v>144</v>
      </c>
      <c r="AT95" s="51" t="s">
        <v>160</v>
      </c>
      <c r="AU95" s="52"/>
      <c r="AV95" s="53" t="s">
        <v>146</v>
      </c>
      <c r="AW95" s="80" t="s">
        <v>160</v>
      </c>
      <c r="AX95" s="55"/>
      <c r="AY95" s="56" t="s">
        <v>146</v>
      </c>
      <c r="AZ95" s="51" t="s">
        <v>160</v>
      </c>
      <c r="BA95" s="52"/>
      <c r="BB95" s="53" t="s">
        <v>143</v>
      </c>
      <c r="BC95" s="248" t="s">
        <v>148</v>
      </c>
      <c r="BD95" s="76"/>
      <c r="BE95" s="77" t="s">
        <v>149</v>
      </c>
      <c r="BF95" s="249" t="s">
        <v>207</v>
      </c>
      <c r="BG95" s="52"/>
      <c r="BH95" s="51" t="s">
        <v>207</v>
      </c>
      <c r="BI95" s="246" t="s">
        <v>207</v>
      </c>
      <c r="BJ95" s="55"/>
      <c r="BK95" s="56" t="s">
        <v>207</v>
      </c>
      <c r="BL95" s="249" t="s">
        <v>207</v>
      </c>
      <c r="BM95" s="52"/>
      <c r="BN95" s="51" t="s">
        <v>207</v>
      </c>
    </row>
    <row r="96" customFormat="false" ht="17.25" hidden="false" customHeight="true" outlineLevel="0" collapsed="false">
      <c r="B96" s="132"/>
      <c r="C96" s="142"/>
      <c r="D96" s="143"/>
      <c r="E96" s="144" t="s">
        <v>66</v>
      </c>
      <c r="F96" s="145"/>
      <c r="G96" s="80" t="s">
        <v>130</v>
      </c>
      <c r="H96" s="55"/>
      <c r="I96" s="56" t="s">
        <v>130</v>
      </c>
      <c r="J96" s="51" t="s">
        <v>44</v>
      </c>
      <c r="K96" s="52"/>
      <c r="L96" s="153" t="s">
        <v>44</v>
      </c>
      <c r="M96" s="80" t="s">
        <v>44</v>
      </c>
      <c r="N96" s="55"/>
      <c r="O96" s="152" t="s">
        <v>44</v>
      </c>
      <c r="P96" s="80" t="s">
        <v>44</v>
      </c>
      <c r="Q96" s="55"/>
      <c r="R96" s="56" t="s">
        <v>44</v>
      </c>
      <c r="S96" s="245" t="s">
        <v>232</v>
      </c>
      <c r="T96" s="52"/>
      <c r="U96" s="53" t="s">
        <v>222</v>
      </c>
      <c r="V96" s="246" t="s">
        <v>166</v>
      </c>
      <c r="W96" s="55"/>
      <c r="X96" s="55" t="s">
        <v>166</v>
      </c>
      <c r="Y96" s="249" t="s">
        <v>156</v>
      </c>
      <c r="Z96" s="52"/>
      <c r="AA96" s="59" t="s">
        <v>136</v>
      </c>
      <c r="AB96" s="246" t="s">
        <v>156</v>
      </c>
      <c r="AC96" s="55"/>
      <c r="AD96" s="56" t="s">
        <v>136</v>
      </c>
      <c r="AE96" s="51" t="s">
        <v>223</v>
      </c>
      <c r="AF96" s="52"/>
      <c r="AG96" s="53" t="s">
        <v>242</v>
      </c>
      <c r="AH96" s="80" t="s">
        <v>224</v>
      </c>
      <c r="AI96" s="55"/>
      <c r="AJ96" s="56" t="s">
        <v>243</v>
      </c>
      <c r="AK96" s="263" t="s">
        <v>224</v>
      </c>
      <c r="AL96" s="108"/>
      <c r="AM96" s="183" t="s">
        <v>225</v>
      </c>
      <c r="AN96" s="57" t="s">
        <v>226</v>
      </c>
      <c r="AO96" s="58"/>
      <c r="AP96" s="59" t="s">
        <v>227</v>
      </c>
      <c r="AQ96" s="248" t="s">
        <v>143</v>
      </c>
      <c r="AR96" s="76"/>
      <c r="AS96" s="77" t="s">
        <v>144</v>
      </c>
      <c r="AT96" s="51" t="s">
        <v>160</v>
      </c>
      <c r="AU96" s="52"/>
      <c r="AV96" s="53" t="s">
        <v>146</v>
      </c>
      <c r="AW96" s="80" t="s">
        <v>160</v>
      </c>
      <c r="AX96" s="55"/>
      <c r="AY96" s="56" t="s">
        <v>146</v>
      </c>
      <c r="AZ96" s="51" t="s">
        <v>160</v>
      </c>
      <c r="BA96" s="52"/>
      <c r="BB96" s="53" t="s">
        <v>143</v>
      </c>
      <c r="BC96" s="248" t="s">
        <v>148</v>
      </c>
      <c r="BD96" s="76"/>
      <c r="BE96" s="77" t="s">
        <v>149</v>
      </c>
      <c r="BF96" s="249" t="s">
        <v>207</v>
      </c>
      <c r="BG96" s="52"/>
      <c r="BH96" s="51" t="s">
        <v>207</v>
      </c>
      <c r="BI96" s="246" t="s">
        <v>207</v>
      </c>
      <c r="BJ96" s="55"/>
      <c r="BK96" s="56" t="s">
        <v>207</v>
      </c>
      <c r="BL96" s="249" t="s">
        <v>207</v>
      </c>
      <c r="BM96" s="52"/>
      <c r="BN96" s="51" t="s">
        <v>207</v>
      </c>
    </row>
    <row r="97" customFormat="false" ht="17.25" hidden="false" customHeight="true" outlineLevel="0" collapsed="false">
      <c r="B97" s="132"/>
      <c r="C97" s="142"/>
      <c r="D97" s="143" t="s">
        <v>74</v>
      </c>
      <c r="E97" s="144" t="s">
        <v>63</v>
      </c>
      <c r="F97" s="145" t="s">
        <v>75</v>
      </c>
      <c r="G97" s="80" t="s">
        <v>130</v>
      </c>
      <c r="H97" s="55"/>
      <c r="I97" s="56" t="s">
        <v>130</v>
      </c>
      <c r="J97" s="51" t="s">
        <v>44</v>
      </c>
      <c r="K97" s="52"/>
      <c r="L97" s="153" t="s">
        <v>44</v>
      </c>
      <c r="M97" s="80" t="s">
        <v>44</v>
      </c>
      <c r="N97" s="55"/>
      <c r="O97" s="152" t="s">
        <v>44</v>
      </c>
      <c r="P97" s="80" t="s">
        <v>44</v>
      </c>
      <c r="Q97" s="55"/>
      <c r="R97" s="56" t="s">
        <v>44</v>
      </c>
      <c r="S97" s="245" t="s">
        <v>232</v>
      </c>
      <c r="T97" s="52"/>
      <c r="U97" s="53" t="s">
        <v>222</v>
      </c>
      <c r="V97" s="246" t="s">
        <v>166</v>
      </c>
      <c r="W97" s="55"/>
      <c r="X97" s="55" t="s">
        <v>166</v>
      </c>
      <c r="Y97" s="249" t="s">
        <v>156</v>
      </c>
      <c r="Z97" s="52"/>
      <c r="AA97" s="59" t="s">
        <v>136</v>
      </c>
      <c r="AB97" s="246" t="s">
        <v>156</v>
      </c>
      <c r="AC97" s="55"/>
      <c r="AD97" s="56" t="s">
        <v>136</v>
      </c>
      <c r="AE97" s="51" t="s">
        <v>223</v>
      </c>
      <c r="AF97" s="52"/>
      <c r="AG97" s="53" t="s">
        <v>242</v>
      </c>
      <c r="AH97" s="80" t="s">
        <v>224</v>
      </c>
      <c r="AI97" s="55"/>
      <c r="AJ97" s="56" t="s">
        <v>243</v>
      </c>
      <c r="AK97" s="263" t="s">
        <v>224</v>
      </c>
      <c r="AL97" s="108"/>
      <c r="AM97" s="183" t="s">
        <v>225</v>
      </c>
      <c r="AN97" s="57" t="s">
        <v>226</v>
      </c>
      <c r="AO97" s="58"/>
      <c r="AP97" s="59" t="s">
        <v>227</v>
      </c>
      <c r="AQ97" s="248" t="s">
        <v>143</v>
      </c>
      <c r="AR97" s="76"/>
      <c r="AS97" s="77" t="s">
        <v>144</v>
      </c>
      <c r="AT97" s="51" t="s">
        <v>160</v>
      </c>
      <c r="AU97" s="52"/>
      <c r="AV97" s="53" t="s">
        <v>146</v>
      </c>
      <c r="AW97" s="80" t="s">
        <v>160</v>
      </c>
      <c r="AX97" s="55"/>
      <c r="AY97" s="56" t="s">
        <v>146</v>
      </c>
      <c r="AZ97" s="51" t="s">
        <v>160</v>
      </c>
      <c r="BA97" s="52"/>
      <c r="BB97" s="53" t="s">
        <v>143</v>
      </c>
      <c r="BC97" s="248" t="s">
        <v>148</v>
      </c>
      <c r="BD97" s="76"/>
      <c r="BE97" s="77" t="s">
        <v>149</v>
      </c>
      <c r="BF97" s="249" t="s">
        <v>207</v>
      </c>
      <c r="BG97" s="52"/>
      <c r="BH97" s="51" t="s">
        <v>207</v>
      </c>
      <c r="BI97" s="246" t="s">
        <v>207</v>
      </c>
      <c r="BJ97" s="55"/>
      <c r="BK97" s="56" t="s">
        <v>207</v>
      </c>
      <c r="BL97" s="249" t="s">
        <v>207</v>
      </c>
      <c r="BM97" s="52"/>
      <c r="BN97" s="51" t="s">
        <v>207</v>
      </c>
    </row>
    <row r="98" customFormat="false" ht="17.25" hidden="false" customHeight="true" outlineLevel="0" collapsed="false">
      <c r="B98" s="132"/>
      <c r="C98" s="142"/>
      <c r="D98" s="143"/>
      <c r="E98" s="144" t="s">
        <v>64</v>
      </c>
      <c r="F98" s="145"/>
      <c r="G98" s="80" t="s">
        <v>130</v>
      </c>
      <c r="H98" s="55"/>
      <c r="I98" s="56" t="s">
        <v>130</v>
      </c>
      <c r="J98" s="51" t="s">
        <v>44</v>
      </c>
      <c r="K98" s="52"/>
      <c r="L98" s="153" t="s">
        <v>44</v>
      </c>
      <c r="M98" s="80" t="s">
        <v>44</v>
      </c>
      <c r="N98" s="55"/>
      <c r="O98" s="152" t="s">
        <v>44</v>
      </c>
      <c r="P98" s="80" t="s">
        <v>44</v>
      </c>
      <c r="Q98" s="55"/>
      <c r="R98" s="56" t="s">
        <v>44</v>
      </c>
      <c r="S98" s="245" t="s">
        <v>232</v>
      </c>
      <c r="T98" s="52"/>
      <c r="U98" s="53" t="s">
        <v>222</v>
      </c>
      <c r="V98" s="246" t="s">
        <v>166</v>
      </c>
      <c r="W98" s="55"/>
      <c r="X98" s="55" t="s">
        <v>166</v>
      </c>
      <c r="Y98" s="249" t="s">
        <v>156</v>
      </c>
      <c r="Z98" s="52"/>
      <c r="AA98" s="59" t="s">
        <v>136</v>
      </c>
      <c r="AB98" s="246" t="s">
        <v>156</v>
      </c>
      <c r="AC98" s="55"/>
      <c r="AD98" s="56" t="s">
        <v>136</v>
      </c>
      <c r="AE98" s="51" t="s">
        <v>223</v>
      </c>
      <c r="AF98" s="52"/>
      <c r="AG98" s="53" t="s">
        <v>242</v>
      </c>
      <c r="AH98" s="80" t="s">
        <v>224</v>
      </c>
      <c r="AI98" s="55"/>
      <c r="AJ98" s="56" t="s">
        <v>243</v>
      </c>
      <c r="AK98" s="263" t="s">
        <v>224</v>
      </c>
      <c r="AL98" s="108"/>
      <c r="AM98" s="183" t="s">
        <v>225</v>
      </c>
      <c r="AN98" s="57" t="s">
        <v>226</v>
      </c>
      <c r="AO98" s="58"/>
      <c r="AP98" s="59" t="s">
        <v>227</v>
      </c>
      <c r="AQ98" s="248" t="s">
        <v>143</v>
      </c>
      <c r="AR98" s="76"/>
      <c r="AS98" s="77" t="s">
        <v>144</v>
      </c>
      <c r="AT98" s="51" t="s">
        <v>160</v>
      </c>
      <c r="AU98" s="52"/>
      <c r="AV98" s="53" t="s">
        <v>146</v>
      </c>
      <c r="AW98" s="80" t="s">
        <v>160</v>
      </c>
      <c r="AX98" s="55"/>
      <c r="AY98" s="56" t="s">
        <v>146</v>
      </c>
      <c r="AZ98" s="51" t="s">
        <v>160</v>
      </c>
      <c r="BA98" s="52"/>
      <c r="BB98" s="53" t="s">
        <v>143</v>
      </c>
      <c r="BC98" s="248" t="s">
        <v>148</v>
      </c>
      <c r="BD98" s="76"/>
      <c r="BE98" s="77" t="s">
        <v>149</v>
      </c>
      <c r="BF98" s="249" t="s">
        <v>207</v>
      </c>
      <c r="BG98" s="52"/>
      <c r="BH98" s="51" t="s">
        <v>207</v>
      </c>
      <c r="BI98" s="246" t="s">
        <v>207</v>
      </c>
      <c r="BJ98" s="55"/>
      <c r="BK98" s="56" t="s">
        <v>207</v>
      </c>
      <c r="BL98" s="249" t="s">
        <v>207</v>
      </c>
      <c r="BM98" s="52"/>
      <c r="BN98" s="51" t="s">
        <v>207</v>
      </c>
    </row>
    <row r="99" customFormat="false" ht="17.25" hidden="false" customHeight="true" outlineLevel="0" collapsed="false">
      <c r="B99" s="132"/>
      <c r="C99" s="142"/>
      <c r="D99" s="143"/>
      <c r="E99" s="144" t="s">
        <v>65</v>
      </c>
      <c r="F99" s="145"/>
      <c r="G99" s="80" t="s">
        <v>130</v>
      </c>
      <c r="H99" s="55"/>
      <c r="I99" s="56" t="s">
        <v>130</v>
      </c>
      <c r="J99" s="51" t="s">
        <v>44</v>
      </c>
      <c r="K99" s="52"/>
      <c r="L99" s="153" t="s">
        <v>44</v>
      </c>
      <c r="M99" s="80" t="s">
        <v>44</v>
      </c>
      <c r="N99" s="55"/>
      <c r="O99" s="152" t="s">
        <v>44</v>
      </c>
      <c r="P99" s="80" t="s">
        <v>44</v>
      </c>
      <c r="Q99" s="55"/>
      <c r="R99" s="56" t="s">
        <v>44</v>
      </c>
      <c r="S99" s="245" t="s">
        <v>232</v>
      </c>
      <c r="T99" s="52"/>
      <c r="U99" s="53" t="s">
        <v>222</v>
      </c>
      <c r="V99" s="246" t="s">
        <v>166</v>
      </c>
      <c r="W99" s="55"/>
      <c r="X99" s="55" t="s">
        <v>166</v>
      </c>
      <c r="Y99" s="249" t="s">
        <v>156</v>
      </c>
      <c r="Z99" s="52"/>
      <c r="AA99" s="59" t="s">
        <v>136</v>
      </c>
      <c r="AB99" s="246" t="s">
        <v>156</v>
      </c>
      <c r="AC99" s="55"/>
      <c r="AD99" s="56" t="s">
        <v>136</v>
      </c>
      <c r="AE99" s="51" t="s">
        <v>223</v>
      </c>
      <c r="AF99" s="52"/>
      <c r="AG99" s="53" t="s">
        <v>242</v>
      </c>
      <c r="AH99" s="80" t="s">
        <v>224</v>
      </c>
      <c r="AI99" s="55"/>
      <c r="AJ99" s="56" t="s">
        <v>243</v>
      </c>
      <c r="AK99" s="263" t="s">
        <v>224</v>
      </c>
      <c r="AL99" s="108"/>
      <c r="AM99" s="183" t="s">
        <v>225</v>
      </c>
      <c r="AN99" s="57" t="s">
        <v>226</v>
      </c>
      <c r="AO99" s="58"/>
      <c r="AP99" s="59" t="s">
        <v>227</v>
      </c>
      <c r="AQ99" s="248" t="s">
        <v>143</v>
      </c>
      <c r="AR99" s="76"/>
      <c r="AS99" s="77" t="s">
        <v>144</v>
      </c>
      <c r="AT99" s="51" t="s">
        <v>160</v>
      </c>
      <c r="AU99" s="52"/>
      <c r="AV99" s="53" t="s">
        <v>146</v>
      </c>
      <c r="AW99" s="80" t="s">
        <v>160</v>
      </c>
      <c r="AX99" s="55"/>
      <c r="AY99" s="56" t="s">
        <v>146</v>
      </c>
      <c r="AZ99" s="51" t="s">
        <v>160</v>
      </c>
      <c r="BA99" s="52"/>
      <c r="BB99" s="53" t="s">
        <v>143</v>
      </c>
      <c r="BC99" s="248" t="s">
        <v>148</v>
      </c>
      <c r="BD99" s="76"/>
      <c r="BE99" s="77" t="s">
        <v>149</v>
      </c>
      <c r="BF99" s="249" t="s">
        <v>207</v>
      </c>
      <c r="BG99" s="52"/>
      <c r="BH99" s="51" t="s">
        <v>207</v>
      </c>
      <c r="BI99" s="246" t="s">
        <v>207</v>
      </c>
      <c r="BJ99" s="55"/>
      <c r="BK99" s="56" t="s">
        <v>207</v>
      </c>
      <c r="BL99" s="249" t="s">
        <v>207</v>
      </c>
      <c r="BM99" s="52"/>
      <c r="BN99" s="51" t="s">
        <v>207</v>
      </c>
    </row>
    <row r="100" customFormat="false" ht="17.25" hidden="false" customHeight="true" outlineLevel="0" collapsed="false">
      <c r="B100" s="132"/>
      <c r="C100" s="142"/>
      <c r="D100" s="143"/>
      <c r="E100" s="144" t="s">
        <v>66</v>
      </c>
      <c r="F100" s="145"/>
      <c r="G100" s="80" t="s">
        <v>130</v>
      </c>
      <c r="H100" s="55"/>
      <c r="I100" s="56" t="s">
        <v>130</v>
      </c>
      <c r="J100" s="51" t="s">
        <v>44</v>
      </c>
      <c r="K100" s="52"/>
      <c r="L100" s="153" t="s">
        <v>44</v>
      </c>
      <c r="M100" s="80" t="s">
        <v>44</v>
      </c>
      <c r="N100" s="55"/>
      <c r="O100" s="152" t="s">
        <v>44</v>
      </c>
      <c r="P100" s="80" t="s">
        <v>44</v>
      </c>
      <c r="Q100" s="55"/>
      <c r="R100" s="56" t="s">
        <v>44</v>
      </c>
      <c r="S100" s="245" t="s">
        <v>232</v>
      </c>
      <c r="T100" s="52"/>
      <c r="U100" s="53" t="s">
        <v>222</v>
      </c>
      <c r="V100" s="246" t="s">
        <v>166</v>
      </c>
      <c r="W100" s="55"/>
      <c r="X100" s="55" t="s">
        <v>166</v>
      </c>
      <c r="Y100" s="249" t="s">
        <v>156</v>
      </c>
      <c r="Z100" s="52"/>
      <c r="AA100" s="59" t="s">
        <v>136</v>
      </c>
      <c r="AB100" s="246" t="s">
        <v>156</v>
      </c>
      <c r="AC100" s="55"/>
      <c r="AD100" s="56" t="s">
        <v>136</v>
      </c>
      <c r="AE100" s="51" t="s">
        <v>223</v>
      </c>
      <c r="AF100" s="52"/>
      <c r="AG100" s="53" t="s">
        <v>242</v>
      </c>
      <c r="AH100" s="80" t="s">
        <v>224</v>
      </c>
      <c r="AI100" s="55"/>
      <c r="AJ100" s="56" t="s">
        <v>243</v>
      </c>
      <c r="AK100" s="263" t="s">
        <v>224</v>
      </c>
      <c r="AL100" s="108"/>
      <c r="AM100" s="183" t="s">
        <v>225</v>
      </c>
      <c r="AN100" s="57" t="s">
        <v>226</v>
      </c>
      <c r="AO100" s="58"/>
      <c r="AP100" s="59" t="s">
        <v>227</v>
      </c>
      <c r="AQ100" s="248" t="s">
        <v>143</v>
      </c>
      <c r="AR100" s="76"/>
      <c r="AS100" s="77" t="s">
        <v>144</v>
      </c>
      <c r="AT100" s="51" t="s">
        <v>160</v>
      </c>
      <c r="AU100" s="52"/>
      <c r="AV100" s="53" t="s">
        <v>146</v>
      </c>
      <c r="AW100" s="80" t="s">
        <v>160</v>
      </c>
      <c r="AX100" s="55"/>
      <c r="AY100" s="56" t="s">
        <v>146</v>
      </c>
      <c r="AZ100" s="51" t="s">
        <v>160</v>
      </c>
      <c r="BA100" s="52"/>
      <c r="BB100" s="53" t="s">
        <v>143</v>
      </c>
      <c r="BC100" s="248" t="s">
        <v>148</v>
      </c>
      <c r="BD100" s="76"/>
      <c r="BE100" s="77" t="s">
        <v>149</v>
      </c>
      <c r="BF100" s="249" t="s">
        <v>207</v>
      </c>
      <c r="BG100" s="52"/>
      <c r="BH100" s="51" t="s">
        <v>207</v>
      </c>
      <c r="BI100" s="246" t="s">
        <v>207</v>
      </c>
      <c r="BJ100" s="76"/>
      <c r="BK100" s="56" t="s">
        <v>207</v>
      </c>
      <c r="BL100" s="249" t="s">
        <v>207</v>
      </c>
      <c r="BM100" s="52"/>
      <c r="BN100" s="51" t="s">
        <v>207</v>
      </c>
    </row>
    <row r="101" customFormat="false" ht="17.25" hidden="false" customHeight="true" outlineLevel="0" collapsed="false">
      <c r="B101" s="132"/>
      <c r="C101" s="142" t="s">
        <v>76</v>
      </c>
      <c r="D101" s="147"/>
      <c r="E101" s="148" t="s">
        <v>63</v>
      </c>
      <c r="F101" s="149"/>
      <c r="G101" s="80" t="s">
        <v>130</v>
      </c>
      <c r="H101" s="55"/>
      <c r="I101" s="56" t="s">
        <v>130</v>
      </c>
      <c r="J101" s="51" t="s">
        <v>44</v>
      </c>
      <c r="K101" s="52"/>
      <c r="L101" s="153" t="s">
        <v>44</v>
      </c>
      <c r="M101" s="80" t="s">
        <v>44</v>
      </c>
      <c r="N101" s="55"/>
      <c r="O101" s="152" t="s">
        <v>44</v>
      </c>
      <c r="P101" s="80" t="s">
        <v>44</v>
      </c>
      <c r="Q101" s="55"/>
      <c r="R101" s="56" t="s">
        <v>44</v>
      </c>
      <c r="S101" s="245" t="s">
        <v>244</v>
      </c>
      <c r="T101" s="52"/>
      <c r="U101" s="53" t="s">
        <v>245</v>
      </c>
      <c r="V101" s="246" t="s">
        <v>246</v>
      </c>
      <c r="W101" s="55"/>
      <c r="X101" s="56" t="s">
        <v>133</v>
      </c>
      <c r="Y101" s="249" t="s">
        <v>156</v>
      </c>
      <c r="Z101" s="52"/>
      <c r="AA101" s="59" t="s">
        <v>136</v>
      </c>
      <c r="AB101" s="246" t="s">
        <v>156</v>
      </c>
      <c r="AC101" s="55"/>
      <c r="AD101" s="56" t="s">
        <v>136</v>
      </c>
      <c r="AE101" s="51" t="s">
        <v>247</v>
      </c>
      <c r="AF101" s="52"/>
      <c r="AG101" s="53" t="s">
        <v>248</v>
      </c>
      <c r="AH101" s="80" t="s">
        <v>249</v>
      </c>
      <c r="AI101" s="55"/>
      <c r="AJ101" s="56" t="s">
        <v>250</v>
      </c>
      <c r="AK101" s="255" t="s">
        <v>251</v>
      </c>
      <c r="AL101" s="108"/>
      <c r="AM101" s="89" t="s">
        <v>252</v>
      </c>
      <c r="AN101" s="57" t="s">
        <v>253</v>
      </c>
      <c r="AO101" s="58"/>
      <c r="AP101" s="59" t="s">
        <v>133</v>
      </c>
      <c r="AQ101" s="248" t="s">
        <v>254</v>
      </c>
      <c r="AR101" s="76"/>
      <c r="AS101" s="77" t="s">
        <v>144</v>
      </c>
      <c r="AT101" s="51" t="s">
        <v>228</v>
      </c>
      <c r="AU101" s="52"/>
      <c r="AV101" s="53" t="s">
        <v>229</v>
      </c>
      <c r="AW101" s="80" t="s">
        <v>228</v>
      </c>
      <c r="AX101" s="55"/>
      <c r="AY101" s="56" t="s">
        <v>255</v>
      </c>
      <c r="AZ101" s="51" t="s">
        <v>228</v>
      </c>
      <c r="BA101" s="52"/>
      <c r="BB101" s="53" t="s">
        <v>229</v>
      </c>
      <c r="BC101" s="248" t="s">
        <v>148</v>
      </c>
      <c r="BD101" s="76"/>
      <c r="BE101" s="77" t="s">
        <v>149</v>
      </c>
      <c r="BF101" s="249" t="s">
        <v>150</v>
      </c>
      <c r="BG101" s="52"/>
      <c r="BH101" s="53" t="s">
        <v>150</v>
      </c>
      <c r="BI101" s="264" t="s">
        <v>150</v>
      </c>
      <c r="BJ101" s="55"/>
      <c r="BK101" s="56" t="s">
        <v>150</v>
      </c>
      <c r="BL101" s="249" t="s">
        <v>150</v>
      </c>
      <c r="BM101" s="52"/>
      <c r="BN101" s="53" t="s">
        <v>150</v>
      </c>
    </row>
    <row r="102" customFormat="false" ht="17.25" hidden="false" customHeight="true" outlineLevel="0" collapsed="false">
      <c r="B102" s="132"/>
      <c r="C102" s="142"/>
      <c r="D102" s="147"/>
      <c r="E102" s="148" t="s">
        <v>64</v>
      </c>
      <c r="F102" s="149"/>
      <c r="G102" s="80" t="s">
        <v>130</v>
      </c>
      <c r="H102" s="55"/>
      <c r="I102" s="56" t="s">
        <v>130</v>
      </c>
      <c r="J102" s="51" t="s">
        <v>44</v>
      </c>
      <c r="K102" s="52"/>
      <c r="L102" s="153" t="s">
        <v>44</v>
      </c>
      <c r="M102" s="80" t="s">
        <v>44</v>
      </c>
      <c r="N102" s="55"/>
      <c r="O102" s="152" t="s">
        <v>44</v>
      </c>
      <c r="P102" s="80" t="s">
        <v>44</v>
      </c>
      <c r="Q102" s="55"/>
      <c r="R102" s="56" t="s">
        <v>44</v>
      </c>
      <c r="S102" s="245" t="s">
        <v>244</v>
      </c>
      <c r="T102" s="52"/>
      <c r="U102" s="53" t="s">
        <v>245</v>
      </c>
      <c r="V102" s="246" t="s">
        <v>246</v>
      </c>
      <c r="W102" s="55"/>
      <c r="X102" s="56" t="s">
        <v>133</v>
      </c>
      <c r="Y102" s="249" t="s">
        <v>156</v>
      </c>
      <c r="Z102" s="52"/>
      <c r="AA102" s="59" t="s">
        <v>136</v>
      </c>
      <c r="AB102" s="246" t="s">
        <v>156</v>
      </c>
      <c r="AC102" s="55"/>
      <c r="AD102" s="56" t="s">
        <v>136</v>
      </c>
      <c r="AE102" s="51" t="s">
        <v>247</v>
      </c>
      <c r="AF102" s="52"/>
      <c r="AG102" s="53" t="s">
        <v>248</v>
      </c>
      <c r="AH102" s="80" t="s">
        <v>249</v>
      </c>
      <c r="AI102" s="55"/>
      <c r="AJ102" s="56" t="s">
        <v>250</v>
      </c>
      <c r="AK102" s="255" t="s">
        <v>251</v>
      </c>
      <c r="AL102" s="108"/>
      <c r="AM102" s="89" t="s">
        <v>252</v>
      </c>
      <c r="AN102" s="57" t="s">
        <v>253</v>
      </c>
      <c r="AO102" s="58"/>
      <c r="AP102" s="59" t="s">
        <v>133</v>
      </c>
      <c r="AQ102" s="248" t="s">
        <v>254</v>
      </c>
      <c r="AR102" s="76"/>
      <c r="AS102" s="77" t="s">
        <v>144</v>
      </c>
      <c r="AT102" s="51" t="s">
        <v>228</v>
      </c>
      <c r="AU102" s="52"/>
      <c r="AV102" s="53" t="s">
        <v>229</v>
      </c>
      <c r="AW102" s="80" t="s">
        <v>228</v>
      </c>
      <c r="AX102" s="55"/>
      <c r="AY102" s="56" t="s">
        <v>255</v>
      </c>
      <c r="AZ102" s="51" t="s">
        <v>228</v>
      </c>
      <c r="BA102" s="52"/>
      <c r="BB102" s="53" t="s">
        <v>229</v>
      </c>
      <c r="BC102" s="248" t="s">
        <v>148</v>
      </c>
      <c r="BD102" s="76"/>
      <c r="BE102" s="77" t="s">
        <v>149</v>
      </c>
      <c r="BF102" s="249" t="s">
        <v>150</v>
      </c>
      <c r="BG102" s="52"/>
      <c r="BH102" s="53" t="s">
        <v>150</v>
      </c>
      <c r="BI102" s="246" t="s">
        <v>150</v>
      </c>
      <c r="BJ102" s="55"/>
      <c r="BK102" s="56" t="s">
        <v>150</v>
      </c>
      <c r="BL102" s="249" t="s">
        <v>150</v>
      </c>
      <c r="BM102" s="52"/>
      <c r="BN102" s="53" t="s">
        <v>150</v>
      </c>
    </row>
    <row r="103" customFormat="false" ht="17.25" hidden="false" customHeight="true" outlineLevel="0" collapsed="false">
      <c r="B103" s="132"/>
      <c r="C103" s="142"/>
      <c r="D103" s="147"/>
      <c r="E103" s="148" t="s">
        <v>65</v>
      </c>
      <c r="F103" s="149"/>
      <c r="G103" s="80" t="s">
        <v>130</v>
      </c>
      <c r="H103" s="55"/>
      <c r="I103" s="56" t="s">
        <v>130</v>
      </c>
      <c r="J103" s="51" t="s">
        <v>44</v>
      </c>
      <c r="K103" s="52"/>
      <c r="L103" s="153" t="s">
        <v>44</v>
      </c>
      <c r="M103" s="80" t="s">
        <v>44</v>
      </c>
      <c r="N103" s="55"/>
      <c r="O103" s="152" t="s">
        <v>44</v>
      </c>
      <c r="P103" s="80" t="s">
        <v>44</v>
      </c>
      <c r="Q103" s="55"/>
      <c r="R103" s="56" t="s">
        <v>44</v>
      </c>
      <c r="S103" s="245" t="s">
        <v>244</v>
      </c>
      <c r="T103" s="52"/>
      <c r="U103" s="53" t="s">
        <v>245</v>
      </c>
      <c r="V103" s="246" t="s">
        <v>246</v>
      </c>
      <c r="W103" s="55"/>
      <c r="X103" s="56" t="s">
        <v>133</v>
      </c>
      <c r="Y103" s="249" t="s">
        <v>156</v>
      </c>
      <c r="Z103" s="52"/>
      <c r="AA103" s="59" t="s">
        <v>136</v>
      </c>
      <c r="AB103" s="246" t="s">
        <v>156</v>
      </c>
      <c r="AC103" s="55"/>
      <c r="AD103" s="56" t="s">
        <v>136</v>
      </c>
      <c r="AE103" s="51" t="s">
        <v>247</v>
      </c>
      <c r="AF103" s="52"/>
      <c r="AG103" s="53" t="s">
        <v>248</v>
      </c>
      <c r="AH103" s="80" t="s">
        <v>249</v>
      </c>
      <c r="AI103" s="55"/>
      <c r="AJ103" s="56" t="s">
        <v>250</v>
      </c>
      <c r="AK103" s="255" t="s">
        <v>251</v>
      </c>
      <c r="AL103" s="108"/>
      <c r="AM103" s="89" t="s">
        <v>252</v>
      </c>
      <c r="AN103" s="57" t="s">
        <v>253</v>
      </c>
      <c r="AO103" s="58"/>
      <c r="AP103" s="59" t="s">
        <v>133</v>
      </c>
      <c r="AQ103" s="248" t="s">
        <v>254</v>
      </c>
      <c r="AR103" s="76"/>
      <c r="AS103" s="77" t="s">
        <v>144</v>
      </c>
      <c r="AT103" s="51" t="s">
        <v>228</v>
      </c>
      <c r="AU103" s="52"/>
      <c r="AV103" s="53" t="s">
        <v>229</v>
      </c>
      <c r="AW103" s="80" t="s">
        <v>228</v>
      </c>
      <c r="AX103" s="55"/>
      <c r="AY103" s="56" t="s">
        <v>255</v>
      </c>
      <c r="AZ103" s="51" t="s">
        <v>228</v>
      </c>
      <c r="BA103" s="52"/>
      <c r="BB103" s="53" t="s">
        <v>229</v>
      </c>
      <c r="BC103" s="248" t="s">
        <v>148</v>
      </c>
      <c r="BD103" s="76"/>
      <c r="BE103" s="77" t="s">
        <v>149</v>
      </c>
      <c r="BF103" s="249" t="s">
        <v>150</v>
      </c>
      <c r="BG103" s="52"/>
      <c r="BH103" s="53" t="s">
        <v>150</v>
      </c>
      <c r="BI103" s="246" t="s">
        <v>150</v>
      </c>
      <c r="BJ103" s="55"/>
      <c r="BK103" s="56" t="s">
        <v>150</v>
      </c>
      <c r="BL103" s="249" t="s">
        <v>150</v>
      </c>
      <c r="BM103" s="52"/>
      <c r="BN103" s="53" t="s">
        <v>150</v>
      </c>
    </row>
    <row r="104" customFormat="false" ht="17.25" hidden="false" customHeight="true" outlineLevel="0" collapsed="false">
      <c r="B104" s="132"/>
      <c r="C104" s="142"/>
      <c r="D104" s="147"/>
      <c r="E104" s="148" t="s">
        <v>66</v>
      </c>
      <c r="F104" s="149"/>
      <c r="G104" s="80" t="s">
        <v>130</v>
      </c>
      <c r="H104" s="55"/>
      <c r="I104" s="56" t="s">
        <v>130</v>
      </c>
      <c r="J104" s="51" t="s">
        <v>44</v>
      </c>
      <c r="K104" s="52"/>
      <c r="L104" s="153" t="s">
        <v>44</v>
      </c>
      <c r="M104" s="80" t="s">
        <v>44</v>
      </c>
      <c r="N104" s="55"/>
      <c r="O104" s="152" t="s">
        <v>44</v>
      </c>
      <c r="P104" s="80" t="s">
        <v>44</v>
      </c>
      <c r="Q104" s="55"/>
      <c r="R104" s="56" t="s">
        <v>44</v>
      </c>
      <c r="S104" s="245" t="s">
        <v>244</v>
      </c>
      <c r="T104" s="52"/>
      <c r="U104" s="53" t="s">
        <v>245</v>
      </c>
      <c r="V104" s="246" t="s">
        <v>246</v>
      </c>
      <c r="W104" s="55"/>
      <c r="X104" s="56" t="s">
        <v>133</v>
      </c>
      <c r="Y104" s="249" t="s">
        <v>156</v>
      </c>
      <c r="Z104" s="52"/>
      <c r="AA104" s="59" t="s">
        <v>136</v>
      </c>
      <c r="AB104" s="246" t="s">
        <v>156</v>
      </c>
      <c r="AC104" s="55"/>
      <c r="AD104" s="56" t="s">
        <v>136</v>
      </c>
      <c r="AE104" s="51" t="s">
        <v>247</v>
      </c>
      <c r="AF104" s="52"/>
      <c r="AG104" s="53" t="s">
        <v>248</v>
      </c>
      <c r="AH104" s="80" t="s">
        <v>249</v>
      </c>
      <c r="AI104" s="55"/>
      <c r="AJ104" s="56" t="s">
        <v>250</v>
      </c>
      <c r="AK104" s="255" t="s">
        <v>251</v>
      </c>
      <c r="AL104" s="108"/>
      <c r="AM104" s="89" t="s">
        <v>252</v>
      </c>
      <c r="AN104" s="57" t="s">
        <v>253</v>
      </c>
      <c r="AO104" s="58"/>
      <c r="AP104" s="59" t="s">
        <v>133</v>
      </c>
      <c r="AQ104" s="248" t="s">
        <v>254</v>
      </c>
      <c r="AR104" s="76"/>
      <c r="AS104" s="77" t="s">
        <v>144</v>
      </c>
      <c r="AT104" s="51" t="s">
        <v>228</v>
      </c>
      <c r="AU104" s="52"/>
      <c r="AV104" s="53" t="s">
        <v>229</v>
      </c>
      <c r="AW104" s="80" t="s">
        <v>228</v>
      </c>
      <c r="AX104" s="55"/>
      <c r="AY104" s="56" t="s">
        <v>255</v>
      </c>
      <c r="AZ104" s="51" t="s">
        <v>228</v>
      </c>
      <c r="BA104" s="52"/>
      <c r="BB104" s="53" t="s">
        <v>229</v>
      </c>
      <c r="BC104" s="248" t="s">
        <v>148</v>
      </c>
      <c r="BD104" s="76"/>
      <c r="BE104" s="77" t="s">
        <v>149</v>
      </c>
      <c r="BF104" s="249" t="s">
        <v>150</v>
      </c>
      <c r="BG104" s="52"/>
      <c r="BH104" s="53" t="s">
        <v>150</v>
      </c>
      <c r="BI104" s="246" t="s">
        <v>150</v>
      </c>
      <c r="BJ104" s="55"/>
      <c r="BK104" s="56" t="s">
        <v>150</v>
      </c>
      <c r="BL104" s="249" t="s">
        <v>150</v>
      </c>
      <c r="BM104" s="52"/>
      <c r="BN104" s="53" t="s">
        <v>150</v>
      </c>
    </row>
    <row r="105" customFormat="false" ht="17.25" hidden="false" customHeight="true" outlineLevel="0" collapsed="false">
      <c r="B105" s="132"/>
      <c r="C105" s="150" t="s">
        <v>80</v>
      </c>
      <c r="D105" s="143" t="s">
        <v>68</v>
      </c>
      <c r="E105" s="144" t="s">
        <v>63</v>
      </c>
      <c r="F105" s="145" t="s">
        <v>69</v>
      </c>
      <c r="G105" s="80" t="s">
        <v>130</v>
      </c>
      <c r="H105" s="55"/>
      <c r="I105" s="56" t="s">
        <v>130</v>
      </c>
      <c r="J105" s="51" t="s">
        <v>44</v>
      </c>
      <c r="K105" s="52"/>
      <c r="L105" s="153" t="s">
        <v>44</v>
      </c>
      <c r="M105" s="80" t="s">
        <v>44</v>
      </c>
      <c r="N105" s="55"/>
      <c r="O105" s="152" t="s">
        <v>44</v>
      </c>
      <c r="P105" s="80" t="s">
        <v>44</v>
      </c>
      <c r="Q105" s="55"/>
      <c r="R105" s="56" t="s">
        <v>44</v>
      </c>
      <c r="S105" s="245" t="s">
        <v>244</v>
      </c>
      <c r="T105" s="52"/>
      <c r="U105" s="53" t="s">
        <v>245</v>
      </c>
      <c r="V105" s="246" t="s">
        <v>246</v>
      </c>
      <c r="W105" s="55"/>
      <c r="X105" s="56" t="s">
        <v>133</v>
      </c>
      <c r="Y105" s="249" t="s">
        <v>156</v>
      </c>
      <c r="Z105" s="52"/>
      <c r="AA105" s="59" t="s">
        <v>136</v>
      </c>
      <c r="AB105" s="246" t="s">
        <v>156</v>
      </c>
      <c r="AC105" s="55"/>
      <c r="AD105" s="56" t="s">
        <v>136</v>
      </c>
      <c r="AE105" s="51" t="s">
        <v>247</v>
      </c>
      <c r="AF105" s="52"/>
      <c r="AG105" s="53" t="s">
        <v>248</v>
      </c>
      <c r="AH105" s="80" t="s">
        <v>249</v>
      </c>
      <c r="AI105" s="55"/>
      <c r="AJ105" s="56" t="s">
        <v>250</v>
      </c>
      <c r="AK105" s="255" t="s">
        <v>251</v>
      </c>
      <c r="AL105" s="108"/>
      <c r="AM105" s="89" t="s">
        <v>159</v>
      </c>
      <c r="AN105" s="57" t="s">
        <v>253</v>
      </c>
      <c r="AO105" s="52"/>
      <c r="AP105" s="53" t="s">
        <v>256</v>
      </c>
      <c r="AQ105" s="248" t="s">
        <v>254</v>
      </c>
      <c r="AR105" s="55"/>
      <c r="AS105" s="56" t="s">
        <v>257</v>
      </c>
      <c r="AT105" s="51" t="s">
        <v>160</v>
      </c>
      <c r="AU105" s="52"/>
      <c r="AV105" s="53" t="s">
        <v>146</v>
      </c>
      <c r="AW105" s="80" t="s">
        <v>160</v>
      </c>
      <c r="AX105" s="55"/>
      <c r="AY105" s="56" t="s">
        <v>147</v>
      </c>
      <c r="AZ105" s="51" t="s">
        <v>160</v>
      </c>
      <c r="BA105" s="52"/>
      <c r="BB105" s="53" t="s">
        <v>146</v>
      </c>
      <c r="BC105" s="248" t="s">
        <v>148</v>
      </c>
      <c r="BD105" s="76"/>
      <c r="BE105" s="77" t="s">
        <v>149</v>
      </c>
      <c r="BF105" s="249" t="s">
        <v>167</v>
      </c>
      <c r="BG105" s="52"/>
      <c r="BH105" s="53" t="s">
        <v>150</v>
      </c>
      <c r="BI105" s="246" t="s">
        <v>237</v>
      </c>
      <c r="BJ105" s="55"/>
      <c r="BK105" s="56" t="s">
        <v>150</v>
      </c>
      <c r="BL105" s="249" t="s">
        <v>237</v>
      </c>
      <c r="BM105" s="52"/>
      <c r="BN105" s="53" t="s">
        <v>199</v>
      </c>
    </row>
    <row r="106" customFormat="false" ht="17.25" hidden="false" customHeight="true" outlineLevel="0" collapsed="false">
      <c r="B106" s="132"/>
      <c r="C106" s="150"/>
      <c r="D106" s="143"/>
      <c r="E106" s="144" t="s">
        <v>64</v>
      </c>
      <c r="F106" s="145"/>
      <c r="G106" s="80" t="s">
        <v>130</v>
      </c>
      <c r="H106" s="55"/>
      <c r="I106" s="56" t="s">
        <v>130</v>
      </c>
      <c r="J106" s="51" t="s">
        <v>44</v>
      </c>
      <c r="K106" s="52"/>
      <c r="L106" s="153" t="s">
        <v>44</v>
      </c>
      <c r="M106" s="80" t="s">
        <v>44</v>
      </c>
      <c r="N106" s="55"/>
      <c r="O106" s="152" t="s">
        <v>44</v>
      </c>
      <c r="P106" s="80" t="s">
        <v>44</v>
      </c>
      <c r="Q106" s="55"/>
      <c r="R106" s="56" t="s">
        <v>44</v>
      </c>
      <c r="S106" s="245" t="s">
        <v>244</v>
      </c>
      <c r="T106" s="52"/>
      <c r="U106" s="53" t="s">
        <v>245</v>
      </c>
      <c r="V106" s="246" t="s">
        <v>246</v>
      </c>
      <c r="W106" s="55"/>
      <c r="X106" s="56" t="s">
        <v>133</v>
      </c>
      <c r="Y106" s="249" t="s">
        <v>156</v>
      </c>
      <c r="Z106" s="52"/>
      <c r="AA106" s="59" t="s">
        <v>136</v>
      </c>
      <c r="AB106" s="246" t="s">
        <v>156</v>
      </c>
      <c r="AC106" s="55"/>
      <c r="AD106" s="56" t="s">
        <v>136</v>
      </c>
      <c r="AE106" s="51" t="s">
        <v>247</v>
      </c>
      <c r="AF106" s="52"/>
      <c r="AG106" s="53" t="s">
        <v>248</v>
      </c>
      <c r="AH106" s="80" t="s">
        <v>249</v>
      </c>
      <c r="AI106" s="55"/>
      <c r="AJ106" s="56" t="s">
        <v>250</v>
      </c>
      <c r="AK106" s="255" t="s">
        <v>251</v>
      </c>
      <c r="AL106" s="108"/>
      <c r="AM106" s="89" t="s">
        <v>159</v>
      </c>
      <c r="AN106" s="57" t="s">
        <v>253</v>
      </c>
      <c r="AO106" s="52"/>
      <c r="AP106" s="53" t="s">
        <v>256</v>
      </c>
      <c r="AQ106" s="248" t="s">
        <v>254</v>
      </c>
      <c r="AR106" s="55"/>
      <c r="AS106" s="56" t="s">
        <v>257</v>
      </c>
      <c r="AT106" s="51" t="s">
        <v>160</v>
      </c>
      <c r="AU106" s="52"/>
      <c r="AV106" s="53" t="s">
        <v>146</v>
      </c>
      <c r="AW106" s="80" t="s">
        <v>160</v>
      </c>
      <c r="AX106" s="55"/>
      <c r="AY106" s="56" t="s">
        <v>147</v>
      </c>
      <c r="AZ106" s="51" t="s">
        <v>160</v>
      </c>
      <c r="BA106" s="52"/>
      <c r="BB106" s="53" t="s">
        <v>146</v>
      </c>
      <c r="BC106" s="248" t="s">
        <v>148</v>
      </c>
      <c r="BD106" s="76"/>
      <c r="BE106" s="77" t="s">
        <v>149</v>
      </c>
      <c r="BF106" s="249" t="s">
        <v>167</v>
      </c>
      <c r="BG106" s="52"/>
      <c r="BH106" s="53" t="s">
        <v>150</v>
      </c>
      <c r="BI106" s="246" t="s">
        <v>237</v>
      </c>
      <c r="BJ106" s="55"/>
      <c r="BK106" s="56" t="s">
        <v>150</v>
      </c>
      <c r="BL106" s="249" t="s">
        <v>237</v>
      </c>
      <c r="BM106" s="52"/>
      <c r="BN106" s="53" t="s">
        <v>199</v>
      </c>
    </row>
    <row r="107" customFormat="false" ht="17.25" hidden="false" customHeight="true" outlineLevel="0" collapsed="false">
      <c r="B107" s="132"/>
      <c r="C107" s="150"/>
      <c r="D107" s="143"/>
      <c r="E107" s="144" t="s">
        <v>65</v>
      </c>
      <c r="F107" s="145"/>
      <c r="G107" s="80" t="s">
        <v>130</v>
      </c>
      <c r="H107" s="55"/>
      <c r="I107" s="56" t="s">
        <v>130</v>
      </c>
      <c r="J107" s="51" t="s">
        <v>44</v>
      </c>
      <c r="K107" s="52"/>
      <c r="L107" s="153" t="s">
        <v>44</v>
      </c>
      <c r="M107" s="80" t="s">
        <v>44</v>
      </c>
      <c r="N107" s="55"/>
      <c r="O107" s="152" t="s">
        <v>44</v>
      </c>
      <c r="P107" s="80" t="s">
        <v>44</v>
      </c>
      <c r="Q107" s="55"/>
      <c r="R107" s="56" t="s">
        <v>44</v>
      </c>
      <c r="S107" s="245" t="s">
        <v>244</v>
      </c>
      <c r="T107" s="52"/>
      <c r="U107" s="53" t="s">
        <v>245</v>
      </c>
      <c r="V107" s="246" t="s">
        <v>246</v>
      </c>
      <c r="W107" s="55"/>
      <c r="X107" s="56" t="s">
        <v>133</v>
      </c>
      <c r="Y107" s="249" t="s">
        <v>156</v>
      </c>
      <c r="Z107" s="52"/>
      <c r="AA107" s="59" t="s">
        <v>136</v>
      </c>
      <c r="AB107" s="246" t="s">
        <v>156</v>
      </c>
      <c r="AC107" s="55"/>
      <c r="AD107" s="56" t="s">
        <v>136</v>
      </c>
      <c r="AE107" s="51" t="s">
        <v>247</v>
      </c>
      <c r="AF107" s="52"/>
      <c r="AG107" s="53" t="s">
        <v>248</v>
      </c>
      <c r="AH107" s="80" t="s">
        <v>249</v>
      </c>
      <c r="AI107" s="55"/>
      <c r="AJ107" s="56" t="s">
        <v>250</v>
      </c>
      <c r="AK107" s="255" t="s">
        <v>251</v>
      </c>
      <c r="AL107" s="108"/>
      <c r="AM107" s="89" t="s">
        <v>159</v>
      </c>
      <c r="AN107" s="57" t="s">
        <v>253</v>
      </c>
      <c r="AO107" s="52"/>
      <c r="AP107" s="53" t="s">
        <v>256</v>
      </c>
      <c r="AQ107" s="248" t="s">
        <v>254</v>
      </c>
      <c r="AR107" s="55"/>
      <c r="AS107" s="56" t="s">
        <v>257</v>
      </c>
      <c r="AT107" s="51" t="s">
        <v>160</v>
      </c>
      <c r="AU107" s="52"/>
      <c r="AV107" s="53" t="s">
        <v>146</v>
      </c>
      <c r="AW107" s="80" t="s">
        <v>160</v>
      </c>
      <c r="AX107" s="55"/>
      <c r="AY107" s="56" t="s">
        <v>147</v>
      </c>
      <c r="AZ107" s="51" t="s">
        <v>160</v>
      </c>
      <c r="BA107" s="52"/>
      <c r="BB107" s="53" t="s">
        <v>146</v>
      </c>
      <c r="BC107" s="248" t="s">
        <v>148</v>
      </c>
      <c r="BD107" s="76"/>
      <c r="BE107" s="77" t="s">
        <v>149</v>
      </c>
      <c r="BF107" s="249" t="s">
        <v>167</v>
      </c>
      <c r="BG107" s="52"/>
      <c r="BH107" s="53" t="s">
        <v>150</v>
      </c>
      <c r="BI107" s="246" t="s">
        <v>237</v>
      </c>
      <c r="BJ107" s="55"/>
      <c r="BK107" s="56" t="s">
        <v>150</v>
      </c>
      <c r="BL107" s="249" t="s">
        <v>237</v>
      </c>
      <c r="BM107" s="52"/>
      <c r="BN107" s="53" t="s">
        <v>199</v>
      </c>
    </row>
    <row r="108" customFormat="false" ht="17.25" hidden="false" customHeight="true" outlineLevel="0" collapsed="false">
      <c r="B108" s="132"/>
      <c r="C108" s="150"/>
      <c r="D108" s="143"/>
      <c r="E108" s="144" t="s">
        <v>66</v>
      </c>
      <c r="F108" s="145"/>
      <c r="G108" s="80" t="s">
        <v>130</v>
      </c>
      <c r="H108" s="55"/>
      <c r="I108" s="56" t="s">
        <v>130</v>
      </c>
      <c r="J108" s="51" t="s">
        <v>44</v>
      </c>
      <c r="K108" s="52"/>
      <c r="L108" s="153" t="s">
        <v>44</v>
      </c>
      <c r="M108" s="80" t="s">
        <v>44</v>
      </c>
      <c r="N108" s="55"/>
      <c r="O108" s="152" t="s">
        <v>44</v>
      </c>
      <c r="P108" s="80" t="s">
        <v>44</v>
      </c>
      <c r="Q108" s="55"/>
      <c r="R108" s="56" t="s">
        <v>44</v>
      </c>
      <c r="S108" s="245" t="s">
        <v>244</v>
      </c>
      <c r="T108" s="52"/>
      <c r="U108" s="53" t="s">
        <v>245</v>
      </c>
      <c r="V108" s="246" t="s">
        <v>246</v>
      </c>
      <c r="W108" s="55"/>
      <c r="X108" s="56" t="s">
        <v>133</v>
      </c>
      <c r="Y108" s="249" t="s">
        <v>156</v>
      </c>
      <c r="Z108" s="52"/>
      <c r="AA108" s="59" t="s">
        <v>136</v>
      </c>
      <c r="AB108" s="246" t="s">
        <v>156</v>
      </c>
      <c r="AC108" s="55"/>
      <c r="AD108" s="56" t="s">
        <v>136</v>
      </c>
      <c r="AE108" s="51" t="s">
        <v>247</v>
      </c>
      <c r="AF108" s="52"/>
      <c r="AG108" s="53" t="s">
        <v>248</v>
      </c>
      <c r="AH108" s="80" t="s">
        <v>249</v>
      </c>
      <c r="AI108" s="55"/>
      <c r="AJ108" s="56" t="s">
        <v>250</v>
      </c>
      <c r="AK108" s="255" t="s">
        <v>251</v>
      </c>
      <c r="AL108" s="108"/>
      <c r="AM108" s="89" t="s">
        <v>159</v>
      </c>
      <c r="AN108" s="57" t="s">
        <v>253</v>
      </c>
      <c r="AO108" s="52"/>
      <c r="AP108" s="53" t="s">
        <v>256</v>
      </c>
      <c r="AQ108" s="248" t="s">
        <v>254</v>
      </c>
      <c r="AR108" s="55"/>
      <c r="AS108" s="56" t="s">
        <v>257</v>
      </c>
      <c r="AT108" s="51" t="s">
        <v>160</v>
      </c>
      <c r="AU108" s="52"/>
      <c r="AV108" s="53" t="s">
        <v>146</v>
      </c>
      <c r="AW108" s="80" t="s">
        <v>160</v>
      </c>
      <c r="AX108" s="55"/>
      <c r="AY108" s="56" t="s">
        <v>147</v>
      </c>
      <c r="AZ108" s="51" t="s">
        <v>160</v>
      </c>
      <c r="BA108" s="52"/>
      <c r="BB108" s="53" t="s">
        <v>146</v>
      </c>
      <c r="BC108" s="248" t="s">
        <v>148</v>
      </c>
      <c r="BD108" s="76"/>
      <c r="BE108" s="77" t="s">
        <v>149</v>
      </c>
      <c r="BF108" s="249" t="s">
        <v>167</v>
      </c>
      <c r="BG108" s="52"/>
      <c r="BH108" s="53" t="s">
        <v>150</v>
      </c>
      <c r="BI108" s="246" t="s">
        <v>237</v>
      </c>
      <c r="BJ108" s="55"/>
      <c r="BK108" s="56" t="s">
        <v>150</v>
      </c>
      <c r="BL108" s="249" t="s">
        <v>237</v>
      </c>
      <c r="BM108" s="52"/>
      <c r="BN108" s="53" t="s">
        <v>199</v>
      </c>
    </row>
    <row r="109" customFormat="false" ht="17.25" hidden="false" customHeight="true" outlineLevel="0" collapsed="false">
      <c r="B109" s="132"/>
      <c r="C109" s="150"/>
      <c r="D109" s="143" t="s">
        <v>70</v>
      </c>
      <c r="E109" s="144" t="s">
        <v>63</v>
      </c>
      <c r="F109" s="145" t="s">
        <v>71</v>
      </c>
      <c r="G109" s="80" t="s">
        <v>130</v>
      </c>
      <c r="H109" s="55"/>
      <c r="I109" s="56" t="s">
        <v>130</v>
      </c>
      <c r="J109" s="51" t="s">
        <v>44</v>
      </c>
      <c r="K109" s="52"/>
      <c r="L109" s="153" t="s">
        <v>44</v>
      </c>
      <c r="M109" s="80" t="s">
        <v>44</v>
      </c>
      <c r="N109" s="55"/>
      <c r="O109" s="152" t="s">
        <v>44</v>
      </c>
      <c r="P109" s="80" t="s">
        <v>44</v>
      </c>
      <c r="Q109" s="55"/>
      <c r="R109" s="56" t="s">
        <v>44</v>
      </c>
      <c r="S109" s="245" t="s">
        <v>244</v>
      </c>
      <c r="T109" s="52"/>
      <c r="U109" s="53" t="s">
        <v>245</v>
      </c>
      <c r="V109" s="246" t="s">
        <v>246</v>
      </c>
      <c r="W109" s="55"/>
      <c r="X109" s="56" t="s">
        <v>133</v>
      </c>
      <c r="Y109" s="249" t="s">
        <v>156</v>
      </c>
      <c r="Z109" s="52"/>
      <c r="AA109" s="59" t="s">
        <v>136</v>
      </c>
      <c r="AB109" s="246" t="s">
        <v>156</v>
      </c>
      <c r="AC109" s="55"/>
      <c r="AD109" s="56" t="s">
        <v>136</v>
      </c>
      <c r="AE109" s="51" t="s">
        <v>247</v>
      </c>
      <c r="AF109" s="52"/>
      <c r="AG109" s="53" t="s">
        <v>248</v>
      </c>
      <c r="AH109" s="80" t="s">
        <v>249</v>
      </c>
      <c r="AI109" s="55"/>
      <c r="AJ109" s="56" t="s">
        <v>250</v>
      </c>
      <c r="AK109" s="255" t="s">
        <v>251</v>
      </c>
      <c r="AL109" s="108"/>
      <c r="AM109" s="89" t="s">
        <v>159</v>
      </c>
      <c r="AN109" s="57" t="s">
        <v>253</v>
      </c>
      <c r="AO109" s="52"/>
      <c r="AP109" s="53" t="s">
        <v>256</v>
      </c>
      <c r="AQ109" s="248" t="s">
        <v>254</v>
      </c>
      <c r="AR109" s="55"/>
      <c r="AS109" s="56" t="s">
        <v>257</v>
      </c>
      <c r="AT109" s="51" t="s">
        <v>160</v>
      </c>
      <c r="AU109" s="52"/>
      <c r="AV109" s="53" t="s">
        <v>146</v>
      </c>
      <c r="AW109" s="80" t="s">
        <v>160</v>
      </c>
      <c r="AX109" s="55"/>
      <c r="AY109" s="56" t="s">
        <v>147</v>
      </c>
      <c r="AZ109" s="51" t="s">
        <v>160</v>
      </c>
      <c r="BA109" s="52"/>
      <c r="BB109" s="53" t="s">
        <v>146</v>
      </c>
      <c r="BC109" s="248" t="s">
        <v>148</v>
      </c>
      <c r="BD109" s="76"/>
      <c r="BE109" s="77" t="s">
        <v>149</v>
      </c>
      <c r="BF109" s="249" t="s">
        <v>167</v>
      </c>
      <c r="BG109" s="52"/>
      <c r="BH109" s="53" t="s">
        <v>150</v>
      </c>
      <c r="BI109" s="246" t="s">
        <v>237</v>
      </c>
      <c r="BJ109" s="55"/>
      <c r="BK109" s="56" t="s">
        <v>150</v>
      </c>
      <c r="BL109" s="249" t="s">
        <v>237</v>
      </c>
      <c r="BM109" s="52"/>
      <c r="BN109" s="53" t="s">
        <v>199</v>
      </c>
    </row>
    <row r="110" customFormat="false" ht="17.25" hidden="false" customHeight="true" outlineLevel="0" collapsed="false">
      <c r="B110" s="132"/>
      <c r="C110" s="150"/>
      <c r="D110" s="143"/>
      <c r="E110" s="144" t="s">
        <v>64</v>
      </c>
      <c r="F110" s="145"/>
      <c r="G110" s="80" t="s">
        <v>130</v>
      </c>
      <c r="H110" s="55"/>
      <c r="I110" s="56" t="s">
        <v>130</v>
      </c>
      <c r="J110" s="51" t="s">
        <v>44</v>
      </c>
      <c r="K110" s="52"/>
      <c r="L110" s="153" t="s">
        <v>44</v>
      </c>
      <c r="M110" s="80" t="s">
        <v>44</v>
      </c>
      <c r="N110" s="55"/>
      <c r="O110" s="152" t="s">
        <v>44</v>
      </c>
      <c r="P110" s="80" t="s">
        <v>44</v>
      </c>
      <c r="Q110" s="55"/>
      <c r="R110" s="56" t="s">
        <v>44</v>
      </c>
      <c r="S110" s="245" t="s">
        <v>244</v>
      </c>
      <c r="T110" s="52"/>
      <c r="U110" s="53" t="s">
        <v>245</v>
      </c>
      <c r="V110" s="246" t="s">
        <v>246</v>
      </c>
      <c r="W110" s="55"/>
      <c r="X110" s="56" t="s">
        <v>133</v>
      </c>
      <c r="Y110" s="249" t="s">
        <v>156</v>
      </c>
      <c r="Z110" s="52"/>
      <c r="AA110" s="59" t="s">
        <v>136</v>
      </c>
      <c r="AB110" s="246" t="s">
        <v>156</v>
      </c>
      <c r="AC110" s="55"/>
      <c r="AD110" s="56" t="s">
        <v>136</v>
      </c>
      <c r="AE110" s="51" t="s">
        <v>247</v>
      </c>
      <c r="AF110" s="52"/>
      <c r="AG110" s="53" t="s">
        <v>248</v>
      </c>
      <c r="AH110" s="80" t="s">
        <v>249</v>
      </c>
      <c r="AI110" s="55"/>
      <c r="AJ110" s="56" t="s">
        <v>250</v>
      </c>
      <c r="AK110" s="255" t="s">
        <v>251</v>
      </c>
      <c r="AL110" s="108"/>
      <c r="AM110" s="89" t="s">
        <v>159</v>
      </c>
      <c r="AN110" s="57" t="s">
        <v>253</v>
      </c>
      <c r="AO110" s="52"/>
      <c r="AP110" s="53" t="s">
        <v>256</v>
      </c>
      <c r="AQ110" s="248" t="s">
        <v>254</v>
      </c>
      <c r="AR110" s="55"/>
      <c r="AS110" s="56" t="s">
        <v>257</v>
      </c>
      <c r="AT110" s="51" t="s">
        <v>160</v>
      </c>
      <c r="AU110" s="52"/>
      <c r="AV110" s="53" t="s">
        <v>146</v>
      </c>
      <c r="AW110" s="80" t="s">
        <v>160</v>
      </c>
      <c r="AX110" s="55"/>
      <c r="AY110" s="56" t="s">
        <v>147</v>
      </c>
      <c r="AZ110" s="51" t="s">
        <v>160</v>
      </c>
      <c r="BA110" s="52"/>
      <c r="BB110" s="53" t="s">
        <v>146</v>
      </c>
      <c r="BC110" s="248" t="s">
        <v>148</v>
      </c>
      <c r="BD110" s="76"/>
      <c r="BE110" s="77" t="s">
        <v>149</v>
      </c>
      <c r="BF110" s="249" t="s">
        <v>167</v>
      </c>
      <c r="BG110" s="52"/>
      <c r="BH110" s="53" t="s">
        <v>150</v>
      </c>
      <c r="BI110" s="246" t="s">
        <v>237</v>
      </c>
      <c r="BJ110" s="55"/>
      <c r="BK110" s="56" t="s">
        <v>150</v>
      </c>
      <c r="BL110" s="249" t="s">
        <v>237</v>
      </c>
      <c r="BM110" s="52"/>
      <c r="BN110" s="53" t="s">
        <v>199</v>
      </c>
    </row>
    <row r="111" customFormat="false" ht="17.25" hidden="false" customHeight="true" outlineLevel="0" collapsed="false">
      <c r="B111" s="132"/>
      <c r="C111" s="150"/>
      <c r="D111" s="143"/>
      <c r="E111" s="144" t="s">
        <v>65</v>
      </c>
      <c r="F111" s="145"/>
      <c r="G111" s="80" t="s">
        <v>130</v>
      </c>
      <c r="H111" s="55"/>
      <c r="I111" s="56" t="s">
        <v>130</v>
      </c>
      <c r="J111" s="51" t="s">
        <v>44</v>
      </c>
      <c r="K111" s="52"/>
      <c r="L111" s="153" t="s">
        <v>44</v>
      </c>
      <c r="M111" s="80" t="s">
        <v>44</v>
      </c>
      <c r="N111" s="55"/>
      <c r="O111" s="152" t="s">
        <v>44</v>
      </c>
      <c r="P111" s="80" t="s">
        <v>44</v>
      </c>
      <c r="Q111" s="55"/>
      <c r="R111" s="56" t="s">
        <v>44</v>
      </c>
      <c r="S111" s="245" t="s">
        <v>244</v>
      </c>
      <c r="T111" s="52"/>
      <c r="U111" s="53" t="s">
        <v>245</v>
      </c>
      <c r="V111" s="246" t="s">
        <v>246</v>
      </c>
      <c r="W111" s="55"/>
      <c r="X111" s="56" t="s">
        <v>133</v>
      </c>
      <c r="Y111" s="249" t="s">
        <v>156</v>
      </c>
      <c r="Z111" s="52"/>
      <c r="AA111" s="59" t="s">
        <v>136</v>
      </c>
      <c r="AB111" s="246" t="s">
        <v>156</v>
      </c>
      <c r="AC111" s="55"/>
      <c r="AD111" s="56" t="s">
        <v>136</v>
      </c>
      <c r="AE111" s="51" t="s">
        <v>247</v>
      </c>
      <c r="AF111" s="52"/>
      <c r="AG111" s="53" t="s">
        <v>248</v>
      </c>
      <c r="AH111" s="80" t="s">
        <v>249</v>
      </c>
      <c r="AI111" s="55"/>
      <c r="AJ111" s="56" t="s">
        <v>250</v>
      </c>
      <c r="AK111" s="255" t="s">
        <v>251</v>
      </c>
      <c r="AL111" s="108"/>
      <c r="AM111" s="89" t="s">
        <v>159</v>
      </c>
      <c r="AN111" s="57" t="s">
        <v>253</v>
      </c>
      <c r="AO111" s="52"/>
      <c r="AP111" s="53" t="s">
        <v>256</v>
      </c>
      <c r="AQ111" s="248" t="s">
        <v>254</v>
      </c>
      <c r="AR111" s="55"/>
      <c r="AS111" s="56" t="s">
        <v>257</v>
      </c>
      <c r="AT111" s="51" t="s">
        <v>160</v>
      </c>
      <c r="AU111" s="52"/>
      <c r="AV111" s="53" t="s">
        <v>146</v>
      </c>
      <c r="AW111" s="80" t="s">
        <v>160</v>
      </c>
      <c r="AX111" s="55"/>
      <c r="AY111" s="56" t="s">
        <v>147</v>
      </c>
      <c r="AZ111" s="51" t="s">
        <v>160</v>
      </c>
      <c r="BA111" s="52"/>
      <c r="BB111" s="53" t="s">
        <v>146</v>
      </c>
      <c r="BC111" s="248" t="s">
        <v>148</v>
      </c>
      <c r="BD111" s="76"/>
      <c r="BE111" s="77" t="s">
        <v>149</v>
      </c>
      <c r="BF111" s="249" t="s">
        <v>167</v>
      </c>
      <c r="BG111" s="52"/>
      <c r="BH111" s="53" t="s">
        <v>150</v>
      </c>
      <c r="BI111" s="246" t="s">
        <v>237</v>
      </c>
      <c r="BJ111" s="55"/>
      <c r="BK111" s="56" t="s">
        <v>150</v>
      </c>
      <c r="BL111" s="249" t="s">
        <v>237</v>
      </c>
      <c r="BM111" s="52"/>
      <c r="BN111" s="53" t="s">
        <v>199</v>
      </c>
    </row>
    <row r="112" customFormat="false" ht="17.25" hidden="false" customHeight="true" outlineLevel="0" collapsed="false">
      <c r="B112" s="132"/>
      <c r="C112" s="150"/>
      <c r="D112" s="143"/>
      <c r="E112" s="144" t="s">
        <v>66</v>
      </c>
      <c r="F112" s="145"/>
      <c r="G112" s="80" t="s">
        <v>130</v>
      </c>
      <c r="H112" s="55"/>
      <c r="I112" s="56" t="s">
        <v>130</v>
      </c>
      <c r="J112" s="51" t="s">
        <v>44</v>
      </c>
      <c r="K112" s="52"/>
      <c r="L112" s="153" t="s">
        <v>44</v>
      </c>
      <c r="M112" s="80" t="s">
        <v>44</v>
      </c>
      <c r="N112" s="55"/>
      <c r="O112" s="152" t="s">
        <v>44</v>
      </c>
      <c r="P112" s="80" t="s">
        <v>44</v>
      </c>
      <c r="Q112" s="55"/>
      <c r="R112" s="56" t="s">
        <v>44</v>
      </c>
      <c r="S112" s="245" t="s">
        <v>244</v>
      </c>
      <c r="T112" s="52"/>
      <c r="U112" s="53" t="s">
        <v>245</v>
      </c>
      <c r="V112" s="246" t="s">
        <v>246</v>
      </c>
      <c r="W112" s="55"/>
      <c r="X112" s="56" t="s">
        <v>133</v>
      </c>
      <c r="Y112" s="249" t="s">
        <v>156</v>
      </c>
      <c r="Z112" s="52"/>
      <c r="AA112" s="59" t="s">
        <v>136</v>
      </c>
      <c r="AB112" s="246" t="s">
        <v>156</v>
      </c>
      <c r="AC112" s="55"/>
      <c r="AD112" s="56" t="s">
        <v>136</v>
      </c>
      <c r="AE112" s="51" t="s">
        <v>247</v>
      </c>
      <c r="AF112" s="52"/>
      <c r="AG112" s="53" t="s">
        <v>248</v>
      </c>
      <c r="AH112" s="80" t="s">
        <v>249</v>
      </c>
      <c r="AI112" s="55"/>
      <c r="AJ112" s="56" t="s">
        <v>250</v>
      </c>
      <c r="AK112" s="255" t="s">
        <v>251</v>
      </c>
      <c r="AL112" s="108"/>
      <c r="AM112" s="89" t="s">
        <v>159</v>
      </c>
      <c r="AN112" s="57" t="s">
        <v>253</v>
      </c>
      <c r="AO112" s="52"/>
      <c r="AP112" s="53" t="s">
        <v>256</v>
      </c>
      <c r="AQ112" s="248" t="s">
        <v>254</v>
      </c>
      <c r="AR112" s="55"/>
      <c r="AS112" s="56" t="s">
        <v>257</v>
      </c>
      <c r="AT112" s="51" t="s">
        <v>160</v>
      </c>
      <c r="AU112" s="52"/>
      <c r="AV112" s="53" t="s">
        <v>146</v>
      </c>
      <c r="AW112" s="80" t="s">
        <v>160</v>
      </c>
      <c r="AX112" s="55"/>
      <c r="AY112" s="56" t="s">
        <v>147</v>
      </c>
      <c r="AZ112" s="51" t="s">
        <v>160</v>
      </c>
      <c r="BA112" s="52"/>
      <c r="BB112" s="53" t="s">
        <v>146</v>
      </c>
      <c r="BC112" s="248" t="s">
        <v>148</v>
      </c>
      <c r="BD112" s="76"/>
      <c r="BE112" s="77" t="s">
        <v>149</v>
      </c>
      <c r="BF112" s="249" t="s">
        <v>167</v>
      </c>
      <c r="BG112" s="52"/>
      <c r="BH112" s="53" t="s">
        <v>150</v>
      </c>
      <c r="BI112" s="246" t="s">
        <v>237</v>
      </c>
      <c r="BJ112" s="55"/>
      <c r="BK112" s="56" t="s">
        <v>150</v>
      </c>
      <c r="BL112" s="249" t="s">
        <v>237</v>
      </c>
      <c r="BM112" s="52"/>
      <c r="BN112" s="53" t="s">
        <v>199</v>
      </c>
    </row>
    <row r="113" customFormat="false" ht="17.25" hidden="false" customHeight="true" outlineLevel="0" collapsed="false">
      <c r="B113" s="132"/>
      <c r="C113" s="150"/>
      <c r="D113" s="143" t="s">
        <v>72</v>
      </c>
      <c r="E113" s="144" t="s">
        <v>63</v>
      </c>
      <c r="F113" s="145" t="s">
        <v>73</v>
      </c>
      <c r="G113" s="80" t="s">
        <v>130</v>
      </c>
      <c r="H113" s="55"/>
      <c r="I113" s="56" t="s">
        <v>130</v>
      </c>
      <c r="J113" s="51" t="s">
        <v>44</v>
      </c>
      <c r="K113" s="52"/>
      <c r="L113" s="153" t="s">
        <v>44</v>
      </c>
      <c r="M113" s="80" t="s">
        <v>44</v>
      </c>
      <c r="N113" s="55"/>
      <c r="O113" s="152" t="s">
        <v>44</v>
      </c>
      <c r="P113" s="80" t="s">
        <v>44</v>
      </c>
      <c r="Q113" s="55"/>
      <c r="R113" s="56" t="s">
        <v>44</v>
      </c>
      <c r="S113" s="245" t="s">
        <v>244</v>
      </c>
      <c r="T113" s="52"/>
      <c r="U113" s="53" t="s">
        <v>245</v>
      </c>
      <c r="V113" s="246" t="s">
        <v>246</v>
      </c>
      <c r="W113" s="55"/>
      <c r="X113" s="56" t="s">
        <v>133</v>
      </c>
      <c r="Y113" s="249" t="s">
        <v>156</v>
      </c>
      <c r="Z113" s="52"/>
      <c r="AA113" s="59" t="s">
        <v>136</v>
      </c>
      <c r="AB113" s="246" t="s">
        <v>156</v>
      </c>
      <c r="AC113" s="55"/>
      <c r="AD113" s="56" t="s">
        <v>136</v>
      </c>
      <c r="AE113" s="51" t="s">
        <v>247</v>
      </c>
      <c r="AF113" s="52"/>
      <c r="AG113" s="53" t="s">
        <v>248</v>
      </c>
      <c r="AH113" s="80" t="s">
        <v>249</v>
      </c>
      <c r="AI113" s="55"/>
      <c r="AJ113" s="56" t="s">
        <v>250</v>
      </c>
      <c r="AK113" s="255" t="s">
        <v>251</v>
      </c>
      <c r="AL113" s="108"/>
      <c r="AM113" s="89" t="s">
        <v>252</v>
      </c>
      <c r="AN113" s="57" t="s">
        <v>253</v>
      </c>
      <c r="AO113" s="52"/>
      <c r="AP113" s="53" t="s">
        <v>256</v>
      </c>
      <c r="AQ113" s="248" t="s">
        <v>254</v>
      </c>
      <c r="AR113" s="55"/>
      <c r="AS113" s="77" t="s">
        <v>144</v>
      </c>
      <c r="AT113" s="51" t="s">
        <v>160</v>
      </c>
      <c r="AU113" s="52"/>
      <c r="AV113" s="53" t="s">
        <v>146</v>
      </c>
      <c r="AW113" s="80" t="s">
        <v>160</v>
      </c>
      <c r="AX113" s="55"/>
      <c r="AY113" s="56" t="s">
        <v>147</v>
      </c>
      <c r="AZ113" s="51" t="s">
        <v>160</v>
      </c>
      <c r="BA113" s="52"/>
      <c r="BB113" s="53" t="s">
        <v>146</v>
      </c>
      <c r="BC113" s="248" t="s">
        <v>148</v>
      </c>
      <c r="BD113" s="76"/>
      <c r="BE113" s="77" t="s">
        <v>149</v>
      </c>
      <c r="BF113" s="249" t="s">
        <v>167</v>
      </c>
      <c r="BG113" s="52"/>
      <c r="BH113" s="53" t="s">
        <v>150</v>
      </c>
      <c r="BI113" s="246" t="s">
        <v>237</v>
      </c>
      <c r="BJ113" s="55"/>
      <c r="BK113" s="56" t="s">
        <v>150</v>
      </c>
      <c r="BL113" s="249" t="s">
        <v>237</v>
      </c>
      <c r="BM113" s="52"/>
      <c r="BN113" s="53" t="s">
        <v>199</v>
      </c>
    </row>
    <row r="114" customFormat="false" ht="17.25" hidden="false" customHeight="true" outlineLevel="0" collapsed="false">
      <c r="B114" s="132"/>
      <c r="C114" s="150"/>
      <c r="D114" s="143"/>
      <c r="E114" s="144" t="s">
        <v>64</v>
      </c>
      <c r="F114" s="145"/>
      <c r="G114" s="80" t="s">
        <v>130</v>
      </c>
      <c r="H114" s="55"/>
      <c r="I114" s="56" t="s">
        <v>130</v>
      </c>
      <c r="J114" s="51" t="s">
        <v>44</v>
      </c>
      <c r="K114" s="52"/>
      <c r="L114" s="153" t="s">
        <v>44</v>
      </c>
      <c r="M114" s="80" t="s">
        <v>44</v>
      </c>
      <c r="N114" s="55"/>
      <c r="O114" s="152" t="s">
        <v>44</v>
      </c>
      <c r="P114" s="80" t="s">
        <v>44</v>
      </c>
      <c r="Q114" s="55"/>
      <c r="R114" s="56" t="s">
        <v>44</v>
      </c>
      <c r="S114" s="245" t="s">
        <v>244</v>
      </c>
      <c r="T114" s="52"/>
      <c r="U114" s="53" t="s">
        <v>245</v>
      </c>
      <c r="V114" s="246" t="s">
        <v>246</v>
      </c>
      <c r="W114" s="55"/>
      <c r="X114" s="56" t="s">
        <v>133</v>
      </c>
      <c r="Y114" s="249" t="s">
        <v>156</v>
      </c>
      <c r="Z114" s="52"/>
      <c r="AA114" s="59" t="s">
        <v>136</v>
      </c>
      <c r="AB114" s="246" t="s">
        <v>156</v>
      </c>
      <c r="AC114" s="55"/>
      <c r="AD114" s="56" t="s">
        <v>136</v>
      </c>
      <c r="AE114" s="51" t="s">
        <v>247</v>
      </c>
      <c r="AF114" s="52"/>
      <c r="AG114" s="53" t="s">
        <v>248</v>
      </c>
      <c r="AH114" s="80" t="s">
        <v>249</v>
      </c>
      <c r="AI114" s="55"/>
      <c r="AJ114" s="56" t="s">
        <v>250</v>
      </c>
      <c r="AK114" s="255" t="s">
        <v>251</v>
      </c>
      <c r="AL114" s="108"/>
      <c r="AM114" s="89" t="s">
        <v>252</v>
      </c>
      <c r="AN114" s="57" t="s">
        <v>253</v>
      </c>
      <c r="AO114" s="52"/>
      <c r="AP114" s="53" t="s">
        <v>256</v>
      </c>
      <c r="AQ114" s="248" t="s">
        <v>254</v>
      </c>
      <c r="AR114" s="55"/>
      <c r="AS114" s="77" t="s">
        <v>144</v>
      </c>
      <c r="AT114" s="51" t="s">
        <v>160</v>
      </c>
      <c r="AU114" s="52"/>
      <c r="AV114" s="53" t="s">
        <v>146</v>
      </c>
      <c r="AW114" s="80" t="s">
        <v>160</v>
      </c>
      <c r="AX114" s="55"/>
      <c r="AY114" s="56" t="s">
        <v>147</v>
      </c>
      <c r="AZ114" s="51" t="s">
        <v>160</v>
      </c>
      <c r="BA114" s="52"/>
      <c r="BB114" s="53" t="s">
        <v>146</v>
      </c>
      <c r="BC114" s="248" t="s">
        <v>148</v>
      </c>
      <c r="BD114" s="76"/>
      <c r="BE114" s="77" t="s">
        <v>149</v>
      </c>
      <c r="BF114" s="249" t="s">
        <v>167</v>
      </c>
      <c r="BG114" s="52"/>
      <c r="BH114" s="53" t="s">
        <v>150</v>
      </c>
      <c r="BI114" s="246" t="s">
        <v>237</v>
      </c>
      <c r="BJ114" s="55"/>
      <c r="BK114" s="56" t="s">
        <v>150</v>
      </c>
      <c r="BL114" s="249" t="s">
        <v>237</v>
      </c>
      <c r="BM114" s="52"/>
      <c r="BN114" s="53" t="s">
        <v>199</v>
      </c>
    </row>
    <row r="115" customFormat="false" ht="17.25" hidden="false" customHeight="true" outlineLevel="0" collapsed="false">
      <c r="B115" s="132"/>
      <c r="C115" s="150"/>
      <c r="D115" s="143"/>
      <c r="E115" s="144" t="s">
        <v>65</v>
      </c>
      <c r="F115" s="145"/>
      <c r="G115" s="80" t="s">
        <v>130</v>
      </c>
      <c r="H115" s="55"/>
      <c r="I115" s="56" t="s">
        <v>130</v>
      </c>
      <c r="J115" s="51" t="s">
        <v>44</v>
      </c>
      <c r="K115" s="52"/>
      <c r="L115" s="153" t="s">
        <v>44</v>
      </c>
      <c r="M115" s="80" t="s">
        <v>44</v>
      </c>
      <c r="N115" s="55"/>
      <c r="O115" s="152" t="s">
        <v>44</v>
      </c>
      <c r="P115" s="80" t="s">
        <v>44</v>
      </c>
      <c r="Q115" s="55"/>
      <c r="R115" s="56" t="s">
        <v>44</v>
      </c>
      <c r="S115" s="245" t="s">
        <v>244</v>
      </c>
      <c r="T115" s="52"/>
      <c r="U115" s="53" t="s">
        <v>245</v>
      </c>
      <c r="V115" s="246" t="s">
        <v>246</v>
      </c>
      <c r="W115" s="55"/>
      <c r="X115" s="56" t="s">
        <v>133</v>
      </c>
      <c r="Y115" s="249" t="s">
        <v>156</v>
      </c>
      <c r="Z115" s="52"/>
      <c r="AA115" s="59" t="s">
        <v>136</v>
      </c>
      <c r="AB115" s="246" t="s">
        <v>156</v>
      </c>
      <c r="AC115" s="55"/>
      <c r="AD115" s="56" t="s">
        <v>136</v>
      </c>
      <c r="AE115" s="51" t="s">
        <v>247</v>
      </c>
      <c r="AF115" s="52"/>
      <c r="AG115" s="53" t="s">
        <v>248</v>
      </c>
      <c r="AH115" s="80" t="s">
        <v>249</v>
      </c>
      <c r="AI115" s="55"/>
      <c r="AJ115" s="56" t="s">
        <v>250</v>
      </c>
      <c r="AK115" s="255" t="s">
        <v>251</v>
      </c>
      <c r="AL115" s="108"/>
      <c r="AM115" s="89" t="s">
        <v>252</v>
      </c>
      <c r="AN115" s="57" t="s">
        <v>253</v>
      </c>
      <c r="AO115" s="52"/>
      <c r="AP115" s="53" t="s">
        <v>256</v>
      </c>
      <c r="AQ115" s="248" t="s">
        <v>254</v>
      </c>
      <c r="AR115" s="55"/>
      <c r="AS115" s="77" t="s">
        <v>144</v>
      </c>
      <c r="AT115" s="51" t="s">
        <v>160</v>
      </c>
      <c r="AU115" s="52"/>
      <c r="AV115" s="53" t="s">
        <v>146</v>
      </c>
      <c r="AW115" s="80" t="s">
        <v>160</v>
      </c>
      <c r="AX115" s="55"/>
      <c r="AY115" s="56" t="s">
        <v>147</v>
      </c>
      <c r="AZ115" s="51" t="s">
        <v>160</v>
      </c>
      <c r="BA115" s="52"/>
      <c r="BB115" s="53" t="s">
        <v>146</v>
      </c>
      <c r="BC115" s="248" t="s">
        <v>148</v>
      </c>
      <c r="BD115" s="76"/>
      <c r="BE115" s="77" t="s">
        <v>149</v>
      </c>
      <c r="BF115" s="249" t="s">
        <v>167</v>
      </c>
      <c r="BG115" s="52"/>
      <c r="BH115" s="53" t="s">
        <v>150</v>
      </c>
      <c r="BI115" s="246" t="s">
        <v>237</v>
      </c>
      <c r="BJ115" s="55"/>
      <c r="BK115" s="56" t="s">
        <v>150</v>
      </c>
      <c r="BL115" s="249" t="s">
        <v>237</v>
      </c>
      <c r="BM115" s="52"/>
      <c r="BN115" s="53" t="s">
        <v>199</v>
      </c>
    </row>
    <row r="116" customFormat="false" ht="17.25" hidden="false" customHeight="true" outlineLevel="0" collapsed="false">
      <c r="B116" s="132"/>
      <c r="C116" s="150"/>
      <c r="D116" s="143"/>
      <c r="E116" s="144" t="s">
        <v>66</v>
      </c>
      <c r="F116" s="145"/>
      <c r="G116" s="80" t="s">
        <v>130</v>
      </c>
      <c r="H116" s="55"/>
      <c r="I116" s="56" t="s">
        <v>130</v>
      </c>
      <c r="J116" s="51" t="s">
        <v>44</v>
      </c>
      <c r="K116" s="52"/>
      <c r="L116" s="153" t="s">
        <v>44</v>
      </c>
      <c r="M116" s="80" t="s">
        <v>44</v>
      </c>
      <c r="N116" s="55"/>
      <c r="O116" s="152" t="s">
        <v>44</v>
      </c>
      <c r="P116" s="80" t="s">
        <v>44</v>
      </c>
      <c r="Q116" s="55"/>
      <c r="R116" s="56" t="s">
        <v>44</v>
      </c>
      <c r="S116" s="245" t="s">
        <v>244</v>
      </c>
      <c r="T116" s="52"/>
      <c r="U116" s="53" t="s">
        <v>245</v>
      </c>
      <c r="V116" s="246" t="s">
        <v>246</v>
      </c>
      <c r="W116" s="55"/>
      <c r="X116" s="56" t="s">
        <v>133</v>
      </c>
      <c r="Y116" s="249" t="s">
        <v>156</v>
      </c>
      <c r="Z116" s="52"/>
      <c r="AA116" s="59" t="s">
        <v>136</v>
      </c>
      <c r="AB116" s="246" t="s">
        <v>156</v>
      </c>
      <c r="AC116" s="55"/>
      <c r="AD116" s="56" t="s">
        <v>136</v>
      </c>
      <c r="AE116" s="51" t="s">
        <v>247</v>
      </c>
      <c r="AF116" s="52"/>
      <c r="AG116" s="53" t="s">
        <v>248</v>
      </c>
      <c r="AH116" s="80" t="s">
        <v>249</v>
      </c>
      <c r="AI116" s="55"/>
      <c r="AJ116" s="56" t="s">
        <v>250</v>
      </c>
      <c r="AK116" s="255" t="s">
        <v>251</v>
      </c>
      <c r="AL116" s="108"/>
      <c r="AM116" s="89" t="s">
        <v>252</v>
      </c>
      <c r="AN116" s="57" t="s">
        <v>253</v>
      </c>
      <c r="AO116" s="52"/>
      <c r="AP116" s="53" t="s">
        <v>256</v>
      </c>
      <c r="AQ116" s="248" t="s">
        <v>254</v>
      </c>
      <c r="AR116" s="55"/>
      <c r="AS116" s="77" t="s">
        <v>144</v>
      </c>
      <c r="AT116" s="51" t="s">
        <v>160</v>
      </c>
      <c r="AU116" s="52"/>
      <c r="AV116" s="53" t="s">
        <v>146</v>
      </c>
      <c r="AW116" s="80" t="s">
        <v>160</v>
      </c>
      <c r="AX116" s="55"/>
      <c r="AY116" s="56" t="s">
        <v>147</v>
      </c>
      <c r="AZ116" s="51" t="s">
        <v>160</v>
      </c>
      <c r="BA116" s="52"/>
      <c r="BB116" s="53" t="s">
        <v>146</v>
      </c>
      <c r="BC116" s="248" t="s">
        <v>148</v>
      </c>
      <c r="BD116" s="76"/>
      <c r="BE116" s="77" t="s">
        <v>149</v>
      </c>
      <c r="BF116" s="249" t="s">
        <v>167</v>
      </c>
      <c r="BG116" s="52"/>
      <c r="BH116" s="53" t="s">
        <v>150</v>
      </c>
      <c r="BI116" s="246" t="s">
        <v>237</v>
      </c>
      <c r="BJ116" s="55"/>
      <c r="BK116" s="56" t="s">
        <v>150</v>
      </c>
      <c r="BL116" s="249" t="s">
        <v>237</v>
      </c>
      <c r="BM116" s="52"/>
      <c r="BN116" s="53" t="s">
        <v>199</v>
      </c>
    </row>
    <row r="117" customFormat="false" ht="17.25" hidden="false" customHeight="true" outlineLevel="0" collapsed="false">
      <c r="B117" s="132"/>
      <c r="C117" s="150"/>
      <c r="D117" s="143" t="s">
        <v>74</v>
      </c>
      <c r="E117" s="144" t="s">
        <v>63</v>
      </c>
      <c r="F117" s="145" t="s">
        <v>75</v>
      </c>
      <c r="G117" s="80" t="s">
        <v>130</v>
      </c>
      <c r="H117" s="55"/>
      <c r="I117" s="56" t="s">
        <v>130</v>
      </c>
      <c r="J117" s="51" t="s">
        <v>44</v>
      </c>
      <c r="K117" s="52"/>
      <c r="L117" s="153" t="s">
        <v>44</v>
      </c>
      <c r="M117" s="80" t="s">
        <v>44</v>
      </c>
      <c r="N117" s="55"/>
      <c r="O117" s="152" t="s">
        <v>44</v>
      </c>
      <c r="P117" s="80" t="s">
        <v>44</v>
      </c>
      <c r="Q117" s="55"/>
      <c r="R117" s="56" t="s">
        <v>44</v>
      </c>
      <c r="S117" s="245" t="s">
        <v>244</v>
      </c>
      <c r="T117" s="52"/>
      <c r="U117" s="53" t="s">
        <v>245</v>
      </c>
      <c r="V117" s="246" t="s">
        <v>246</v>
      </c>
      <c r="W117" s="55"/>
      <c r="X117" s="56" t="s">
        <v>133</v>
      </c>
      <c r="Y117" s="249" t="s">
        <v>156</v>
      </c>
      <c r="Z117" s="52"/>
      <c r="AA117" s="59" t="s">
        <v>136</v>
      </c>
      <c r="AB117" s="246" t="s">
        <v>156</v>
      </c>
      <c r="AC117" s="55"/>
      <c r="AD117" s="56" t="s">
        <v>136</v>
      </c>
      <c r="AE117" s="51" t="s">
        <v>247</v>
      </c>
      <c r="AF117" s="52"/>
      <c r="AG117" s="53" t="s">
        <v>248</v>
      </c>
      <c r="AH117" s="80" t="s">
        <v>249</v>
      </c>
      <c r="AI117" s="55"/>
      <c r="AJ117" s="56" t="s">
        <v>250</v>
      </c>
      <c r="AK117" s="255" t="s">
        <v>251</v>
      </c>
      <c r="AL117" s="108"/>
      <c r="AM117" s="89" t="s">
        <v>252</v>
      </c>
      <c r="AN117" s="57" t="s">
        <v>253</v>
      </c>
      <c r="AO117" s="52"/>
      <c r="AP117" s="53" t="s">
        <v>256</v>
      </c>
      <c r="AQ117" s="248" t="s">
        <v>254</v>
      </c>
      <c r="AR117" s="55"/>
      <c r="AS117" s="77" t="s">
        <v>144</v>
      </c>
      <c r="AT117" s="51" t="s">
        <v>160</v>
      </c>
      <c r="AU117" s="52"/>
      <c r="AV117" s="53" t="s">
        <v>146</v>
      </c>
      <c r="AW117" s="80" t="s">
        <v>160</v>
      </c>
      <c r="AX117" s="55"/>
      <c r="AY117" s="56" t="s">
        <v>147</v>
      </c>
      <c r="AZ117" s="51" t="s">
        <v>160</v>
      </c>
      <c r="BA117" s="52"/>
      <c r="BB117" s="53" t="s">
        <v>146</v>
      </c>
      <c r="BC117" s="248" t="s">
        <v>148</v>
      </c>
      <c r="BD117" s="76"/>
      <c r="BE117" s="77" t="s">
        <v>149</v>
      </c>
      <c r="BF117" s="249" t="s">
        <v>167</v>
      </c>
      <c r="BG117" s="52"/>
      <c r="BH117" s="53" t="s">
        <v>150</v>
      </c>
      <c r="BI117" s="246" t="s">
        <v>237</v>
      </c>
      <c r="BJ117" s="55"/>
      <c r="BK117" s="56" t="s">
        <v>150</v>
      </c>
      <c r="BL117" s="249" t="s">
        <v>237</v>
      </c>
      <c r="BM117" s="52"/>
      <c r="BN117" s="53" t="s">
        <v>199</v>
      </c>
    </row>
    <row r="118" customFormat="false" ht="17.25" hidden="false" customHeight="true" outlineLevel="0" collapsed="false">
      <c r="B118" s="132"/>
      <c r="C118" s="150"/>
      <c r="D118" s="143"/>
      <c r="E118" s="144" t="s">
        <v>64</v>
      </c>
      <c r="F118" s="145"/>
      <c r="G118" s="80" t="s">
        <v>130</v>
      </c>
      <c r="H118" s="55"/>
      <c r="I118" s="56" t="s">
        <v>130</v>
      </c>
      <c r="J118" s="51" t="s">
        <v>44</v>
      </c>
      <c r="K118" s="52"/>
      <c r="L118" s="153" t="s">
        <v>44</v>
      </c>
      <c r="M118" s="80" t="s">
        <v>44</v>
      </c>
      <c r="N118" s="55"/>
      <c r="O118" s="152" t="s">
        <v>44</v>
      </c>
      <c r="P118" s="80" t="s">
        <v>44</v>
      </c>
      <c r="Q118" s="55"/>
      <c r="R118" s="56" t="s">
        <v>44</v>
      </c>
      <c r="S118" s="245" t="s">
        <v>244</v>
      </c>
      <c r="T118" s="52"/>
      <c r="U118" s="53" t="s">
        <v>245</v>
      </c>
      <c r="V118" s="246" t="s">
        <v>246</v>
      </c>
      <c r="W118" s="55"/>
      <c r="X118" s="56" t="s">
        <v>133</v>
      </c>
      <c r="Y118" s="249" t="s">
        <v>156</v>
      </c>
      <c r="Z118" s="52"/>
      <c r="AA118" s="59" t="s">
        <v>136</v>
      </c>
      <c r="AB118" s="246" t="s">
        <v>156</v>
      </c>
      <c r="AC118" s="55"/>
      <c r="AD118" s="56" t="s">
        <v>136</v>
      </c>
      <c r="AE118" s="51" t="s">
        <v>247</v>
      </c>
      <c r="AF118" s="52"/>
      <c r="AG118" s="53" t="s">
        <v>248</v>
      </c>
      <c r="AH118" s="80" t="s">
        <v>249</v>
      </c>
      <c r="AI118" s="55"/>
      <c r="AJ118" s="56" t="s">
        <v>250</v>
      </c>
      <c r="AK118" s="255" t="s">
        <v>251</v>
      </c>
      <c r="AL118" s="108"/>
      <c r="AM118" s="89" t="s">
        <v>252</v>
      </c>
      <c r="AN118" s="57" t="s">
        <v>253</v>
      </c>
      <c r="AO118" s="52"/>
      <c r="AP118" s="53" t="s">
        <v>256</v>
      </c>
      <c r="AQ118" s="248" t="s">
        <v>254</v>
      </c>
      <c r="AR118" s="55"/>
      <c r="AS118" s="77" t="s">
        <v>144</v>
      </c>
      <c r="AT118" s="51" t="s">
        <v>160</v>
      </c>
      <c r="AU118" s="52"/>
      <c r="AV118" s="53" t="s">
        <v>146</v>
      </c>
      <c r="AW118" s="80" t="s">
        <v>160</v>
      </c>
      <c r="AX118" s="55"/>
      <c r="AY118" s="56" t="s">
        <v>147</v>
      </c>
      <c r="AZ118" s="51" t="s">
        <v>160</v>
      </c>
      <c r="BA118" s="52"/>
      <c r="BB118" s="53" t="s">
        <v>146</v>
      </c>
      <c r="BC118" s="248" t="s">
        <v>148</v>
      </c>
      <c r="BD118" s="76"/>
      <c r="BE118" s="77" t="s">
        <v>149</v>
      </c>
      <c r="BF118" s="249" t="s">
        <v>167</v>
      </c>
      <c r="BG118" s="52"/>
      <c r="BH118" s="53" t="s">
        <v>150</v>
      </c>
      <c r="BI118" s="246" t="s">
        <v>237</v>
      </c>
      <c r="BJ118" s="55"/>
      <c r="BK118" s="56" t="s">
        <v>150</v>
      </c>
      <c r="BL118" s="249" t="s">
        <v>237</v>
      </c>
      <c r="BM118" s="52"/>
      <c r="BN118" s="53" t="s">
        <v>199</v>
      </c>
    </row>
    <row r="119" customFormat="false" ht="17.25" hidden="false" customHeight="true" outlineLevel="0" collapsed="false">
      <c r="B119" s="132"/>
      <c r="C119" s="150"/>
      <c r="D119" s="143"/>
      <c r="E119" s="144" t="s">
        <v>65</v>
      </c>
      <c r="F119" s="145"/>
      <c r="G119" s="80" t="s">
        <v>130</v>
      </c>
      <c r="H119" s="55"/>
      <c r="I119" s="56" t="s">
        <v>130</v>
      </c>
      <c r="J119" s="51" t="s">
        <v>44</v>
      </c>
      <c r="K119" s="52"/>
      <c r="L119" s="153" t="s">
        <v>44</v>
      </c>
      <c r="M119" s="80" t="s">
        <v>44</v>
      </c>
      <c r="N119" s="55"/>
      <c r="O119" s="152" t="s">
        <v>44</v>
      </c>
      <c r="P119" s="80" t="s">
        <v>44</v>
      </c>
      <c r="Q119" s="55"/>
      <c r="R119" s="56" t="s">
        <v>44</v>
      </c>
      <c r="S119" s="245" t="s">
        <v>244</v>
      </c>
      <c r="T119" s="52"/>
      <c r="U119" s="53" t="s">
        <v>245</v>
      </c>
      <c r="V119" s="246" t="s">
        <v>246</v>
      </c>
      <c r="W119" s="55"/>
      <c r="X119" s="56" t="s">
        <v>133</v>
      </c>
      <c r="Y119" s="249" t="s">
        <v>156</v>
      </c>
      <c r="Z119" s="52"/>
      <c r="AA119" s="59" t="s">
        <v>136</v>
      </c>
      <c r="AB119" s="246" t="s">
        <v>156</v>
      </c>
      <c r="AC119" s="55"/>
      <c r="AD119" s="56" t="s">
        <v>136</v>
      </c>
      <c r="AE119" s="51" t="s">
        <v>247</v>
      </c>
      <c r="AF119" s="52"/>
      <c r="AG119" s="53" t="s">
        <v>248</v>
      </c>
      <c r="AH119" s="80" t="s">
        <v>249</v>
      </c>
      <c r="AI119" s="55"/>
      <c r="AJ119" s="56" t="s">
        <v>250</v>
      </c>
      <c r="AK119" s="255" t="s">
        <v>251</v>
      </c>
      <c r="AL119" s="108"/>
      <c r="AM119" s="89" t="s">
        <v>252</v>
      </c>
      <c r="AN119" s="57" t="s">
        <v>253</v>
      </c>
      <c r="AO119" s="52"/>
      <c r="AP119" s="53" t="s">
        <v>256</v>
      </c>
      <c r="AQ119" s="248" t="s">
        <v>254</v>
      </c>
      <c r="AR119" s="55"/>
      <c r="AS119" s="77" t="s">
        <v>144</v>
      </c>
      <c r="AT119" s="51" t="s">
        <v>160</v>
      </c>
      <c r="AU119" s="52"/>
      <c r="AV119" s="53" t="s">
        <v>146</v>
      </c>
      <c r="AW119" s="80" t="s">
        <v>160</v>
      </c>
      <c r="AX119" s="55"/>
      <c r="AY119" s="56" t="s">
        <v>147</v>
      </c>
      <c r="AZ119" s="51" t="s">
        <v>160</v>
      </c>
      <c r="BA119" s="52"/>
      <c r="BB119" s="53" t="s">
        <v>146</v>
      </c>
      <c r="BC119" s="248" t="s">
        <v>148</v>
      </c>
      <c r="BD119" s="76"/>
      <c r="BE119" s="77" t="s">
        <v>149</v>
      </c>
      <c r="BF119" s="249" t="s">
        <v>167</v>
      </c>
      <c r="BG119" s="52"/>
      <c r="BH119" s="53" t="s">
        <v>150</v>
      </c>
      <c r="BI119" s="246" t="s">
        <v>237</v>
      </c>
      <c r="BJ119" s="55"/>
      <c r="BK119" s="56" t="s">
        <v>150</v>
      </c>
      <c r="BL119" s="249" t="s">
        <v>237</v>
      </c>
      <c r="BM119" s="52"/>
      <c r="BN119" s="53" t="s">
        <v>199</v>
      </c>
    </row>
    <row r="120" customFormat="false" ht="17.25" hidden="false" customHeight="true" outlineLevel="0" collapsed="false">
      <c r="B120" s="132"/>
      <c r="C120" s="150"/>
      <c r="D120" s="143"/>
      <c r="E120" s="144" t="s">
        <v>66</v>
      </c>
      <c r="F120" s="145"/>
      <c r="G120" s="80" t="s">
        <v>130</v>
      </c>
      <c r="H120" s="55"/>
      <c r="I120" s="56" t="s">
        <v>130</v>
      </c>
      <c r="J120" s="51" t="s">
        <v>44</v>
      </c>
      <c r="K120" s="52"/>
      <c r="L120" s="153" t="s">
        <v>44</v>
      </c>
      <c r="M120" s="80" t="s">
        <v>44</v>
      </c>
      <c r="N120" s="55"/>
      <c r="O120" s="152" t="s">
        <v>44</v>
      </c>
      <c r="P120" s="80" t="s">
        <v>44</v>
      </c>
      <c r="Q120" s="55"/>
      <c r="R120" s="56" t="s">
        <v>44</v>
      </c>
      <c r="S120" s="245" t="s">
        <v>244</v>
      </c>
      <c r="T120" s="52"/>
      <c r="U120" s="53" t="s">
        <v>245</v>
      </c>
      <c r="V120" s="246" t="s">
        <v>246</v>
      </c>
      <c r="W120" s="55"/>
      <c r="X120" s="56" t="s">
        <v>133</v>
      </c>
      <c r="Y120" s="249" t="s">
        <v>156</v>
      </c>
      <c r="Z120" s="52"/>
      <c r="AA120" s="59" t="s">
        <v>136</v>
      </c>
      <c r="AB120" s="246" t="s">
        <v>156</v>
      </c>
      <c r="AC120" s="55"/>
      <c r="AD120" s="56" t="s">
        <v>136</v>
      </c>
      <c r="AE120" s="51" t="s">
        <v>247</v>
      </c>
      <c r="AF120" s="52"/>
      <c r="AG120" s="53" t="s">
        <v>248</v>
      </c>
      <c r="AH120" s="80" t="s">
        <v>249</v>
      </c>
      <c r="AI120" s="55"/>
      <c r="AJ120" s="56" t="s">
        <v>250</v>
      </c>
      <c r="AK120" s="255" t="s">
        <v>251</v>
      </c>
      <c r="AL120" s="108"/>
      <c r="AM120" s="89" t="s">
        <v>252</v>
      </c>
      <c r="AN120" s="57" t="s">
        <v>253</v>
      </c>
      <c r="AO120" s="52"/>
      <c r="AP120" s="53" t="s">
        <v>256</v>
      </c>
      <c r="AQ120" s="248" t="s">
        <v>254</v>
      </c>
      <c r="AR120" s="55"/>
      <c r="AS120" s="77" t="s">
        <v>144</v>
      </c>
      <c r="AT120" s="51" t="s">
        <v>160</v>
      </c>
      <c r="AU120" s="52"/>
      <c r="AV120" s="53" t="s">
        <v>146</v>
      </c>
      <c r="AW120" s="80" t="s">
        <v>160</v>
      </c>
      <c r="AX120" s="55"/>
      <c r="AY120" s="56" t="s">
        <v>147</v>
      </c>
      <c r="AZ120" s="51" t="s">
        <v>160</v>
      </c>
      <c r="BA120" s="52"/>
      <c r="BB120" s="53" t="s">
        <v>146</v>
      </c>
      <c r="BC120" s="248" t="s">
        <v>148</v>
      </c>
      <c r="BD120" s="76"/>
      <c r="BE120" s="77" t="s">
        <v>149</v>
      </c>
      <c r="BF120" s="249" t="s">
        <v>167</v>
      </c>
      <c r="BG120" s="52"/>
      <c r="BH120" s="53" t="s">
        <v>150</v>
      </c>
      <c r="BI120" s="246" t="s">
        <v>237</v>
      </c>
      <c r="BJ120" s="55"/>
      <c r="BK120" s="56" t="s">
        <v>150</v>
      </c>
      <c r="BL120" s="249" t="s">
        <v>237</v>
      </c>
      <c r="BM120" s="52"/>
      <c r="BN120" s="53" t="s">
        <v>199</v>
      </c>
    </row>
    <row r="121" customFormat="false" ht="17.25" hidden="false" customHeight="true" outlineLevel="0" collapsed="false">
      <c r="B121" s="132"/>
      <c r="C121" s="142" t="s">
        <v>81</v>
      </c>
      <c r="D121" s="147"/>
      <c r="E121" s="148" t="s">
        <v>63</v>
      </c>
      <c r="F121" s="151"/>
      <c r="G121" s="80" t="s">
        <v>132</v>
      </c>
      <c r="H121" s="55"/>
      <c r="I121" s="56" t="s">
        <v>258</v>
      </c>
      <c r="J121" s="51" t="s">
        <v>44</v>
      </c>
      <c r="K121" s="52"/>
      <c r="L121" s="153" t="s">
        <v>44</v>
      </c>
      <c r="M121" s="80" t="s">
        <v>44</v>
      </c>
      <c r="N121" s="55"/>
      <c r="O121" s="152" t="s">
        <v>44</v>
      </c>
      <c r="P121" s="80" t="s">
        <v>44</v>
      </c>
      <c r="Q121" s="55"/>
      <c r="R121" s="56" t="s">
        <v>44</v>
      </c>
      <c r="S121" s="245" t="s">
        <v>244</v>
      </c>
      <c r="T121" s="52"/>
      <c r="U121" s="53" t="s">
        <v>259</v>
      </c>
      <c r="V121" s="246" t="s">
        <v>260</v>
      </c>
      <c r="W121" s="55"/>
      <c r="X121" s="56" t="s">
        <v>260</v>
      </c>
      <c r="Y121" s="249" t="s">
        <v>261</v>
      </c>
      <c r="Z121" s="52"/>
      <c r="AA121" s="53" t="s">
        <v>262</v>
      </c>
      <c r="AB121" s="246" t="s">
        <v>261</v>
      </c>
      <c r="AC121" s="55"/>
      <c r="AD121" s="56" t="s">
        <v>262</v>
      </c>
      <c r="AE121" s="249" t="s">
        <v>263</v>
      </c>
      <c r="AF121" s="52"/>
      <c r="AG121" s="53" t="s">
        <v>263</v>
      </c>
      <c r="AH121" s="80" t="s">
        <v>264</v>
      </c>
      <c r="AI121" s="55"/>
      <c r="AJ121" s="56" t="s">
        <v>264</v>
      </c>
      <c r="AK121" s="255" t="s">
        <v>236</v>
      </c>
      <c r="AL121" s="109"/>
      <c r="AM121" s="255" t="s">
        <v>236</v>
      </c>
      <c r="AN121" s="51" t="s">
        <v>236</v>
      </c>
      <c r="AO121" s="52"/>
      <c r="AP121" s="53" t="s">
        <v>236</v>
      </c>
      <c r="AQ121" s="246" t="s">
        <v>143</v>
      </c>
      <c r="AR121" s="55"/>
      <c r="AS121" s="56" t="s">
        <v>236</v>
      </c>
      <c r="AT121" s="51" t="s">
        <v>57</v>
      </c>
      <c r="AU121" s="52"/>
      <c r="AV121" s="53" t="s">
        <v>57</v>
      </c>
      <c r="AW121" s="80" t="s">
        <v>57</v>
      </c>
      <c r="AX121" s="55"/>
      <c r="AY121" s="56" t="s">
        <v>57</v>
      </c>
      <c r="AZ121" s="51" t="s">
        <v>57</v>
      </c>
      <c r="BA121" s="52"/>
      <c r="BB121" s="53" t="s">
        <v>57</v>
      </c>
      <c r="BC121" s="248" t="s">
        <v>148</v>
      </c>
      <c r="BD121" s="76"/>
      <c r="BE121" s="77" t="s">
        <v>149</v>
      </c>
      <c r="BF121" s="258" t="s">
        <v>57</v>
      </c>
      <c r="BG121" s="105"/>
      <c r="BH121" s="106" t="s">
        <v>57</v>
      </c>
      <c r="BI121" s="255" t="s">
        <v>164</v>
      </c>
      <c r="BJ121" s="108"/>
      <c r="BK121" s="89" t="s">
        <v>164</v>
      </c>
      <c r="BL121" s="258" t="s">
        <v>199</v>
      </c>
      <c r="BM121" s="105"/>
      <c r="BN121" s="53" t="s">
        <v>199</v>
      </c>
    </row>
    <row r="122" customFormat="false" ht="17.25" hidden="false" customHeight="true" outlineLevel="0" collapsed="false">
      <c r="B122" s="132"/>
      <c r="C122" s="142"/>
      <c r="D122" s="147"/>
      <c r="E122" s="148" t="s">
        <v>64</v>
      </c>
      <c r="F122" s="151"/>
      <c r="G122" s="80" t="s">
        <v>132</v>
      </c>
      <c r="H122" s="55"/>
      <c r="I122" s="56" t="s">
        <v>258</v>
      </c>
      <c r="J122" s="51" t="s">
        <v>44</v>
      </c>
      <c r="K122" s="52"/>
      <c r="L122" s="153" t="s">
        <v>44</v>
      </c>
      <c r="M122" s="80" t="s">
        <v>44</v>
      </c>
      <c r="N122" s="55"/>
      <c r="O122" s="152" t="s">
        <v>44</v>
      </c>
      <c r="P122" s="80" t="s">
        <v>44</v>
      </c>
      <c r="Q122" s="55"/>
      <c r="R122" s="56" t="s">
        <v>44</v>
      </c>
      <c r="S122" s="245" t="s">
        <v>244</v>
      </c>
      <c r="T122" s="52"/>
      <c r="U122" s="53" t="s">
        <v>259</v>
      </c>
      <c r="V122" s="246" t="s">
        <v>260</v>
      </c>
      <c r="W122" s="55"/>
      <c r="X122" s="56" t="s">
        <v>260</v>
      </c>
      <c r="Y122" s="249" t="s">
        <v>261</v>
      </c>
      <c r="Z122" s="52"/>
      <c r="AA122" s="53" t="s">
        <v>265</v>
      </c>
      <c r="AB122" s="246" t="s">
        <v>261</v>
      </c>
      <c r="AC122" s="55"/>
      <c r="AD122" s="56" t="s">
        <v>265</v>
      </c>
      <c r="AE122" s="51" t="s">
        <v>263</v>
      </c>
      <c r="AF122" s="52"/>
      <c r="AG122" s="53" t="s">
        <v>263</v>
      </c>
      <c r="AH122" s="80" t="s">
        <v>264</v>
      </c>
      <c r="AI122" s="55"/>
      <c r="AJ122" s="56" t="s">
        <v>264</v>
      </c>
      <c r="AK122" s="255" t="s">
        <v>236</v>
      </c>
      <c r="AL122" s="109"/>
      <c r="AM122" s="255" t="s">
        <v>236</v>
      </c>
      <c r="AN122" s="51" t="s">
        <v>236</v>
      </c>
      <c r="AO122" s="52"/>
      <c r="AP122" s="53" t="s">
        <v>236</v>
      </c>
      <c r="AQ122" s="246" t="s">
        <v>143</v>
      </c>
      <c r="AR122" s="55"/>
      <c r="AS122" s="56" t="s">
        <v>236</v>
      </c>
      <c r="AT122" s="51" t="s">
        <v>57</v>
      </c>
      <c r="AU122" s="52"/>
      <c r="AV122" s="53" t="s">
        <v>57</v>
      </c>
      <c r="AW122" s="80" t="s">
        <v>57</v>
      </c>
      <c r="AX122" s="55"/>
      <c r="AY122" s="56" t="s">
        <v>57</v>
      </c>
      <c r="AZ122" s="51" t="s">
        <v>57</v>
      </c>
      <c r="BA122" s="52"/>
      <c r="BB122" s="53" t="s">
        <v>57</v>
      </c>
      <c r="BC122" s="248" t="s">
        <v>148</v>
      </c>
      <c r="BD122" s="76"/>
      <c r="BE122" s="77" t="s">
        <v>149</v>
      </c>
      <c r="BF122" s="258" t="s">
        <v>57</v>
      </c>
      <c r="BG122" s="105"/>
      <c r="BH122" s="106" t="s">
        <v>57</v>
      </c>
      <c r="BI122" s="255" t="s">
        <v>164</v>
      </c>
      <c r="BJ122" s="108"/>
      <c r="BK122" s="89" t="s">
        <v>164</v>
      </c>
      <c r="BL122" s="258" t="s">
        <v>199</v>
      </c>
      <c r="BM122" s="105"/>
      <c r="BN122" s="53" t="s">
        <v>199</v>
      </c>
    </row>
    <row r="123" customFormat="false" ht="17.25" hidden="false" customHeight="true" outlineLevel="0" collapsed="false">
      <c r="B123" s="132"/>
      <c r="C123" s="142"/>
      <c r="D123" s="147"/>
      <c r="E123" s="148" t="s">
        <v>65</v>
      </c>
      <c r="F123" s="151"/>
      <c r="G123" s="80" t="s">
        <v>132</v>
      </c>
      <c r="H123" s="55"/>
      <c r="I123" s="56" t="s">
        <v>258</v>
      </c>
      <c r="J123" s="51" t="s">
        <v>44</v>
      </c>
      <c r="K123" s="52"/>
      <c r="L123" s="153" t="s">
        <v>44</v>
      </c>
      <c r="M123" s="80" t="s">
        <v>44</v>
      </c>
      <c r="N123" s="55"/>
      <c r="O123" s="152" t="s">
        <v>44</v>
      </c>
      <c r="P123" s="80" t="s">
        <v>44</v>
      </c>
      <c r="Q123" s="55"/>
      <c r="R123" s="56" t="s">
        <v>44</v>
      </c>
      <c r="S123" s="245" t="s">
        <v>244</v>
      </c>
      <c r="T123" s="52"/>
      <c r="U123" s="53" t="s">
        <v>259</v>
      </c>
      <c r="V123" s="246" t="s">
        <v>260</v>
      </c>
      <c r="W123" s="55"/>
      <c r="X123" s="56" t="s">
        <v>260</v>
      </c>
      <c r="Y123" s="249" t="s">
        <v>261</v>
      </c>
      <c r="Z123" s="52"/>
      <c r="AA123" s="53" t="s">
        <v>266</v>
      </c>
      <c r="AB123" s="246" t="s">
        <v>261</v>
      </c>
      <c r="AC123" s="55"/>
      <c r="AD123" s="56" t="s">
        <v>266</v>
      </c>
      <c r="AE123" s="51" t="s">
        <v>263</v>
      </c>
      <c r="AF123" s="52"/>
      <c r="AG123" s="53" t="s">
        <v>263</v>
      </c>
      <c r="AH123" s="80" t="s">
        <v>264</v>
      </c>
      <c r="AI123" s="55"/>
      <c r="AJ123" s="56" t="s">
        <v>264</v>
      </c>
      <c r="AK123" s="255" t="s">
        <v>236</v>
      </c>
      <c r="AL123" s="109"/>
      <c r="AM123" s="255" t="s">
        <v>236</v>
      </c>
      <c r="AN123" s="51" t="s">
        <v>236</v>
      </c>
      <c r="AO123" s="52"/>
      <c r="AP123" s="53" t="s">
        <v>236</v>
      </c>
      <c r="AQ123" s="246" t="s">
        <v>143</v>
      </c>
      <c r="AR123" s="55"/>
      <c r="AS123" s="56" t="s">
        <v>236</v>
      </c>
      <c r="AT123" s="51" t="s">
        <v>57</v>
      </c>
      <c r="AU123" s="52"/>
      <c r="AV123" s="53" t="s">
        <v>57</v>
      </c>
      <c r="AW123" s="80" t="s">
        <v>57</v>
      </c>
      <c r="AX123" s="55"/>
      <c r="AY123" s="56" t="s">
        <v>57</v>
      </c>
      <c r="AZ123" s="51" t="s">
        <v>57</v>
      </c>
      <c r="BA123" s="52"/>
      <c r="BB123" s="53" t="s">
        <v>57</v>
      </c>
      <c r="BC123" s="248" t="s">
        <v>148</v>
      </c>
      <c r="BD123" s="76"/>
      <c r="BE123" s="77" t="s">
        <v>149</v>
      </c>
      <c r="BF123" s="258" t="s">
        <v>57</v>
      </c>
      <c r="BG123" s="105"/>
      <c r="BH123" s="106" t="s">
        <v>57</v>
      </c>
      <c r="BI123" s="255" t="s">
        <v>164</v>
      </c>
      <c r="BJ123" s="108"/>
      <c r="BK123" s="89" t="s">
        <v>164</v>
      </c>
      <c r="BL123" s="258" t="s">
        <v>199</v>
      </c>
      <c r="BM123" s="105"/>
      <c r="BN123" s="53" t="s">
        <v>199</v>
      </c>
    </row>
    <row r="124" customFormat="false" ht="17.25" hidden="false" customHeight="true" outlineLevel="0" collapsed="false">
      <c r="B124" s="132"/>
      <c r="C124" s="142"/>
      <c r="D124" s="147"/>
      <c r="E124" s="148" t="s">
        <v>66</v>
      </c>
      <c r="F124" s="151"/>
      <c r="G124" s="80" t="s">
        <v>132</v>
      </c>
      <c r="H124" s="55"/>
      <c r="I124" s="56" t="s">
        <v>258</v>
      </c>
      <c r="J124" s="51" t="s">
        <v>44</v>
      </c>
      <c r="K124" s="52"/>
      <c r="L124" s="153" t="s">
        <v>44</v>
      </c>
      <c r="M124" s="80" t="s">
        <v>44</v>
      </c>
      <c r="N124" s="55"/>
      <c r="O124" s="152" t="s">
        <v>44</v>
      </c>
      <c r="P124" s="80" t="s">
        <v>44</v>
      </c>
      <c r="Q124" s="55"/>
      <c r="R124" s="56" t="s">
        <v>44</v>
      </c>
      <c r="S124" s="245" t="s">
        <v>244</v>
      </c>
      <c r="T124" s="52"/>
      <c r="U124" s="53" t="s">
        <v>259</v>
      </c>
      <c r="V124" s="246" t="s">
        <v>260</v>
      </c>
      <c r="W124" s="55"/>
      <c r="X124" s="56" t="s">
        <v>260</v>
      </c>
      <c r="Y124" s="249" t="s">
        <v>261</v>
      </c>
      <c r="Z124" s="52"/>
      <c r="AA124" s="53" t="s">
        <v>267</v>
      </c>
      <c r="AB124" s="246" t="s">
        <v>261</v>
      </c>
      <c r="AC124" s="55"/>
      <c r="AD124" s="56" t="s">
        <v>267</v>
      </c>
      <c r="AE124" s="51" t="s">
        <v>263</v>
      </c>
      <c r="AF124" s="52"/>
      <c r="AG124" s="53" t="s">
        <v>263</v>
      </c>
      <c r="AH124" s="80" t="s">
        <v>264</v>
      </c>
      <c r="AI124" s="55"/>
      <c r="AJ124" s="56" t="s">
        <v>264</v>
      </c>
      <c r="AK124" s="255" t="s">
        <v>236</v>
      </c>
      <c r="AL124" s="109"/>
      <c r="AM124" s="255" t="s">
        <v>236</v>
      </c>
      <c r="AN124" s="51" t="s">
        <v>236</v>
      </c>
      <c r="AO124" s="52"/>
      <c r="AP124" s="53" t="s">
        <v>236</v>
      </c>
      <c r="AQ124" s="246" t="s">
        <v>143</v>
      </c>
      <c r="AR124" s="55"/>
      <c r="AS124" s="56" t="s">
        <v>236</v>
      </c>
      <c r="AT124" s="51" t="s">
        <v>57</v>
      </c>
      <c r="AU124" s="52"/>
      <c r="AV124" s="53" t="s">
        <v>57</v>
      </c>
      <c r="AW124" s="80" t="s">
        <v>57</v>
      </c>
      <c r="AX124" s="55"/>
      <c r="AY124" s="56" t="s">
        <v>57</v>
      </c>
      <c r="AZ124" s="51" t="s">
        <v>57</v>
      </c>
      <c r="BA124" s="52"/>
      <c r="BB124" s="53" t="s">
        <v>57</v>
      </c>
      <c r="BC124" s="248" t="s">
        <v>148</v>
      </c>
      <c r="BD124" s="76"/>
      <c r="BE124" s="77" t="s">
        <v>149</v>
      </c>
      <c r="BF124" s="258" t="s">
        <v>57</v>
      </c>
      <c r="BG124" s="105"/>
      <c r="BH124" s="106" t="s">
        <v>57</v>
      </c>
      <c r="BI124" s="255" t="s">
        <v>164</v>
      </c>
      <c r="BJ124" s="108"/>
      <c r="BK124" s="89" t="s">
        <v>164</v>
      </c>
      <c r="BL124" s="258" t="s">
        <v>199</v>
      </c>
      <c r="BM124" s="105"/>
      <c r="BN124" s="53" t="s">
        <v>199</v>
      </c>
    </row>
    <row r="125" customFormat="false" ht="17.25" hidden="false" customHeight="true" outlineLevel="0" collapsed="false">
      <c r="B125" s="132"/>
      <c r="C125" s="142" t="s">
        <v>82</v>
      </c>
      <c r="D125" s="147"/>
      <c r="E125" s="148" t="s">
        <v>83</v>
      </c>
      <c r="F125" s="148"/>
      <c r="G125" s="80" t="s">
        <v>130</v>
      </c>
      <c r="H125" s="55"/>
      <c r="I125" s="56" t="s">
        <v>130</v>
      </c>
      <c r="J125" s="51" t="s">
        <v>44</v>
      </c>
      <c r="K125" s="52"/>
      <c r="L125" s="153" t="s">
        <v>44</v>
      </c>
      <c r="M125" s="80" t="s">
        <v>44</v>
      </c>
      <c r="N125" s="55"/>
      <c r="O125" s="152" t="s">
        <v>44</v>
      </c>
      <c r="P125" s="80" t="s">
        <v>44</v>
      </c>
      <c r="Q125" s="55"/>
      <c r="R125" s="56" t="s">
        <v>44</v>
      </c>
      <c r="S125" s="245" t="s">
        <v>154</v>
      </c>
      <c r="T125" s="52"/>
      <c r="U125" s="53" t="s">
        <v>268</v>
      </c>
      <c r="V125" s="246" t="s">
        <v>57</v>
      </c>
      <c r="W125" s="55"/>
      <c r="X125" s="56" t="s">
        <v>57</v>
      </c>
      <c r="Y125" s="249" t="s">
        <v>57</v>
      </c>
      <c r="Z125" s="52"/>
      <c r="AA125" s="53" t="s">
        <v>57</v>
      </c>
      <c r="AB125" s="246" t="s">
        <v>57</v>
      </c>
      <c r="AC125" s="55"/>
      <c r="AD125" s="56" t="s">
        <v>57</v>
      </c>
      <c r="AE125" s="51" t="s">
        <v>57</v>
      </c>
      <c r="AF125" s="52"/>
      <c r="AG125" s="53" t="s">
        <v>57</v>
      </c>
      <c r="AH125" s="80" t="s">
        <v>57</v>
      </c>
      <c r="AI125" s="55"/>
      <c r="AJ125" s="56" t="s">
        <v>57</v>
      </c>
      <c r="AK125" s="255" t="s">
        <v>57</v>
      </c>
      <c r="AL125" s="108"/>
      <c r="AM125" s="89" t="s">
        <v>57</v>
      </c>
      <c r="AN125" s="51" t="s">
        <v>57</v>
      </c>
      <c r="AO125" s="52"/>
      <c r="AP125" s="53" t="s">
        <v>57</v>
      </c>
      <c r="AQ125" s="246" t="s">
        <v>57</v>
      </c>
      <c r="AR125" s="55"/>
      <c r="AS125" s="56" t="s">
        <v>57</v>
      </c>
      <c r="AT125" s="51" t="s">
        <v>57</v>
      </c>
      <c r="AU125" s="52"/>
      <c r="AV125" s="53" t="s">
        <v>57</v>
      </c>
      <c r="AW125" s="80" t="s">
        <v>57</v>
      </c>
      <c r="AX125" s="55"/>
      <c r="AY125" s="56" t="s">
        <v>57</v>
      </c>
      <c r="AZ125" s="51" t="s">
        <v>57</v>
      </c>
      <c r="BA125" s="52"/>
      <c r="BB125" s="53" t="s">
        <v>57</v>
      </c>
      <c r="BC125" s="246" t="s">
        <v>57</v>
      </c>
      <c r="BD125" s="55"/>
      <c r="BE125" s="56" t="s">
        <v>57</v>
      </c>
      <c r="BF125" s="258" t="s">
        <v>57</v>
      </c>
      <c r="BG125" s="105"/>
      <c r="BH125" s="106" t="s">
        <v>57</v>
      </c>
      <c r="BI125" s="255" t="s">
        <v>57</v>
      </c>
      <c r="BJ125" s="108"/>
      <c r="BK125" s="89"/>
      <c r="BL125" s="258" t="s">
        <v>199</v>
      </c>
      <c r="BM125" s="105"/>
      <c r="BN125" s="106" t="s">
        <v>199</v>
      </c>
    </row>
    <row r="126" customFormat="false" ht="17.25" hidden="false" customHeight="true" outlineLevel="0" collapsed="false">
      <c r="B126" s="132"/>
      <c r="C126" s="142"/>
      <c r="D126" s="147"/>
      <c r="E126" s="148" t="s">
        <v>84</v>
      </c>
      <c r="F126" s="148"/>
      <c r="G126" s="80" t="s">
        <v>130</v>
      </c>
      <c r="H126" s="55"/>
      <c r="I126" s="56" t="s">
        <v>130</v>
      </c>
      <c r="J126" s="51" t="s">
        <v>44</v>
      </c>
      <c r="K126" s="52"/>
      <c r="L126" s="153" t="s">
        <v>44</v>
      </c>
      <c r="M126" s="80" t="s">
        <v>44</v>
      </c>
      <c r="N126" s="55"/>
      <c r="O126" s="152" t="s">
        <v>44</v>
      </c>
      <c r="P126" s="80" t="s">
        <v>44</v>
      </c>
      <c r="Q126" s="55"/>
      <c r="R126" s="56" t="s">
        <v>44</v>
      </c>
      <c r="S126" s="245" t="s">
        <v>154</v>
      </c>
      <c r="T126" s="52"/>
      <c r="U126" s="53" t="s">
        <v>268</v>
      </c>
      <c r="V126" s="246" t="s">
        <v>57</v>
      </c>
      <c r="W126" s="55"/>
      <c r="X126" s="56" t="s">
        <v>57</v>
      </c>
      <c r="Y126" s="249" t="s">
        <v>57</v>
      </c>
      <c r="Z126" s="52"/>
      <c r="AA126" s="53" t="s">
        <v>57</v>
      </c>
      <c r="AB126" s="246" t="s">
        <v>57</v>
      </c>
      <c r="AC126" s="55"/>
      <c r="AD126" s="56" t="s">
        <v>57</v>
      </c>
      <c r="AE126" s="51" t="s">
        <v>57</v>
      </c>
      <c r="AF126" s="52"/>
      <c r="AG126" s="53" t="s">
        <v>57</v>
      </c>
      <c r="AH126" s="80" t="s">
        <v>57</v>
      </c>
      <c r="AI126" s="55"/>
      <c r="AJ126" s="56" t="s">
        <v>57</v>
      </c>
      <c r="AK126" s="255" t="s">
        <v>57</v>
      </c>
      <c r="AL126" s="108"/>
      <c r="AM126" s="89" t="s">
        <v>57</v>
      </c>
      <c r="AN126" s="51" t="s">
        <v>57</v>
      </c>
      <c r="AO126" s="52"/>
      <c r="AP126" s="53" t="s">
        <v>57</v>
      </c>
      <c r="AQ126" s="246" t="s">
        <v>57</v>
      </c>
      <c r="AR126" s="55"/>
      <c r="AS126" s="56" t="s">
        <v>57</v>
      </c>
      <c r="AT126" s="51" t="s">
        <v>57</v>
      </c>
      <c r="AU126" s="52"/>
      <c r="AV126" s="53" t="s">
        <v>57</v>
      </c>
      <c r="AW126" s="80" t="s">
        <v>57</v>
      </c>
      <c r="AX126" s="55"/>
      <c r="AY126" s="56" t="s">
        <v>57</v>
      </c>
      <c r="AZ126" s="51" t="s">
        <v>57</v>
      </c>
      <c r="BA126" s="52"/>
      <c r="BB126" s="53" t="s">
        <v>57</v>
      </c>
      <c r="BC126" s="246" t="s">
        <v>57</v>
      </c>
      <c r="BD126" s="55"/>
      <c r="BE126" s="56" t="s">
        <v>57</v>
      </c>
      <c r="BF126" s="258" t="s">
        <v>57</v>
      </c>
      <c r="BG126" s="105"/>
      <c r="BH126" s="106" t="s">
        <v>57</v>
      </c>
      <c r="BI126" s="255" t="s">
        <v>57</v>
      </c>
      <c r="BJ126" s="108"/>
      <c r="BK126" s="89"/>
      <c r="BL126" s="258" t="s">
        <v>199</v>
      </c>
      <c r="BM126" s="105"/>
      <c r="BN126" s="106" t="s">
        <v>199</v>
      </c>
    </row>
    <row r="127" customFormat="false" ht="17.25" hidden="false" customHeight="true" outlineLevel="0" collapsed="false">
      <c r="B127" s="132"/>
      <c r="C127" s="142"/>
      <c r="D127" s="147"/>
      <c r="E127" s="148" t="s">
        <v>85</v>
      </c>
      <c r="F127" s="148"/>
      <c r="G127" s="80" t="s">
        <v>130</v>
      </c>
      <c r="H127" s="55"/>
      <c r="I127" s="56" t="s">
        <v>130</v>
      </c>
      <c r="J127" s="51" t="s">
        <v>44</v>
      </c>
      <c r="K127" s="52"/>
      <c r="L127" s="153" t="s">
        <v>44</v>
      </c>
      <c r="M127" s="80" t="s">
        <v>44</v>
      </c>
      <c r="N127" s="55"/>
      <c r="O127" s="152" t="s">
        <v>44</v>
      </c>
      <c r="P127" s="80" t="s">
        <v>44</v>
      </c>
      <c r="Q127" s="55"/>
      <c r="R127" s="56" t="s">
        <v>44</v>
      </c>
      <c r="S127" s="245" t="s">
        <v>154</v>
      </c>
      <c r="T127" s="52"/>
      <c r="U127" s="53" t="s">
        <v>268</v>
      </c>
      <c r="V127" s="246" t="s">
        <v>57</v>
      </c>
      <c r="W127" s="55"/>
      <c r="X127" s="56" t="s">
        <v>57</v>
      </c>
      <c r="Y127" s="249" t="s">
        <v>57</v>
      </c>
      <c r="Z127" s="52"/>
      <c r="AA127" s="53" t="s">
        <v>57</v>
      </c>
      <c r="AB127" s="246" t="s">
        <v>57</v>
      </c>
      <c r="AC127" s="55"/>
      <c r="AD127" s="56" t="s">
        <v>57</v>
      </c>
      <c r="AE127" s="51" t="s">
        <v>57</v>
      </c>
      <c r="AF127" s="52"/>
      <c r="AG127" s="53" t="s">
        <v>57</v>
      </c>
      <c r="AH127" s="80" t="s">
        <v>57</v>
      </c>
      <c r="AI127" s="55"/>
      <c r="AJ127" s="56" t="s">
        <v>57</v>
      </c>
      <c r="AK127" s="255" t="s">
        <v>57</v>
      </c>
      <c r="AL127" s="108"/>
      <c r="AM127" s="89" t="s">
        <v>57</v>
      </c>
      <c r="AN127" s="51" t="s">
        <v>57</v>
      </c>
      <c r="AO127" s="52"/>
      <c r="AP127" s="53" t="s">
        <v>57</v>
      </c>
      <c r="AQ127" s="246" t="s">
        <v>57</v>
      </c>
      <c r="AR127" s="55"/>
      <c r="AS127" s="56" t="s">
        <v>57</v>
      </c>
      <c r="AT127" s="51" t="s">
        <v>57</v>
      </c>
      <c r="AU127" s="52"/>
      <c r="AV127" s="53" t="s">
        <v>57</v>
      </c>
      <c r="AW127" s="80" t="s">
        <v>57</v>
      </c>
      <c r="AX127" s="55"/>
      <c r="AY127" s="56" t="s">
        <v>57</v>
      </c>
      <c r="AZ127" s="51" t="s">
        <v>57</v>
      </c>
      <c r="BA127" s="52"/>
      <c r="BB127" s="53" t="s">
        <v>57</v>
      </c>
      <c r="BC127" s="246" t="s">
        <v>57</v>
      </c>
      <c r="BD127" s="55"/>
      <c r="BE127" s="56" t="s">
        <v>57</v>
      </c>
      <c r="BF127" s="258" t="s">
        <v>57</v>
      </c>
      <c r="BG127" s="105"/>
      <c r="BH127" s="106" t="s">
        <v>57</v>
      </c>
      <c r="BI127" s="255" t="s">
        <v>57</v>
      </c>
      <c r="BJ127" s="108"/>
      <c r="BK127" s="89"/>
      <c r="BL127" s="258" t="s">
        <v>199</v>
      </c>
      <c r="BM127" s="105"/>
      <c r="BN127" s="106" t="s">
        <v>199</v>
      </c>
    </row>
    <row r="128" customFormat="false" ht="17.25" hidden="false" customHeight="true" outlineLevel="0" collapsed="false">
      <c r="B128" s="132"/>
      <c r="C128" s="142"/>
      <c r="D128" s="147"/>
      <c r="E128" s="148" t="s">
        <v>86</v>
      </c>
      <c r="F128" s="148"/>
      <c r="G128" s="80" t="s">
        <v>130</v>
      </c>
      <c r="H128" s="55"/>
      <c r="I128" s="56" t="s">
        <v>130</v>
      </c>
      <c r="J128" s="51" t="s">
        <v>44</v>
      </c>
      <c r="K128" s="52"/>
      <c r="L128" s="153" t="s">
        <v>44</v>
      </c>
      <c r="M128" s="80" t="s">
        <v>44</v>
      </c>
      <c r="N128" s="55"/>
      <c r="O128" s="152" t="s">
        <v>44</v>
      </c>
      <c r="P128" s="80" t="s">
        <v>44</v>
      </c>
      <c r="Q128" s="55"/>
      <c r="R128" s="56" t="s">
        <v>44</v>
      </c>
      <c r="S128" s="245" t="s">
        <v>154</v>
      </c>
      <c r="T128" s="52"/>
      <c r="U128" s="53" t="s">
        <v>268</v>
      </c>
      <c r="V128" s="246" t="s">
        <v>57</v>
      </c>
      <c r="W128" s="55"/>
      <c r="X128" s="56" t="s">
        <v>57</v>
      </c>
      <c r="Y128" s="249" t="s">
        <v>57</v>
      </c>
      <c r="Z128" s="52"/>
      <c r="AA128" s="53" t="s">
        <v>57</v>
      </c>
      <c r="AB128" s="246" t="s">
        <v>57</v>
      </c>
      <c r="AC128" s="55"/>
      <c r="AD128" s="56" t="s">
        <v>57</v>
      </c>
      <c r="AE128" s="51" t="s">
        <v>57</v>
      </c>
      <c r="AF128" s="52"/>
      <c r="AG128" s="53" t="s">
        <v>57</v>
      </c>
      <c r="AH128" s="80" t="s">
        <v>57</v>
      </c>
      <c r="AI128" s="55"/>
      <c r="AJ128" s="56" t="s">
        <v>57</v>
      </c>
      <c r="AK128" s="255" t="s">
        <v>57</v>
      </c>
      <c r="AL128" s="108"/>
      <c r="AM128" s="89" t="s">
        <v>57</v>
      </c>
      <c r="AN128" s="51" t="s">
        <v>57</v>
      </c>
      <c r="AO128" s="52"/>
      <c r="AP128" s="53" t="s">
        <v>57</v>
      </c>
      <c r="AQ128" s="246" t="s">
        <v>57</v>
      </c>
      <c r="AR128" s="55"/>
      <c r="AS128" s="56" t="s">
        <v>57</v>
      </c>
      <c r="AT128" s="51" t="s">
        <v>57</v>
      </c>
      <c r="AU128" s="52"/>
      <c r="AV128" s="53" t="s">
        <v>57</v>
      </c>
      <c r="AW128" s="80" t="s">
        <v>57</v>
      </c>
      <c r="AX128" s="55"/>
      <c r="AY128" s="56" t="s">
        <v>57</v>
      </c>
      <c r="AZ128" s="51" t="s">
        <v>57</v>
      </c>
      <c r="BA128" s="52"/>
      <c r="BB128" s="53" t="s">
        <v>57</v>
      </c>
      <c r="BC128" s="246" t="s">
        <v>57</v>
      </c>
      <c r="BD128" s="55"/>
      <c r="BE128" s="56" t="s">
        <v>57</v>
      </c>
      <c r="BF128" s="258" t="s">
        <v>57</v>
      </c>
      <c r="BG128" s="105"/>
      <c r="BH128" s="106" t="s">
        <v>57</v>
      </c>
      <c r="BI128" s="255" t="s">
        <v>57</v>
      </c>
      <c r="BJ128" s="108"/>
      <c r="BK128" s="89"/>
      <c r="BL128" s="258" t="s">
        <v>199</v>
      </c>
      <c r="BM128" s="105"/>
      <c r="BN128" s="106" t="s">
        <v>199</v>
      </c>
    </row>
    <row r="129" customFormat="false" ht="17.25" hidden="false" customHeight="true" outlineLevel="0" collapsed="false">
      <c r="B129" s="132"/>
      <c r="C129" s="142" t="s">
        <v>87</v>
      </c>
      <c r="D129" s="148"/>
      <c r="E129" s="148"/>
      <c r="F129" s="148"/>
      <c r="G129" s="80" t="s">
        <v>44</v>
      </c>
      <c r="H129" s="55"/>
      <c r="I129" s="56" t="s">
        <v>44</v>
      </c>
      <c r="J129" s="51" t="s">
        <v>210</v>
      </c>
      <c r="K129" s="52"/>
      <c r="L129" s="153" t="s">
        <v>214</v>
      </c>
      <c r="M129" s="80" t="s">
        <v>214</v>
      </c>
      <c r="N129" s="55"/>
      <c r="O129" s="152" t="s">
        <v>269</v>
      </c>
      <c r="P129" s="246" t="s">
        <v>269</v>
      </c>
      <c r="Q129" s="55"/>
      <c r="R129" s="56" t="s">
        <v>270</v>
      </c>
      <c r="S129" s="245" t="s">
        <v>271</v>
      </c>
      <c r="T129" s="52"/>
      <c r="U129" s="53" t="s">
        <v>131</v>
      </c>
      <c r="V129" s="246" t="s">
        <v>133</v>
      </c>
      <c r="W129" s="55"/>
      <c r="X129" s="56" t="s">
        <v>133</v>
      </c>
      <c r="Y129" s="249" t="s">
        <v>57</v>
      </c>
      <c r="Z129" s="52"/>
      <c r="AA129" s="53" t="s">
        <v>57</v>
      </c>
      <c r="AB129" s="246" t="s">
        <v>57</v>
      </c>
      <c r="AC129" s="55"/>
      <c r="AD129" s="56" t="s">
        <v>57</v>
      </c>
      <c r="AE129" s="51" t="s">
        <v>57</v>
      </c>
      <c r="AF129" s="52"/>
      <c r="AG129" s="53" t="s">
        <v>57</v>
      </c>
      <c r="AH129" s="80" t="s">
        <v>57</v>
      </c>
      <c r="AI129" s="55"/>
      <c r="AJ129" s="56" t="s">
        <v>57</v>
      </c>
      <c r="AK129" s="255" t="s">
        <v>272</v>
      </c>
      <c r="AL129" s="108"/>
      <c r="AM129" s="89" t="s">
        <v>131</v>
      </c>
      <c r="AN129" s="51" t="s">
        <v>57</v>
      </c>
      <c r="AO129" s="52"/>
      <c r="AP129" s="53" t="s">
        <v>57</v>
      </c>
      <c r="AQ129" s="246" t="s">
        <v>131</v>
      </c>
      <c r="AR129" s="55"/>
      <c r="AS129" s="56" t="s">
        <v>131</v>
      </c>
      <c r="AT129" s="51" t="s">
        <v>57</v>
      </c>
      <c r="AU129" s="52"/>
      <c r="AV129" s="53" t="s">
        <v>57</v>
      </c>
      <c r="AW129" s="80" t="s">
        <v>57</v>
      </c>
      <c r="AX129" s="55"/>
      <c r="AY129" s="56" t="s">
        <v>57</v>
      </c>
      <c r="AZ129" s="51" t="s">
        <v>57</v>
      </c>
      <c r="BA129" s="52"/>
      <c r="BB129" s="53" t="s">
        <v>57</v>
      </c>
      <c r="BC129" s="246" t="s">
        <v>57</v>
      </c>
      <c r="BD129" s="55"/>
      <c r="BE129" s="56" t="s">
        <v>57</v>
      </c>
      <c r="BF129" s="258" t="s">
        <v>57</v>
      </c>
      <c r="BG129" s="105"/>
      <c r="BH129" s="106" t="s">
        <v>57</v>
      </c>
      <c r="BI129" s="255" t="s">
        <v>57</v>
      </c>
      <c r="BJ129" s="108"/>
      <c r="BK129" s="89" t="s">
        <v>57</v>
      </c>
      <c r="BL129" s="258"/>
      <c r="BM129" s="105"/>
      <c r="BN129" s="106"/>
    </row>
    <row r="130" customFormat="false" ht="17.25" hidden="false" customHeight="true" outlineLevel="0" collapsed="false">
      <c r="B130" s="132"/>
      <c r="C130" s="142" t="s">
        <v>88</v>
      </c>
      <c r="D130" s="148"/>
      <c r="E130" s="148"/>
      <c r="F130" s="148"/>
      <c r="G130" s="80" t="s">
        <v>44</v>
      </c>
      <c r="H130" s="55"/>
      <c r="I130" s="56" t="s">
        <v>44</v>
      </c>
      <c r="J130" s="51" t="s">
        <v>57</v>
      </c>
      <c r="K130" s="52"/>
      <c r="L130" s="153" t="s">
        <v>57</v>
      </c>
      <c r="M130" s="80" t="s">
        <v>210</v>
      </c>
      <c r="N130" s="55"/>
      <c r="O130" s="152" t="s">
        <v>214</v>
      </c>
      <c r="P130" s="80" t="s">
        <v>269</v>
      </c>
      <c r="Q130" s="55"/>
      <c r="R130" s="56" t="s">
        <v>214</v>
      </c>
      <c r="S130" s="245" t="s">
        <v>273</v>
      </c>
      <c r="T130" s="52"/>
      <c r="U130" s="53" t="s">
        <v>273</v>
      </c>
      <c r="V130" s="246" t="s">
        <v>57</v>
      </c>
      <c r="W130" s="55"/>
      <c r="X130" s="56" t="s">
        <v>57</v>
      </c>
      <c r="Y130" s="249" t="s">
        <v>57</v>
      </c>
      <c r="Z130" s="52"/>
      <c r="AA130" s="53" t="s">
        <v>57</v>
      </c>
      <c r="AB130" s="246" t="s">
        <v>57</v>
      </c>
      <c r="AC130" s="55"/>
      <c r="AD130" s="56" t="s">
        <v>57</v>
      </c>
      <c r="AE130" s="51" t="s">
        <v>57</v>
      </c>
      <c r="AF130" s="52"/>
      <c r="AG130" s="53" t="s">
        <v>57</v>
      </c>
      <c r="AH130" s="80" t="s">
        <v>57</v>
      </c>
      <c r="AI130" s="55"/>
      <c r="AJ130" s="56" t="s">
        <v>57</v>
      </c>
      <c r="AK130" s="255" t="s">
        <v>134</v>
      </c>
      <c r="AL130" s="108"/>
      <c r="AM130" s="89" t="s">
        <v>134</v>
      </c>
      <c r="AN130" s="51" t="s">
        <v>57</v>
      </c>
      <c r="AO130" s="52"/>
      <c r="AP130" s="53" t="s">
        <v>57</v>
      </c>
      <c r="AQ130" s="246" t="s">
        <v>57</v>
      </c>
      <c r="AR130" s="55"/>
      <c r="AS130" s="56" t="s">
        <v>57</v>
      </c>
      <c r="AT130" s="51" t="s">
        <v>57</v>
      </c>
      <c r="AU130" s="52"/>
      <c r="AV130" s="53" t="s">
        <v>57</v>
      </c>
      <c r="AW130" s="80" t="s">
        <v>57</v>
      </c>
      <c r="AX130" s="55"/>
      <c r="AY130" s="56" t="s">
        <v>57</v>
      </c>
      <c r="AZ130" s="51" t="s">
        <v>57</v>
      </c>
      <c r="BA130" s="52"/>
      <c r="BB130" s="53" t="s">
        <v>57</v>
      </c>
      <c r="BC130" s="246" t="s">
        <v>57</v>
      </c>
      <c r="BD130" s="55"/>
      <c r="BE130" s="56" t="s">
        <v>57</v>
      </c>
      <c r="BF130" s="258" t="s">
        <v>57</v>
      </c>
      <c r="BG130" s="105"/>
      <c r="BH130" s="106" t="s">
        <v>57</v>
      </c>
      <c r="BI130" s="255" t="s">
        <v>57</v>
      </c>
      <c r="BJ130" s="108"/>
      <c r="BK130" s="89" t="s">
        <v>57</v>
      </c>
      <c r="BL130" s="258" t="s">
        <v>274</v>
      </c>
      <c r="BM130" s="105"/>
      <c r="BN130" s="106" t="s">
        <v>274</v>
      </c>
    </row>
    <row r="131" customFormat="false" ht="17.25" hidden="false" customHeight="true" outlineLevel="0" collapsed="false">
      <c r="B131" s="132"/>
      <c r="C131" s="142" t="s">
        <v>89</v>
      </c>
      <c r="D131" s="148"/>
      <c r="E131" s="148"/>
      <c r="F131" s="148"/>
      <c r="G131" s="80" t="s">
        <v>44</v>
      </c>
      <c r="H131" s="55"/>
      <c r="I131" s="56" t="s">
        <v>44</v>
      </c>
      <c r="J131" s="51" t="s">
        <v>275</v>
      </c>
      <c r="K131" s="52"/>
      <c r="L131" s="153" t="s">
        <v>275</v>
      </c>
      <c r="M131" s="80" t="s">
        <v>275</v>
      </c>
      <c r="N131" s="55"/>
      <c r="O131" s="152" t="s">
        <v>275</v>
      </c>
      <c r="P131" s="80" t="s">
        <v>275</v>
      </c>
      <c r="Q131" s="55"/>
      <c r="R131" s="56" t="s">
        <v>275</v>
      </c>
      <c r="S131" s="245" t="s">
        <v>57</v>
      </c>
      <c r="T131" s="52"/>
      <c r="U131" s="53" t="s">
        <v>57</v>
      </c>
      <c r="V131" s="246" t="s">
        <v>57</v>
      </c>
      <c r="W131" s="55"/>
      <c r="X131" s="56" t="s">
        <v>57</v>
      </c>
      <c r="Y131" s="249" t="s">
        <v>57</v>
      </c>
      <c r="Z131" s="52"/>
      <c r="AA131" s="53" t="s">
        <v>57</v>
      </c>
      <c r="AB131" s="246" t="s">
        <v>57</v>
      </c>
      <c r="AC131" s="55"/>
      <c r="AD131" s="56" t="s">
        <v>57</v>
      </c>
      <c r="AE131" s="51" t="s">
        <v>57</v>
      </c>
      <c r="AF131" s="52"/>
      <c r="AG131" s="53" t="s">
        <v>57</v>
      </c>
      <c r="AH131" s="80" t="s">
        <v>57</v>
      </c>
      <c r="AI131" s="55"/>
      <c r="AJ131" s="56" t="s">
        <v>57</v>
      </c>
      <c r="AK131" s="255" t="s">
        <v>276</v>
      </c>
      <c r="AL131" s="108"/>
      <c r="AM131" s="89" t="s">
        <v>276</v>
      </c>
      <c r="AN131" s="51" t="s">
        <v>57</v>
      </c>
      <c r="AO131" s="52"/>
      <c r="AP131" s="53" t="s">
        <v>57</v>
      </c>
      <c r="AQ131" s="246" t="s">
        <v>57</v>
      </c>
      <c r="AR131" s="55"/>
      <c r="AS131" s="56" t="s">
        <v>57</v>
      </c>
      <c r="AT131" s="51" t="s">
        <v>57</v>
      </c>
      <c r="AU131" s="52"/>
      <c r="AV131" s="53" t="s">
        <v>57</v>
      </c>
      <c r="AW131" s="80" t="s">
        <v>57</v>
      </c>
      <c r="AX131" s="55"/>
      <c r="AY131" s="56" t="s">
        <v>57</v>
      </c>
      <c r="AZ131" s="51" t="s">
        <v>57</v>
      </c>
      <c r="BA131" s="52"/>
      <c r="BB131" s="53" t="s">
        <v>57</v>
      </c>
      <c r="BC131" s="246" t="s">
        <v>57</v>
      </c>
      <c r="BD131" s="55"/>
      <c r="BE131" s="56" t="s">
        <v>57</v>
      </c>
      <c r="BF131" s="258" t="s">
        <v>57</v>
      </c>
      <c r="BG131" s="105"/>
      <c r="BH131" s="106" t="s">
        <v>57</v>
      </c>
      <c r="BI131" s="255" t="s">
        <v>57</v>
      </c>
      <c r="BJ131" s="108"/>
      <c r="BK131" s="89" t="s">
        <v>57</v>
      </c>
      <c r="BL131" s="258" t="s">
        <v>274</v>
      </c>
      <c r="BM131" s="105"/>
      <c r="BN131" s="104" t="s">
        <v>274</v>
      </c>
    </row>
    <row r="132" customFormat="false" ht="17.25" hidden="false" customHeight="true" outlineLevel="0" collapsed="false">
      <c r="B132" s="132"/>
      <c r="C132" s="142" t="s">
        <v>59</v>
      </c>
      <c r="D132" s="148"/>
      <c r="E132" s="148"/>
      <c r="F132" s="148"/>
      <c r="G132" s="80" t="s">
        <v>44</v>
      </c>
      <c r="H132" s="55"/>
      <c r="I132" s="56" t="s">
        <v>44</v>
      </c>
      <c r="J132" s="51" t="s">
        <v>214</v>
      </c>
      <c r="K132" s="52"/>
      <c r="L132" s="153" t="s">
        <v>214</v>
      </c>
      <c r="M132" s="80" t="s">
        <v>274</v>
      </c>
      <c r="N132" s="55"/>
      <c r="O132" s="152" t="s">
        <v>214</v>
      </c>
      <c r="P132" s="80" t="s">
        <v>269</v>
      </c>
      <c r="Q132" s="55"/>
      <c r="R132" s="56" t="s">
        <v>277</v>
      </c>
      <c r="S132" s="245" t="s">
        <v>273</v>
      </c>
      <c r="T132" s="52"/>
      <c r="U132" s="53" t="s">
        <v>273</v>
      </c>
      <c r="V132" s="246" t="s">
        <v>57</v>
      </c>
      <c r="W132" s="55"/>
      <c r="X132" s="56" t="s">
        <v>57</v>
      </c>
      <c r="Y132" s="249" t="s">
        <v>57</v>
      </c>
      <c r="Z132" s="52"/>
      <c r="AA132" s="53" t="s">
        <v>57</v>
      </c>
      <c r="AB132" s="246" t="s">
        <v>57</v>
      </c>
      <c r="AC132" s="55"/>
      <c r="AD132" s="56" t="s">
        <v>57</v>
      </c>
      <c r="AE132" s="51" t="s">
        <v>57</v>
      </c>
      <c r="AF132" s="52"/>
      <c r="AG132" s="53" t="s">
        <v>57</v>
      </c>
      <c r="AH132" s="80" t="s">
        <v>57</v>
      </c>
      <c r="AI132" s="55"/>
      <c r="AJ132" s="56" t="s">
        <v>57</v>
      </c>
      <c r="AK132" s="255" t="s">
        <v>57</v>
      </c>
      <c r="AL132" s="108"/>
      <c r="AM132" s="89" t="s">
        <v>57</v>
      </c>
      <c r="AN132" s="51" t="s">
        <v>57</v>
      </c>
      <c r="AO132" s="52"/>
      <c r="AP132" s="53" t="s">
        <v>57</v>
      </c>
      <c r="AQ132" s="246" t="s">
        <v>57</v>
      </c>
      <c r="AR132" s="55"/>
      <c r="AS132" s="56" t="s">
        <v>57</v>
      </c>
      <c r="AT132" s="51" t="s">
        <v>57</v>
      </c>
      <c r="AU132" s="52"/>
      <c r="AV132" s="53" t="s">
        <v>57</v>
      </c>
      <c r="AW132" s="80" t="s">
        <v>57</v>
      </c>
      <c r="AX132" s="55"/>
      <c r="AY132" s="56" t="s">
        <v>57</v>
      </c>
      <c r="AZ132" s="51" t="s">
        <v>57</v>
      </c>
      <c r="BA132" s="52"/>
      <c r="BB132" s="53" t="s">
        <v>57</v>
      </c>
      <c r="BC132" s="246" t="s">
        <v>57</v>
      </c>
      <c r="BD132" s="55"/>
      <c r="BE132" s="56" t="s">
        <v>57</v>
      </c>
      <c r="BF132" s="258" t="s">
        <v>57</v>
      </c>
      <c r="BG132" s="105"/>
      <c r="BH132" s="106" t="s">
        <v>57</v>
      </c>
      <c r="BI132" s="255" t="s">
        <v>57</v>
      </c>
      <c r="BJ132" s="108"/>
      <c r="BK132" s="89" t="s">
        <v>57</v>
      </c>
      <c r="BL132" s="258"/>
      <c r="BM132" s="105"/>
      <c r="BN132" s="106"/>
    </row>
    <row r="133" customFormat="false" ht="17.25" hidden="false" customHeight="true" outlineLevel="0" collapsed="false">
      <c r="B133" s="132"/>
      <c r="C133" s="210" t="s">
        <v>60</v>
      </c>
      <c r="D133" s="211"/>
      <c r="E133" s="211"/>
      <c r="F133" s="211"/>
      <c r="G133" s="202" t="s">
        <v>44</v>
      </c>
      <c r="H133" s="123"/>
      <c r="I133" s="124" t="s">
        <v>44</v>
      </c>
      <c r="J133" s="98" t="s">
        <v>214</v>
      </c>
      <c r="K133" s="95"/>
      <c r="L133" s="103" t="s">
        <v>214</v>
      </c>
      <c r="M133" s="202" t="s">
        <v>274</v>
      </c>
      <c r="N133" s="123"/>
      <c r="O133" s="118" t="s">
        <v>214</v>
      </c>
      <c r="P133" s="202" t="s">
        <v>277</v>
      </c>
      <c r="Q133" s="123"/>
      <c r="R133" s="124" t="s">
        <v>214</v>
      </c>
      <c r="S133" s="265" t="s">
        <v>273</v>
      </c>
      <c r="T133" s="120"/>
      <c r="U133" s="121" t="s">
        <v>273</v>
      </c>
      <c r="V133" s="246" t="s">
        <v>57</v>
      </c>
      <c r="W133" s="123"/>
      <c r="X133" s="56" t="s">
        <v>57</v>
      </c>
      <c r="Y133" s="266" t="s">
        <v>57</v>
      </c>
      <c r="Z133" s="120"/>
      <c r="AA133" s="121" t="s">
        <v>57</v>
      </c>
      <c r="AB133" s="267" t="s">
        <v>57</v>
      </c>
      <c r="AC133" s="123"/>
      <c r="AD133" s="124" t="s">
        <v>57</v>
      </c>
      <c r="AE133" s="119" t="s">
        <v>57</v>
      </c>
      <c r="AF133" s="120"/>
      <c r="AG133" s="121" t="s">
        <v>57</v>
      </c>
      <c r="AH133" s="202" t="s">
        <v>57</v>
      </c>
      <c r="AI133" s="123"/>
      <c r="AJ133" s="124" t="s">
        <v>57</v>
      </c>
      <c r="AK133" s="261" t="s">
        <v>57</v>
      </c>
      <c r="AL133" s="129"/>
      <c r="AM133" s="130" t="s">
        <v>57</v>
      </c>
      <c r="AN133" s="51" t="s">
        <v>57</v>
      </c>
      <c r="AO133" s="120"/>
      <c r="AP133" s="53" t="s">
        <v>57</v>
      </c>
      <c r="AQ133" s="246" t="s">
        <v>57</v>
      </c>
      <c r="AR133" s="123"/>
      <c r="AS133" s="56" t="s">
        <v>57</v>
      </c>
      <c r="AT133" s="98" t="s">
        <v>57</v>
      </c>
      <c r="AU133" s="95"/>
      <c r="AV133" s="99" t="s">
        <v>57</v>
      </c>
      <c r="AW133" s="96" t="s">
        <v>57</v>
      </c>
      <c r="AX133" s="101"/>
      <c r="AY133" s="97" t="s">
        <v>57</v>
      </c>
      <c r="AZ133" s="98" t="s">
        <v>57</v>
      </c>
      <c r="BA133" s="95"/>
      <c r="BB133" s="99" t="s">
        <v>57</v>
      </c>
      <c r="BC133" s="267" t="s">
        <v>57</v>
      </c>
      <c r="BD133" s="123"/>
      <c r="BE133" s="124" t="s">
        <v>57</v>
      </c>
      <c r="BF133" s="268" t="s">
        <v>57</v>
      </c>
      <c r="BG133" s="165"/>
      <c r="BH133" s="166" t="s">
        <v>57</v>
      </c>
      <c r="BI133" s="269" t="s">
        <v>57</v>
      </c>
      <c r="BJ133" s="168"/>
      <c r="BK133" s="169" t="s">
        <v>57</v>
      </c>
      <c r="BL133" s="258"/>
      <c r="BM133" s="165"/>
      <c r="BN133" s="166"/>
    </row>
    <row r="134" customFormat="false" ht="17.25" hidden="false" customHeight="true" outlineLevel="0" collapsed="false">
      <c r="B134" s="171" t="s">
        <v>91</v>
      </c>
      <c r="C134" s="270" t="s">
        <v>92</v>
      </c>
      <c r="D134" s="173"/>
      <c r="E134" s="173" t="s">
        <v>93</v>
      </c>
      <c r="F134" s="174"/>
      <c r="G134" s="60" t="s">
        <v>278</v>
      </c>
      <c r="H134" s="61"/>
      <c r="I134" s="175" t="s">
        <v>279</v>
      </c>
      <c r="J134" s="63" t="s">
        <v>44</v>
      </c>
      <c r="K134" s="64"/>
      <c r="L134" s="208" t="s">
        <v>44</v>
      </c>
      <c r="M134" s="60" t="s">
        <v>44</v>
      </c>
      <c r="N134" s="61"/>
      <c r="O134" s="175" t="s">
        <v>44</v>
      </c>
      <c r="P134" s="60" t="s">
        <v>44</v>
      </c>
      <c r="Q134" s="61"/>
      <c r="R134" s="62" t="s">
        <v>44</v>
      </c>
      <c r="S134" s="240" t="s">
        <v>132</v>
      </c>
      <c r="T134" s="64"/>
      <c r="U134" s="65" t="s">
        <v>155</v>
      </c>
      <c r="V134" s="241" t="s">
        <v>166</v>
      </c>
      <c r="W134" s="61"/>
      <c r="X134" s="62" t="s">
        <v>246</v>
      </c>
      <c r="Y134" s="242" t="s">
        <v>156</v>
      </c>
      <c r="Z134" s="64"/>
      <c r="AA134" s="65" t="s">
        <v>280</v>
      </c>
      <c r="AB134" s="241" t="s">
        <v>156</v>
      </c>
      <c r="AC134" s="61"/>
      <c r="AD134" s="62" t="s">
        <v>280</v>
      </c>
      <c r="AE134" s="271" t="s">
        <v>272</v>
      </c>
      <c r="AF134" s="64"/>
      <c r="AG134" s="65" t="s">
        <v>281</v>
      </c>
      <c r="AH134" s="60" t="s">
        <v>272</v>
      </c>
      <c r="AI134" s="61"/>
      <c r="AJ134" s="62" t="s">
        <v>282</v>
      </c>
      <c r="AK134" s="263" t="s">
        <v>210</v>
      </c>
      <c r="AL134" s="182"/>
      <c r="AM134" s="183" t="s">
        <v>283</v>
      </c>
      <c r="AN134" s="63" t="s">
        <v>284</v>
      </c>
      <c r="AO134" s="64"/>
      <c r="AP134" s="65" t="s">
        <v>272</v>
      </c>
      <c r="AQ134" s="241" t="s">
        <v>272</v>
      </c>
      <c r="AR134" s="61"/>
      <c r="AS134" s="62" t="s">
        <v>284</v>
      </c>
      <c r="AT134" s="63" t="s">
        <v>57</v>
      </c>
      <c r="AU134" s="64"/>
      <c r="AV134" s="65" t="s">
        <v>57</v>
      </c>
      <c r="AW134" s="60" t="s">
        <v>57</v>
      </c>
      <c r="AX134" s="61"/>
      <c r="AY134" s="62" t="s">
        <v>57</v>
      </c>
      <c r="AZ134" s="63" t="s">
        <v>285</v>
      </c>
      <c r="BA134" s="64"/>
      <c r="BB134" s="65" t="s">
        <v>281</v>
      </c>
      <c r="BC134" s="241" t="s">
        <v>57</v>
      </c>
      <c r="BD134" s="61"/>
      <c r="BE134" s="62" t="s">
        <v>57</v>
      </c>
      <c r="BF134" s="272" t="s">
        <v>286</v>
      </c>
      <c r="BG134" s="179"/>
      <c r="BH134" s="180" t="s">
        <v>210</v>
      </c>
      <c r="BI134" s="263" t="s">
        <v>207</v>
      </c>
      <c r="BJ134" s="182"/>
      <c r="BK134" s="183" t="s">
        <v>210</v>
      </c>
      <c r="BL134" s="272" t="s">
        <v>198</v>
      </c>
      <c r="BM134" s="179"/>
      <c r="BN134" s="180" t="s">
        <v>287</v>
      </c>
    </row>
    <row r="135" customFormat="false" ht="17.25" hidden="false" customHeight="true" outlineLevel="0" collapsed="false">
      <c r="B135" s="171"/>
      <c r="C135" s="270"/>
      <c r="D135" s="186"/>
      <c r="E135" s="186" t="s">
        <v>95</v>
      </c>
      <c r="F135" s="187"/>
      <c r="G135" s="188" t="s">
        <v>278</v>
      </c>
      <c r="H135" s="189"/>
      <c r="I135" s="190" t="s">
        <v>279</v>
      </c>
      <c r="J135" s="51" t="s">
        <v>44</v>
      </c>
      <c r="K135" s="52"/>
      <c r="L135" s="153" t="s">
        <v>44</v>
      </c>
      <c r="M135" s="80" t="s">
        <v>44</v>
      </c>
      <c r="N135" s="55"/>
      <c r="O135" s="152" t="s">
        <v>44</v>
      </c>
      <c r="P135" s="80" t="s">
        <v>44</v>
      </c>
      <c r="Q135" s="55"/>
      <c r="R135" s="56" t="s">
        <v>44</v>
      </c>
      <c r="S135" s="245" t="s">
        <v>132</v>
      </c>
      <c r="T135" s="52"/>
      <c r="U135" s="53" t="s">
        <v>155</v>
      </c>
      <c r="V135" s="273" t="s">
        <v>166</v>
      </c>
      <c r="W135" s="189"/>
      <c r="X135" s="192" t="s">
        <v>246</v>
      </c>
      <c r="Y135" s="274" t="s">
        <v>156</v>
      </c>
      <c r="Z135" s="194"/>
      <c r="AA135" s="196" t="s">
        <v>280</v>
      </c>
      <c r="AB135" s="273" t="s">
        <v>156</v>
      </c>
      <c r="AC135" s="189"/>
      <c r="AD135" s="192" t="s">
        <v>280</v>
      </c>
      <c r="AE135" s="275" t="s">
        <v>272</v>
      </c>
      <c r="AF135" s="194"/>
      <c r="AG135" s="196" t="s">
        <v>281</v>
      </c>
      <c r="AH135" s="188" t="s">
        <v>272</v>
      </c>
      <c r="AI135" s="189"/>
      <c r="AJ135" s="192" t="s">
        <v>282</v>
      </c>
      <c r="AK135" s="255" t="s">
        <v>210</v>
      </c>
      <c r="AL135" s="276"/>
      <c r="AM135" s="276" t="s">
        <v>283</v>
      </c>
      <c r="AN135" s="195" t="s">
        <v>284</v>
      </c>
      <c r="AO135" s="194"/>
      <c r="AP135" s="196" t="s">
        <v>272</v>
      </c>
      <c r="AQ135" s="273" t="s">
        <v>272</v>
      </c>
      <c r="AR135" s="189"/>
      <c r="AS135" s="192" t="s">
        <v>284</v>
      </c>
      <c r="AT135" s="51" t="s">
        <v>57</v>
      </c>
      <c r="AU135" s="52"/>
      <c r="AV135" s="53" t="s">
        <v>57</v>
      </c>
      <c r="AW135" s="80" t="s">
        <v>57</v>
      </c>
      <c r="AX135" s="55"/>
      <c r="AY135" s="56" t="s">
        <v>57</v>
      </c>
      <c r="AZ135" s="51" t="s">
        <v>285</v>
      </c>
      <c r="BA135" s="52"/>
      <c r="BB135" s="53" t="s">
        <v>281</v>
      </c>
      <c r="BC135" s="273" t="s">
        <v>57</v>
      </c>
      <c r="BD135" s="189"/>
      <c r="BE135" s="192" t="s">
        <v>57</v>
      </c>
      <c r="BF135" s="258" t="s">
        <v>286</v>
      </c>
      <c r="BG135" s="105"/>
      <c r="BH135" s="106" t="s">
        <v>210</v>
      </c>
      <c r="BI135" s="255" t="s">
        <v>207</v>
      </c>
      <c r="BJ135" s="108"/>
      <c r="BK135" s="183" t="s">
        <v>210</v>
      </c>
      <c r="BL135" s="272" t="s">
        <v>198</v>
      </c>
      <c r="BM135" s="105"/>
      <c r="BN135" s="180" t="s">
        <v>287</v>
      </c>
    </row>
    <row r="136" customFormat="false" ht="17.25" hidden="false" customHeight="true" outlineLevel="0" collapsed="false">
      <c r="B136" s="171"/>
      <c r="C136" s="114" t="s">
        <v>96</v>
      </c>
      <c r="D136" s="199"/>
      <c r="E136" s="199" t="s">
        <v>93</v>
      </c>
      <c r="F136" s="112"/>
      <c r="G136" s="80" t="s">
        <v>278</v>
      </c>
      <c r="H136" s="55"/>
      <c r="I136" s="152" t="s">
        <v>131</v>
      </c>
      <c r="J136" s="51" t="s">
        <v>44</v>
      </c>
      <c r="K136" s="52"/>
      <c r="L136" s="153" t="s">
        <v>44</v>
      </c>
      <c r="M136" s="80" t="s">
        <v>44</v>
      </c>
      <c r="N136" s="55"/>
      <c r="O136" s="152" t="s">
        <v>44</v>
      </c>
      <c r="P136" s="80" t="s">
        <v>44</v>
      </c>
      <c r="Q136" s="55"/>
      <c r="R136" s="56" t="s">
        <v>44</v>
      </c>
      <c r="S136" s="245" t="s">
        <v>132</v>
      </c>
      <c r="T136" s="52"/>
      <c r="U136" s="53" t="s">
        <v>155</v>
      </c>
      <c r="V136" s="246" t="s">
        <v>166</v>
      </c>
      <c r="W136" s="55"/>
      <c r="X136" s="56" t="s">
        <v>246</v>
      </c>
      <c r="Y136" s="274" t="s">
        <v>156</v>
      </c>
      <c r="Z136" s="194"/>
      <c r="AA136" s="196" t="s">
        <v>280</v>
      </c>
      <c r="AB136" s="246" t="s">
        <v>156</v>
      </c>
      <c r="AC136" s="55"/>
      <c r="AD136" s="56" t="s">
        <v>280</v>
      </c>
      <c r="AE136" s="277" t="s">
        <v>272</v>
      </c>
      <c r="AF136" s="52"/>
      <c r="AG136" s="53" t="s">
        <v>281</v>
      </c>
      <c r="AH136" s="80" t="s">
        <v>272</v>
      </c>
      <c r="AI136" s="55"/>
      <c r="AJ136" s="56" t="s">
        <v>282</v>
      </c>
      <c r="AK136" s="255" t="s">
        <v>210</v>
      </c>
      <c r="AL136" s="108"/>
      <c r="AM136" s="276" t="s">
        <v>283</v>
      </c>
      <c r="AN136" s="195" t="s">
        <v>284</v>
      </c>
      <c r="AO136" s="52"/>
      <c r="AP136" s="196" t="s">
        <v>272</v>
      </c>
      <c r="AQ136" s="273" t="s">
        <v>272</v>
      </c>
      <c r="AR136" s="55"/>
      <c r="AS136" s="192" t="s">
        <v>284</v>
      </c>
      <c r="AT136" s="51" t="s">
        <v>57</v>
      </c>
      <c r="AU136" s="52"/>
      <c r="AV136" s="53" t="s">
        <v>57</v>
      </c>
      <c r="AW136" s="80" t="s">
        <v>57</v>
      </c>
      <c r="AX136" s="55"/>
      <c r="AY136" s="56" t="s">
        <v>57</v>
      </c>
      <c r="AZ136" s="51" t="s">
        <v>285</v>
      </c>
      <c r="BA136" s="52"/>
      <c r="BB136" s="53" t="s">
        <v>281</v>
      </c>
      <c r="BC136" s="246" t="s">
        <v>57</v>
      </c>
      <c r="BD136" s="55"/>
      <c r="BE136" s="56" t="s">
        <v>57</v>
      </c>
      <c r="BF136" s="258" t="s">
        <v>286</v>
      </c>
      <c r="BG136" s="105"/>
      <c r="BH136" s="106" t="s">
        <v>210</v>
      </c>
      <c r="BI136" s="263" t="s">
        <v>207</v>
      </c>
      <c r="BJ136" s="108"/>
      <c r="BK136" s="183" t="s">
        <v>210</v>
      </c>
      <c r="BL136" s="272" t="s">
        <v>198</v>
      </c>
      <c r="BM136" s="105"/>
      <c r="BN136" s="180" t="s">
        <v>287</v>
      </c>
    </row>
    <row r="137" customFormat="false" ht="17.25" hidden="false" customHeight="true" outlineLevel="0" collapsed="false">
      <c r="B137" s="171"/>
      <c r="C137" s="114"/>
      <c r="D137" s="200"/>
      <c r="E137" s="200" t="s">
        <v>95</v>
      </c>
      <c r="F137" s="201"/>
      <c r="G137" s="202" t="s">
        <v>278</v>
      </c>
      <c r="H137" s="123"/>
      <c r="I137" s="118" t="s">
        <v>131</v>
      </c>
      <c r="J137" s="119" t="s">
        <v>44</v>
      </c>
      <c r="K137" s="120"/>
      <c r="L137" s="163" t="s">
        <v>44</v>
      </c>
      <c r="M137" s="202" t="s">
        <v>44</v>
      </c>
      <c r="N137" s="123"/>
      <c r="O137" s="118" t="s">
        <v>44</v>
      </c>
      <c r="P137" s="202" t="s">
        <v>44</v>
      </c>
      <c r="Q137" s="123"/>
      <c r="R137" s="124" t="s">
        <v>44</v>
      </c>
      <c r="S137" s="265" t="s">
        <v>132</v>
      </c>
      <c r="T137" s="120"/>
      <c r="U137" s="121" t="s">
        <v>155</v>
      </c>
      <c r="V137" s="267" t="s">
        <v>166</v>
      </c>
      <c r="W137" s="123"/>
      <c r="X137" s="124" t="s">
        <v>246</v>
      </c>
      <c r="Y137" s="274" t="s">
        <v>156</v>
      </c>
      <c r="Z137" s="194"/>
      <c r="AA137" s="196" t="s">
        <v>280</v>
      </c>
      <c r="AB137" s="267" t="s">
        <v>156</v>
      </c>
      <c r="AC137" s="123"/>
      <c r="AD137" s="124" t="s">
        <v>280</v>
      </c>
      <c r="AE137" s="278" t="s">
        <v>272</v>
      </c>
      <c r="AF137" s="120"/>
      <c r="AG137" s="121" t="s">
        <v>281</v>
      </c>
      <c r="AH137" s="202" t="s">
        <v>272</v>
      </c>
      <c r="AI137" s="123"/>
      <c r="AJ137" s="124" t="s">
        <v>282</v>
      </c>
      <c r="AK137" s="261" t="s">
        <v>210</v>
      </c>
      <c r="AL137" s="129"/>
      <c r="AM137" s="276" t="s">
        <v>283</v>
      </c>
      <c r="AN137" s="195" t="s">
        <v>284</v>
      </c>
      <c r="AO137" s="120"/>
      <c r="AP137" s="196" t="s">
        <v>272</v>
      </c>
      <c r="AQ137" s="273" t="s">
        <v>272</v>
      </c>
      <c r="AR137" s="123"/>
      <c r="AS137" s="192" t="s">
        <v>284</v>
      </c>
      <c r="AT137" s="119" t="s">
        <v>57</v>
      </c>
      <c r="AU137" s="120"/>
      <c r="AV137" s="121" t="s">
        <v>57</v>
      </c>
      <c r="AW137" s="202" t="s">
        <v>57</v>
      </c>
      <c r="AX137" s="123"/>
      <c r="AY137" s="124" t="s">
        <v>57</v>
      </c>
      <c r="AZ137" s="119" t="s">
        <v>285</v>
      </c>
      <c r="BA137" s="120"/>
      <c r="BB137" s="121" t="s">
        <v>281</v>
      </c>
      <c r="BC137" s="267" t="s">
        <v>57</v>
      </c>
      <c r="BD137" s="123"/>
      <c r="BE137" s="124" t="s">
        <v>57</v>
      </c>
      <c r="BF137" s="260" t="s">
        <v>286</v>
      </c>
      <c r="BG137" s="126"/>
      <c r="BH137" s="127" t="s">
        <v>210</v>
      </c>
      <c r="BI137" s="255" t="s">
        <v>207</v>
      </c>
      <c r="BJ137" s="129"/>
      <c r="BK137" s="183" t="s">
        <v>210</v>
      </c>
      <c r="BL137" s="272" t="s">
        <v>198</v>
      </c>
      <c r="BM137" s="105"/>
      <c r="BN137" s="180" t="s">
        <v>287</v>
      </c>
    </row>
    <row r="138" customFormat="false" ht="17.25" hidden="false" customHeight="true" outlineLevel="0" collapsed="false">
      <c r="B138" s="204" t="s">
        <v>97</v>
      </c>
      <c r="C138" s="133" t="s">
        <v>81</v>
      </c>
      <c r="D138" s="135"/>
      <c r="E138" s="135"/>
      <c r="F138" s="279"/>
      <c r="G138" s="60" t="s">
        <v>288</v>
      </c>
      <c r="H138" s="61"/>
      <c r="I138" s="175" t="s">
        <v>258</v>
      </c>
      <c r="J138" s="63" t="s">
        <v>44</v>
      </c>
      <c r="K138" s="64"/>
      <c r="L138" s="208" t="s">
        <v>44</v>
      </c>
      <c r="M138" s="60" t="s">
        <v>44</v>
      </c>
      <c r="N138" s="61"/>
      <c r="O138" s="175" t="s">
        <v>44</v>
      </c>
      <c r="P138" s="60" t="s">
        <v>44</v>
      </c>
      <c r="Q138" s="61"/>
      <c r="R138" s="62" t="s">
        <v>44</v>
      </c>
      <c r="S138" s="240" t="s">
        <v>131</v>
      </c>
      <c r="T138" s="64"/>
      <c r="U138" s="65" t="s">
        <v>131</v>
      </c>
      <c r="V138" s="241" t="s">
        <v>131</v>
      </c>
      <c r="W138" s="61"/>
      <c r="X138" s="62" t="s">
        <v>131</v>
      </c>
      <c r="Y138" s="242" t="s">
        <v>57</v>
      </c>
      <c r="Z138" s="64"/>
      <c r="AA138" s="65" t="s">
        <v>57</v>
      </c>
      <c r="AB138" s="241" t="s">
        <v>57</v>
      </c>
      <c r="AC138" s="61"/>
      <c r="AD138" s="62" t="s">
        <v>57</v>
      </c>
      <c r="AE138" s="63" t="s">
        <v>57</v>
      </c>
      <c r="AF138" s="64"/>
      <c r="AG138" s="65" t="s">
        <v>57</v>
      </c>
      <c r="AH138" s="60" t="s">
        <v>57</v>
      </c>
      <c r="AI138" s="61"/>
      <c r="AJ138" s="62" t="s">
        <v>57</v>
      </c>
      <c r="AK138" s="263" t="s">
        <v>289</v>
      </c>
      <c r="AL138" s="182"/>
      <c r="AM138" s="183" t="s">
        <v>290</v>
      </c>
      <c r="AN138" s="63" t="s">
        <v>291</v>
      </c>
      <c r="AO138" s="64"/>
      <c r="AP138" s="65" t="s">
        <v>291</v>
      </c>
      <c r="AQ138" s="241" t="s">
        <v>57</v>
      </c>
      <c r="AR138" s="61"/>
      <c r="AS138" s="62" t="s">
        <v>57</v>
      </c>
      <c r="AT138" s="57" t="s">
        <v>57</v>
      </c>
      <c r="AU138" s="58"/>
      <c r="AV138" s="59" t="s">
        <v>57</v>
      </c>
      <c r="AW138" s="75" t="s">
        <v>57</v>
      </c>
      <c r="AX138" s="76"/>
      <c r="AY138" s="77" t="s">
        <v>57</v>
      </c>
      <c r="AZ138" s="57" t="s">
        <v>57</v>
      </c>
      <c r="BA138" s="58"/>
      <c r="BB138" s="59" t="s">
        <v>57</v>
      </c>
      <c r="BC138" s="241" t="s">
        <v>57</v>
      </c>
      <c r="BD138" s="61"/>
      <c r="BE138" s="62" t="s">
        <v>57</v>
      </c>
      <c r="BF138" s="272" t="s">
        <v>57</v>
      </c>
      <c r="BG138" s="179"/>
      <c r="BH138" s="180" t="s">
        <v>57</v>
      </c>
      <c r="BI138" s="263" t="s">
        <v>57</v>
      </c>
      <c r="BJ138" s="182"/>
      <c r="BK138" s="183" t="s">
        <v>57</v>
      </c>
      <c r="BL138" s="272" t="s">
        <v>57</v>
      </c>
      <c r="BM138" s="179"/>
      <c r="BN138" s="180" t="s">
        <v>57</v>
      </c>
    </row>
    <row r="139" customFormat="false" ht="17.25" hidden="false" customHeight="true" outlineLevel="0" collapsed="false">
      <c r="B139" s="204"/>
      <c r="C139" s="142" t="s">
        <v>98</v>
      </c>
      <c r="D139" s="148"/>
      <c r="E139" s="148"/>
      <c r="F139" s="209"/>
      <c r="G139" s="80" t="s">
        <v>44</v>
      </c>
      <c r="H139" s="55"/>
      <c r="I139" s="152" t="s">
        <v>44</v>
      </c>
      <c r="J139" s="51" t="s">
        <v>44</v>
      </c>
      <c r="K139" s="52"/>
      <c r="L139" s="153" t="s">
        <v>44</v>
      </c>
      <c r="M139" s="80" t="s">
        <v>44</v>
      </c>
      <c r="N139" s="55"/>
      <c r="O139" s="152" t="s">
        <v>44</v>
      </c>
      <c r="P139" s="80" t="s">
        <v>44</v>
      </c>
      <c r="Q139" s="55"/>
      <c r="R139" s="56" t="s">
        <v>44</v>
      </c>
      <c r="S139" s="245" t="s">
        <v>57</v>
      </c>
      <c r="T139" s="52"/>
      <c r="U139" s="53" t="s">
        <v>57</v>
      </c>
      <c r="V139" s="246" t="s">
        <v>131</v>
      </c>
      <c r="W139" s="55"/>
      <c r="X139" s="56" t="s">
        <v>131</v>
      </c>
      <c r="Y139" s="249" t="s">
        <v>57</v>
      </c>
      <c r="Z139" s="52"/>
      <c r="AA139" s="53" t="s">
        <v>57</v>
      </c>
      <c r="AB139" s="246" t="s">
        <v>57</v>
      </c>
      <c r="AC139" s="55"/>
      <c r="AD139" s="56" t="s">
        <v>57</v>
      </c>
      <c r="AE139" s="51" t="s">
        <v>57</v>
      </c>
      <c r="AF139" s="52"/>
      <c r="AG139" s="53" t="s">
        <v>57</v>
      </c>
      <c r="AH139" s="80" t="s">
        <v>57</v>
      </c>
      <c r="AI139" s="55"/>
      <c r="AJ139" s="56" t="s">
        <v>57</v>
      </c>
      <c r="AK139" s="255" t="s">
        <v>57</v>
      </c>
      <c r="AL139" s="108"/>
      <c r="AM139" s="89" t="s">
        <v>57</v>
      </c>
      <c r="AN139" s="51" t="s">
        <v>291</v>
      </c>
      <c r="AO139" s="52"/>
      <c r="AP139" s="53" t="s">
        <v>291</v>
      </c>
      <c r="AQ139" s="246" t="s">
        <v>57</v>
      </c>
      <c r="AR139" s="55"/>
      <c r="AS139" s="56" t="s">
        <v>57</v>
      </c>
      <c r="AT139" s="51" t="s">
        <v>57</v>
      </c>
      <c r="AU139" s="52"/>
      <c r="AV139" s="53" t="s">
        <v>57</v>
      </c>
      <c r="AW139" s="80" t="s">
        <v>57</v>
      </c>
      <c r="AX139" s="55"/>
      <c r="AY139" s="56" t="s">
        <v>57</v>
      </c>
      <c r="AZ139" s="51" t="s">
        <v>57</v>
      </c>
      <c r="BA139" s="52"/>
      <c r="BB139" s="53" t="s">
        <v>57</v>
      </c>
      <c r="BC139" s="246" t="s">
        <v>57</v>
      </c>
      <c r="BD139" s="55"/>
      <c r="BE139" s="56" t="s">
        <v>57</v>
      </c>
      <c r="BF139" s="258" t="s">
        <v>57</v>
      </c>
      <c r="BG139" s="105"/>
      <c r="BH139" s="106" t="s">
        <v>57</v>
      </c>
      <c r="BI139" s="255" t="s">
        <v>57</v>
      </c>
      <c r="BJ139" s="108"/>
      <c r="BK139" s="89" t="s">
        <v>57</v>
      </c>
      <c r="BL139" s="258" t="s">
        <v>57</v>
      </c>
      <c r="BM139" s="105"/>
      <c r="BN139" s="106" t="s">
        <v>57</v>
      </c>
    </row>
    <row r="140" customFormat="false" ht="17.25" hidden="false" customHeight="true" outlineLevel="0" collapsed="false">
      <c r="B140" s="204"/>
      <c r="C140" s="142" t="s">
        <v>60</v>
      </c>
      <c r="D140" s="148"/>
      <c r="E140" s="148"/>
      <c r="F140" s="209"/>
      <c r="G140" s="80" t="s">
        <v>44</v>
      </c>
      <c r="H140" s="55"/>
      <c r="I140" s="152" t="s">
        <v>44</v>
      </c>
      <c r="J140" s="51" t="s">
        <v>44</v>
      </c>
      <c r="K140" s="52"/>
      <c r="L140" s="153" t="s">
        <v>44</v>
      </c>
      <c r="M140" s="80" t="s">
        <v>44</v>
      </c>
      <c r="N140" s="55"/>
      <c r="O140" s="152" t="s">
        <v>44</v>
      </c>
      <c r="P140" s="80" t="s">
        <v>44</v>
      </c>
      <c r="Q140" s="55"/>
      <c r="R140" s="56" t="s">
        <v>44</v>
      </c>
      <c r="S140" s="245" t="s">
        <v>57</v>
      </c>
      <c r="T140" s="52"/>
      <c r="U140" s="53" t="s">
        <v>57</v>
      </c>
      <c r="V140" s="246" t="s">
        <v>131</v>
      </c>
      <c r="W140" s="55"/>
      <c r="X140" s="56" t="s">
        <v>131</v>
      </c>
      <c r="Y140" s="249" t="s">
        <v>57</v>
      </c>
      <c r="Z140" s="52"/>
      <c r="AA140" s="53" t="s">
        <v>57</v>
      </c>
      <c r="AB140" s="246" t="s">
        <v>57</v>
      </c>
      <c r="AC140" s="55"/>
      <c r="AD140" s="56" t="s">
        <v>57</v>
      </c>
      <c r="AE140" s="51" t="s">
        <v>57</v>
      </c>
      <c r="AF140" s="52"/>
      <c r="AG140" s="53" t="s">
        <v>57</v>
      </c>
      <c r="AH140" s="80" t="s">
        <v>57</v>
      </c>
      <c r="AI140" s="55"/>
      <c r="AJ140" s="56" t="s">
        <v>57</v>
      </c>
      <c r="AK140" s="255" t="s">
        <v>57</v>
      </c>
      <c r="AL140" s="108"/>
      <c r="AM140" s="89" t="s">
        <v>57</v>
      </c>
      <c r="AN140" s="51" t="s">
        <v>291</v>
      </c>
      <c r="AO140" s="52"/>
      <c r="AP140" s="53" t="s">
        <v>291</v>
      </c>
      <c r="AQ140" s="246" t="s">
        <v>57</v>
      </c>
      <c r="AR140" s="55"/>
      <c r="AS140" s="56" t="s">
        <v>57</v>
      </c>
      <c r="AT140" s="51" t="s">
        <v>57</v>
      </c>
      <c r="AU140" s="52"/>
      <c r="AV140" s="53" t="s">
        <v>57</v>
      </c>
      <c r="AW140" s="80" t="s">
        <v>57</v>
      </c>
      <c r="AX140" s="55"/>
      <c r="AY140" s="56" t="s">
        <v>57</v>
      </c>
      <c r="AZ140" s="51" t="s">
        <v>57</v>
      </c>
      <c r="BA140" s="52"/>
      <c r="BB140" s="53" t="s">
        <v>57</v>
      </c>
      <c r="BC140" s="246" t="s">
        <v>57</v>
      </c>
      <c r="BD140" s="55"/>
      <c r="BE140" s="56" t="s">
        <v>57</v>
      </c>
      <c r="BF140" s="258" t="s">
        <v>57</v>
      </c>
      <c r="BG140" s="105"/>
      <c r="BH140" s="106" t="s">
        <v>57</v>
      </c>
      <c r="BI140" s="255" t="s">
        <v>57</v>
      </c>
      <c r="BJ140" s="108"/>
      <c r="BK140" s="89" t="s">
        <v>57</v>
      </c>
      <c r="BL140" s="258" t="s">
        <v>57</v>
      </c>
      <c r="BM140" s="105"/>
      <c r="BN140" s="106" t="s">
        <v>57</v>
      </c>
    </row>
    <row r="141" customFormat="false" ht="17.25" hidden="false" customHeight="true" outlineLevel="0" collapsed="false">
      <c r="B141" s="204"/>
      <c r="C141" s="210" t="s">
        <v>99</v>
      </c>
      <c r="D141" s="211"/>
      <c r="E141" s="211"/>
      <c r="F141" s="212"/>
      <c r="G141" s="202" t="s">
        <v>44</v>
      </c>
      <c r="H141" s="123"/>
      <c r="I141" s="118" t="s">
        <v>44</v>
      </c>
      <c r="J141" s="119" t="s">
        <v>44</v>
      </c>
      <c r="K141" s="120"/>
      <c r="L141" s="163" t="s">
        <v>44</v>
      </c>
      <c r="M141" s="202" t="s">
        <v>44</v>
      </c>
      <c r="N141" s="123"/>
      <c r="O141" s="118" t="s">
        <v>44</v>
      </c>
      <c r="P141" s="202" t="s">
        <v>44</v>
      </c>
      <c r="Q141" s="123"/>
      <c r="R141" s="124" t="s">
        <v>44</v>
      </c>
      <c r="S141" s="245" t="s">
        <v>57</v>
      </c>
      <c r="T141" s="120"/>
      <c r="U141" s="53" t="s">
        <v>57</v>
      </c>
      <c r="V141" s="267" t="s">
        <v>131</v>
      </c>
      <c r="W141" s="123"/>
      <c r="X141" s="124" t="s">
        <v>131</v>
      </c>
      <c r="Y141" s="266" t="s">
        <v>57</v>
      </c>
      <c r="Z141" s="120"/>
      <c r="AA141" s="121" t="s">
        <v>57</v>
      </c>
      <c r="AB141" s="267" t="s">
        <v>57</v>
      </c>
      <c r="AC141" s="123"/>
      <c r="AD141" s="124" t="s">
        <v>57</v>
      </c>
      <c r="AE141" s="119" t="s">
        <v>57</v>
      </c>
      <c r="AF141" s="120"/>
      <c r="AG141" s="121" t="s">
        <v>57</v>
      </c>
      <c r="AH141" s="202" t="s">
        <v>57</v>
      </c>
      <c r="AI141" s="123"/>
      <c r="AJ141" s="124" t="s">
        <v>57</v>
      </c>
      <c r="AK141" s="255" t="s">
        <v>57</v>
      </c>
      <c r="AL141" s="129"/>
      <c r="AM141" s="89" t="s">
        <v>57</v>
      </c>
      <c r="AN141" s="119" t="s">
        <v>57</v>
      </c>
      <c r="AO141" s="120"/>
      <c r="AP141" s="121" t="s">
        <v>57</v>
      </c>
      <c r="AQ141" s="267" t="s">
        <v>57</v>
      </c>
      <c r="AR141" s="123"/>
      <c r="AS141" s="124" t="s">
        <v>57</v>
      </c>
      <c r="AT141" s="98" t="s">
        <v>57</v>
      </c>
      <c r="AU141" s="95"/>
      <c r="AV141" s="99" t="s">
        <v>57</v>
      </c>
      <c r="AW141" s="96" t="s">
        <v>57</v>
      </c>
      <c r="AX141" s="101"/>
      <c r="AY141" s="97" t="s">
        <v>57</v>
      </c>
      <c r="AZ141" s="98" t="s">
        <v>57</v>
      </c>
      <c r="BA141" s="95"/>
      <c r="BB141" s="99" t="s">
        <v>57</v>
      </c>
      <c r="BC141" s="267" t="s">
        <v>57</v>
      </c>
      <c r="BD141" s="123"/>
      <c r="BE141" s="124" t="s">
        <v>57</v>
      </c>
      <c r="BF141" s="260" t="s">
        <v>57</v>
      </c>
      <c r="BG141" s="126"/>
      <c r="BH141" s="127" t="s">
        <v>57</v>
      </c>
      <c r="BI141" s="261" t="s">
        <v>57</v>
      </c>
      <c r="BJ141" s="129"/>
      <c r="BK141" s="130" t="s">
        <v>57</v>
      </c>
      <c r="BL141" s="260" t="s">
        <v>57</v>
      </c>
      <c r="BM141" s="126"/>
      <c r="BN141" s="127" t="s">
        <v>57</v>
      </c>
    </row>
    <row r="142" customFormat="false" ht="17.25" hidden="false" customHeight="true" outlineLevel="0" collapsed="false">
      <c r="B142" s="171" t="s">
        <v>100</v>
      </c>
      <c r="C142" s="44" t="s">
        <v>82</v>
      </c>
      <c r="D142" s="173"/>
      <c r="E142" s="173"/>
      <c r="F142" s="213"/>
      <c r="G142" s="60" t="s">
        <v>44</v>
      </c>
      <c r="H142" s="61"/>
      <c r="I142" s="175" t="s">
        <v>44</v>
      </c>
      <c r="J142" s="63" t="s">
        <v>44</v>
      </c>
      <c r="K142" s="64"/>
      <c r="L142" s="208" t="s">
        <v>44</v>
      </c>
      <c r="M142" s="60" t="s">
        <v>44</v>
      </c>
      <c r="N142" s="61"/>
      <c r="O142" s="175" t="s">
        <v>44</v>
      </c>
      <c r="P142" s="60" t="s">
        <v>44</v>
      </c>
      <c r="Q142" s="61"/>
      <c r="R142" s="62" t="s">
        <v>44</v>
      </c>
      <c r="S142" s="262" t="s">
        <v>131</v>
      </c>
      <c r="T142" s="58"/>
      <c r="U142" s="59" t="s">
        <v>131</v>
      </c>
      <c r="V142" s="241" t="s">
        <v>57</v>
      </c>
      <c r="W142" s="61"/>
      <c r="X142" s="62" t="s">
        <v>57</v>
      </c>
      <c r="Y142" s="242" t="s">
        <v>57</v>
      </c>
      <c r="Z142" s="64"/>
      <c r="AA142" s="65" t="s">
        <v>57</v>
      </c>
      <c r="AB142" s="241" t="s">
        <v>57</v>
      </c>
      <c r="AC142" s="61"/>
      <c r="AD142" s="62" t="s">
        <v>57</v>
      </c>
      <c r="AE142" s="63" t="s">
        <v>57</v>
      </c>
      <c r="AF142" s="64"/>
      <c r="AG142" s="65" t="s">
        <v>57</v>
      </c>
      <c r="AH142" s="60" t="s">
        <v>57</v>
      </c>
      <c r="AI142" s="61"/>
      <c r="AJ142" s="62" t="s">
        <v>57</v>
      </c>
      <c r="AK142" s="263" t="s">
        <v>204</v>
      </c>
      <c r="AL142" s="182"/>
      <c r="AM142" s="183" t="s">
        <v>292</v>
      </c>
      <c r="AN142" s="63" t="s">
        <v>57</v>
      </c>
      <c r="AO142" s="64"/>
      <c r="AP142" s="65" t="s">
        <v>57</v>
      </c>
      <c r="AQ142" s="241" t="s">
        <v>133</v>
      </c>
      <c r="AR142" s="61"/>
      <c r="AS142" s="62" t="s">
        <v>133</v>
      </c>
      <c r="AT142" s="63" t="s">
        <v>57</v>
      </c>
      <c r="AU142" s="64"/>
      <c r="AV142" s="65" t="s">
        <v>57</v>
      </c>
      <c r="AW142" s="60" t="s">
        <v>57</v>
      </c>
      <c r="AX142" s="61"/>
      <c r="AY142" s="62" t="s">
        <v>57</v>
      </c>
      <c r="AZ142" s="63" t="s">
        <v>57</v>
      </c>
      <c r="BA142" s="64"/>
      <c r="BB142" s="65" t="s">
        <v>57</v>
      </c>
      <c r="BC142" s="241" t="s">
        <v>57</v>
      </c>
      <c r="BD142" s="61"/>
      <c r="BE142" s="62" t="s">
        <v>57</v>
      </c>
      <c r="BF142" s="280" t="s">
        <v>57</v>
      </c>
      <c r="BG142" s="218"/>
      <c r="BH142" s="219" t="s">
        <v>57</v>
      </c>
      <c r="BI142" s="252" t="s">
        <v>57</v>
      </c>
      <c r="BJ142" s="185"/>
      <c r="BK142" s="184" t="s">
        <v>57</v>
      </c>
      <c r="BL142" s="280" t="s">
        <v>57</v>
      </c>
      <c r="BM142" s="218"/>
      <c r="BN142" s="219" t="s">
        <v>57</v>
      </c>
    </row>
    <row r="143" customFormat="false" ht="17.25" hidden="false" customHeight="true" outlineLevel="0" collapsed="false">
      <c r="B143" s="171"/>
      <c r="C143" s="114" t="s">
        <v>89</v>
      </c>
      <c r="D143" s="200"/>
      <c r="E143" s="200"/>
      <c r="F143" s="221"/>
      <c r="G143" s="202" t="s">
        <v>44</v>
      </c>
      <c r="H143" s="123"/>
      <c r="I143" s="118" t="s">
        <v>44</v>
      </c>
      <c r="J143" s="119" t="s">
        <v>293</v>
      </c>
      <c r="K143" s="120"/>
      <c r="L143" s="163" t="s">
        <v>293</v>
      </c>
      <c r="M143" s="202" t="s">
        <v>293</v>
      </c>
      <c r="N143" s="123"/>
      <c r="O143" s="118" t="s">
        <v>293</v>
      </c>
      <c r="P143" s="202" t="s">
        <v>293</v>
      </c>
      <c r="Q143" s="123"/>
      <c r="R143" s="124" t="s">
        <v>293</v>
      </c>
      <c r="S143" s="262" t="s">
        <v>131</v>
      </c>
      <c r="T143" s="58"/>
      <c r="U143" s="59" t="s">
        <v>131</v>
      </c>
      <c r="V143" s="257" t="s">
        <v>57</v>
      </c>
      <c r="W143" s="101"/>
      <c r="X143" s="97" t="s">
        <v>57</v>
      </c>
      <c r="Y143" s="266" t="s">
        <v>57</v>
      </c>
      <c r="Z143" s="120"/>
      <c r="AA143" s="121" t="s">
        <v>57</v>
      </c>
      <c r="AB143" s="267" t="s">
        <v>57</v>
      </c>
      <c r="AC143" s="123"/>
      <c r="AD143" s="124" t="s">
        <v>57</v>
      </c>
      <c r="AE143" s="119" t="s">
        <v>57</v>
      </c>
      <c r="AF143" s="120"/>
      <c r="AG143" s="121" t="s">
        <v>57</v>
      </c>
      <c r="AH143" s="202" t="s">
        <v>57</v>
      </c>
      <c r="AI143" s="123"/>
      <c r="AJ143" s="124" t="s">
        <v>57</v>
      </c>
      <c r="AK143" s="261" t="s">
        <v>292</v>
      </c>
      <c r="AL143" s="129"/>
      <c r="AM143" s="130" t="s">
        <v>204</v>
      </c>
      <c r="AN143" s="119" t="s">
        <v>144</v>
      </c>
      <c r="AO143" s="120"/>
      <c r="AP143" s="121" t="s">
        <v>291</v>
      </c>
      <c r="AQ143" s="267" t="s">
        <v>57</v>
      </c>
      <c r="AR143" s="123"/>
      <c r="AS143" s="124" t="s">
        <v>57</v>
      </c>
      <c r="AT143" s="119" t="s">
        <v>57</v>
      </c>
      <c r="AU143" s="120"/>
      <c r="AV143" s="121" t="s">
        <v>57</v>
      </c>
      <c r="AW143" s="202" t="s">
        <v>57</v>
      </c>
      <c r="AX143" s="123"/>
      <c r="AY143" s="124" t="s">
        <v>57</v>
      </c>
      <c r="AZ143" s="119" t="s">
        <v>57</v>
      </c>
      <c r="BA143" s="120"/>
      <c r="BB143" s="121" t="s">
        <v>57</v>
      </c>
      <c r="BC143" s="267" t="s">
        <v>57</v>
      </c>
      <c r="BD143" s="123"/>
      <c r="BE143" s="124" t="s">
        <v>57</v>
      </c>
      <c r="BF143" s="260" t="s">
        <v>57</v>
      </c>
      <c r="BG143" s="126"/>
      <c r="BH143" s="127" t="s">
        <v>57</v>
      </c>
      <c r="BI143" s="261" t="s">
        <v>57</v>
      </c>
      <c r="BJ143" s="129"/>
      <c r="BK143" s="130" t="s">
        <v>57</v>
      </c>
      <c r="BL143" s="260" t="s">
        <v>57</v>
      </c>
      <c r="BM143" s="126"/>
      <c r="BN143" s="127" t="s">
        <v>57</v>
      </c>
    </row>
    <row r="144" customFormat="false" ht="17.25" hidden="false" customHeight="true" outlineLevel="0" collapsed="false">
      <c r="B144" s="204" t="s">
        <v>101</v>
      </c>
      <c r="C144" s="133" t="s">
        <v>102</v>
      </c>
      <c r="D144" s="134"/>
      <c r="E144" s="135" t="s">
        <v>103</v>
      </c>
      <c r="F144" s="136" t="s">
        <v>104</v>
      </c>
      <c r="G144" s="60" t="s">
        <v>258</v>
      </c>
      <c r="H144" s="61"/>
      <c r="I144" s="175" t="s">
        <v>258</v>
      </c>
      <c r="J144" s="63" t="s">
        <v>44</v>
      </c>
      <c r="K144" s="64"/>
      <c r="L144" s="208" t="s">
        <v>44</v>
      </c>
      <c r="M144" s="60" t="s">
        <v>44</v>
      </c>
      <c r="N144" s="61"/>
      <c r="O144" s="175" t="s">
        <v>44</v>
      </c>
      <c r="P144" s="60" t="s">
        <v>44</v>
      </c>
      <c r="Q144" s="61"/>
      <c r="R144" s="62" t="s">
        <v>44</v>
      </c>
      <c r="S144" s="240" t="s">
        <v>294</v>
      </c>
      <c r="T144" s="64"/>
      <c r="U144" s="281" t="s">
        <v>294</v>
      </c>
      <c r="V144" s="241" t="s">
        <v>57</v>
      </c>
      <c r="W144" s="61"/>
      <c r="X144" s="62" t="s">
        <v>57</v>
      </c>
      <c r="Y144" s="282" t="s">
        <v>57</v>
      </c>
      <c r="Z144" s="64"/>
      <c r="AA144" s="65" t="s">
        <v>57</v>
      </c>
      <c r="AB144" s="241" t="s">
        <v>57</v>
      </c>
      <c r="AC144" s="61"/>
      <c r="AD144" s="62" t="s">
        <v>57</v>
      </c>
      <c r="AE144" s="63" t="s">
        <v>57</v>
      </c>
      <c r="AF144" s="64"/>
      <c r="AG144" s="65" t="s">
        <v>57</v>
      </c>
      <c r="AH144" s="60" t="s">
        <v>57</v>
      </c>
      <c r="AI144" s="61"/>
      <c r="AJ144" s="62" t="s">
        <v>57</v>
      </c>
      <c r="AK144" s="263" t="s">
        <v>295</v>
      </c>
      <c r="AL144" s="182"/>
      <c r="AM144" s="183" t="s">
        <v>296</v>
      </c>
      <c r="AN144" s="271" t="s">
        <v>297</v>
      </c>
      <c r="AO144" s="64"/>
      <c r="AP144" s="65" t="s">
        <v>298</v>
      </c>
      <c r="AQ144" s="241" t="s">
        <v>297</v>
      </c>
      <c r="AR144" s="61"/>
      <c r="AS144" s="62" t="s">
        <v>298</v>
      </c>
      <c r="AT144" s="57" t="s">
        <v>57</v>
      </c>
      <c r="AU144" s="58"/>
      <c r="AV144" s="59" t="s">
        <v>57</v>
      </c>
      <c r="AW144" s="75" t="s">
        <v>57</v>
      </c>
      <c r="AX144" s="76"/>
      <c r="AY144" s="77" t="s">
        <v>57</v>
      </c>
      <c r="AZ144" s="57" t="s">
        <v>57</v>
      </c>
      <c r="BA144" s="58"/>
      <c r="BB144" s="59" t="s">
        <v>57</v>
      </c>
      <c r="BC144" s="241" t="s">
        <v>57</v>
      </c>
      <c r="BD144" s="61"/>
      <c r="BE144" s="62" t="s">
        <v>57</v>
      </c>
      <c r="BF144" s="280" t="s">
        <v>57</v>
      </c>
      <c r="BG144" s="218"/>
      <c r="BH144" s="219" t="s">
        <v>57</v>
      </c>
      <c r="BI144" s="252" t="s">
        <v>57</v>
      </c>
      <c r="BJ144" s="185"/>
      <c r="BK144" s="184" t="s">
        <v>57</v>
      </c>
      <c r="BL144" s="280" t="s">
        <v>57</v>
      </c>
      <c r="BM144" s="218"/>
      <c r="BN144" s="219" t="s">
        <v>57</v>
      </c>
    </row>
    <row r="145" customFormat="false" ht="17.25" hidden="false" customHeight="true" outlineLevel="0" collapsed="false">
      <c r="B145" s="204"/>
      <c r="C145" s="133"/>
      <c r="D145" s="134"/>
      <c r="E145" s="140" t="s">
        <v>105</v>
      </c>
      <c r="F145" s="136"/>
      <c r="G145" s="75" t="s">
        <v>258</v>
      </c>
      <c r="H145" s="76"/>
      <c r="I145" s="207" t="s">
        <v>258</v>
      </c>
      <c r="J145" s="51" t="s">
        <v>44</v>
      </c>
      <c r="K145" s="52"/>
      <c r="L145" s="153" t="s">
        <v>44</v>
      </c>
      <c r="M145" s="80" t="s">
        <v>44</v>
      </c>
      <c r="N145" s="55"/>
      <c r="O145" s="152" t="s">
        <v>44</v>
      </c>
      <c r="P145" s="80" t="s">
        <v>44</v>
      </c>
      <c r="Q145" s="55"/>
      <c r="R145" s="56" t="s">
        <v>44</v>
      </c>
      <c r="S145" s="262" t="s">
        <v>294</v>
      </c>
      <c r="T145" s="58"/>
      <c r="U145" s="283" t="s">
        <v>294</v>
      </c>
      <c r="V145" s="246" t="s">
        <v>57</v>
      </c>
      <c r="W145" s="55"/>
      <c r="X145" s="56" t="s">
        <v>57</v>
      </c>
      <c r="Y145" s="284" t="s">
        <v>57</v>
      </c>
      <c r="Z145" s="58"/>
      <c r="AA145" s="59" t="s">
        <v>57</v>
      </c>
      <c r="AB145" s="248" t="s">
        <v>57</v>
      </c>
      <c r="AC145" s="76"/>
      <c r="AD145" s="77" t="s">
        <v>57</v>
      </c>
      <c r="AE145" s="57" t="s">
        <v>57</v>
      </c>
      <c r="AF145" s="58"/>
      <c r="AG145" s="59" t="s">
        <v>57</v>
      </c>
      <c r="AH145" s="75" t="s">
        <v>57</v>
      </c>
      <c r="AI145" s="76"/>
      <c r="AJ145" s="77" t="s">
        <v>57</v>
      </c>
      <c r="AK145" s="255" t="s">
        <v>295</v>
      </c>
      <c r="AL145" s="185"/>
      <c r="AM145" s="89" t="s">
        <v>296</v>
      </c>
      <c r="AN145" s="285" t="s">
        <v>298</v>
      </c>
      <c r="AO145" s="58"/>
      <c r="AP145" s="59" t="s">
        <v>298</v>
      </c>
      <c r="AQ145" s="248" t="s">
        <v>298</v>
      </c>
      <c r="AR145" s="76"/>
      <c r="AS145" s="77" t="s">
        <v>298</v>
      </c>
      <c r="AT145" s="51" t="s">
        <v>57</v>
      </c>
      <c r="AU145" s="52"/>
      <c r="AV145" s="53" t="s">
        <v>57</v>
      </c>
      <c r="AW145" s="80" t="s">
        <v>57</v>
      </c>
      <c r="AX145" s="55"/>
      <c r="AY145" s="56" t="s">
        <v>57</v>
      </c>
      <c r="AZ145" s="51" t="s">
        <v>57</v>
      </c>
      <c r="BA145" s="52"/>
      <c r="BB145" s="53" t="s">
        <v>57</v>
      </c>
      <c r="BC145" s="248" t="s">
        <v>57</v>
      </c>
      <c r="BD145" s="76"/>
      <c r="BE145" s="77" t="s">
        <v>57</v>
      </c>
      <c r="BF145" s="258" t="s">
        <v>57</v>
      </c>
      <c r="BG145" s="105"/>
      <c r="BH145" s="106" t="s">
        <v>57</v>
      </c>
      <c r="BI145" s="255" t="s">
        <v>57</v>
      </c>
      <c r="BJ145" s="108"/>
      <c r="BK145" s="89" t="s">
        <v>57</v>
      </c>
      <c r="BL145" s="258" t="s">
        <v>57</v>
      </c>
      <c r="BM145" s="105"/>
      <c r="BN145" s="106" t="s">
        <v>57</v>
      </c>
    </row>
    <row r="146" customFormat="false" ht="17.25" hidden="false" customHeight="true" outlineLevel="0" collapsed="false">
      <c r="B146" s="204"/>
      <c r="C146" s="133"/>
      <c r="D146" s="134"/>
      <c r="E146" s="140" t="s">
        <v>106</v>
      </c>
      <c r="F146" s="136"/>
      <c r="G146" s="75" t="s">
        <v>258</v>
      </c>
      <c r="H146" s="76"/>
      <c r="I146" s="207" t="s">
        <v>258</v>
      </c>
      <c r="J146" s="51" t="s">
        <v>44</v>
      </c>
      <c r="K146" s="52"/>
      <c r="L146" s="153" t="s">
        <v>44</v>
      </c>
      <c r="M146" s="80" t="s">
        <v>44</v>
      </c>
      <c r="N146" s="55"/>
      <c r="O146" s="152" t="s">
        <v>44</v>
      </c>
      <c r="P146" s="80" t="s">
        <v>44</v>
      </c>
      <c r="Q146" s="55"/>
      <c r="R146" s="56" t="s">
        <v>44</v>
      </c>
      <c r="S146" s="240" t="s">
        <v>294</v>
      </c>
      <c r="T146" s="58"/>
      <c r="U146" s="281" t="s">
        <v>294</v>
      </c>
      <c r="V146" s="246" t="s">
        <v>57</v>
      </c>
      <c r="W146" s="55"/>
      <c r="X146" s="56" t="s">
        <v>57</v>
      </c>
      <c r="Y146" s="284" t="s">
        <v>57</v>
      </c>
      <c r="Z146" s="58"/>
      <c r="AA146" s="59" t="s">
        <v>57</v>
      </c>
      <c r="AB146" s="248" t="s">
        <v>57</v>
      </c>
      <c r="AC146" s="76"/>
      <c r="AD146" s="77" t="s">
        <v>57</v>
      </c>
      <c r="AE146" s="57" t="s">
        <v>57</v>
      </c>
      <c r="AF146" s="58"/>
      <c r="AG146" s="59" t="s">
        <v>57</v>
      </c>
      <c r="AH146" s="75" t="s">
        <v>57</v>
      </c>
      <c r="AI146" s="76"/>
      <c r="AJ146" s="77" t="s">
        <v>57</v>
      </c>
      <c r="AK146" s="255" t="s">
        <v>295</v>
      </c>
      <c r="AL146" s="185"/>
      <c r="AM146" s="89" t="s">
        <v>296</v>
      </c>
      <c r="AN146" s="285" t="s">
        <v>299</v>
      </c>
      <c r="AO146" s="58"/>
      <c r="AP146" s="59" t="s">
        <v>300</v>
      </c>
      <c r="AQ146" s="248" t="s">
        <v>299</v>
      </c>
      <c r="AR146" s="76"/>
      <c r="AS146" s="77" t="s">
        <v>300</v>
      </c>
      <c r="AT146" s="51" t="s">
        <v>57</v>
      </c>
      <c r="AU146" s="52"/>
      <c r="AV146" s="53" t="s">
        <v>57</v>
      </c>
      <c r="AW146" s="80" t="s">
        <v>57</v>
      </c>
      <c r="AX146" s="55"/>
      <c r="AY146" s="56" t="s">
        <v>57</v>
      </c>
      <c r="AZ146" s="51" t="s">
        <v>57</v>
      </c>
      <c r="BA146" s="52"/>
      <c r="BB146" s="53" t="s">
        <v>57</v>
      </c>
      <c r="BC146" s="248" t="s">
        <v>57</v>
      </c>
      <c r="BD146" s="76"/>
      <c r="BE146" s="77" t="s">
        <v>57</v>
      </c>
      <c r="BF146" s="258" t="s">
        <v>57</v>
      </c>
      <c r="BG146" s="105"/>
      <c r="BH146" s="106" t="s">
        <v>57</v>
      </c>
      <c r="BI146" s="255" t="s">
        <v>57</v>
      </c>
      <c r="BJ146" s="108"/>
      <c r="BK146" s="89" t="s">
        <v>57</v>
      </c>
      <c r="BL146" s="258" t="s">
        <v>57</v>
      </c>
      <c r="BM146" s="105"/>
      <c r="BN146" s="106" t="s">
        <v>57</v>
      </c>
    </row>
    <row r="147" customFormat="false" ht="17.25" hidden="false" customHeight="true" outlineLevel="0" collapsed="false">
      <c r="B147" s="204"/>
      <c r="C147" s="133"/>
      <c r="D147" s="134"/>
      <c r="E147" s="140" t="s">
        <v>107</v>
      </c>
      <c r="F147" s="136"/>
      <c r="G147" s="75" t="s">
        <v>258</v>
      </c>
      <c r="H147" s="76"/>
      <c r="I147" s="207" t="s">
        <v>258</v>
      </c>
      <c r="J147" s="51" t="s">
        <v>44</v>
      </c>
      <c r="K147" s="52"/>
      <c r="L147" s="153" t="s">
        <v>44</v>
      </c>
      <c r="M147" s="80" t="s">
        <v>44</v>
      </c>
      <c r="N147" s="55"/>
      <c r="O147" s="152" t="s">
        <v>44</v>
      </c>
      <c r="P147" s="80" t="s">
        <v>44</v>
      </c>
      <c r="Q147" s="55"/>
      <c r="R147" s="56" t="s">
        <v>44</v>
      </c>
      <c r="S147" s="262" t="s">
        <v>294</v>
      </c>
      <c r="T147" s="58"/>
      <c r="U147" s="283" t="s">
        <v>294</v>
      </c>
      <c r="V147" s="246" t="s">
        <v>57</v>
      </c>
      <c r="W147" s="55"/>
      <c r="X147" s="56" t="s">
        <v>57</v>
      </c>
      <c r="Y147" s="284" t="s">
        <v>57</v>
      </c>
      <c r="Z147" s="58"/>
      <c r="AA147" s="59" t="s">
        <v>57</v>
      </c>
      <c r="AB147" s="248" t="s">
        <v>57</v>
      </c>
      <c r="AC147" s="76"/>
      <c r="AD147" s="77" t="s">
        <v>57</v>
      </c>
      <c r="AE147" s="57" t="s">
        <v>57</v>
      </c>
      <c r="AF147" s="58"/>
      <c r="AG147" s="59" t="s">
        <v>57</v>
      </c>
      <c r="AH147" s="75" t="s">
        <v>57</v>
      </c>
      <c r="AI147" s="76"/>
      <c r="AJ147" s="77" t="s">
        <v>57</v>
      </c>
      <c r="AK147" s="255" t="s">
        <v>295</v>
      </c>
      <c r="AL147" s="185"/>
      <c r="AM147" s="89" t="s">
        <v>296</v>
      </c>
      <c r="AN147" s="285" t="s">
        <v>301</v>
      </c>
      <c r="AO147" s="58"/>
      <c r="AP147" s="59" t="s">
        <v>301</v>
      </c>
      <c r="AQ147" s="248" t="s">
        <v>301</v>
      </c>
      <c r="AR147" s="76"/>
      <c r="AS147" s="77" t="s">
        <v>301</v>
      </c>
      <c r="AT147" s="51" t="s">
        <v>57</v>
      </c>
      <c r="AU147" s="52"/>
      <c r="AV147" s="53" t="s">
        <v>57</v>
      </c>
      <c r="AW147" s="80" t="s">
        <v>57</v>
      </c>
      <c r="AX147" s="55"/>
      <c r="AY147" s="56" t="s">
        <v>57</v>
      </c>
      <c r="AZ147" s="51" t="s">
        <v>57</v>
      </c>
      <c r="BA147" s="52"/>
      <c r="BB147" s="53" t="s">
        <v>57</v>
      </c>
      <c r="BC147" s="248" t="s">
        <v>57</v>
      </c>
      <c r="BD147" s="76"/>
      <c r="BE147" s="77" t="s">
        <v>57</v>
      </c>
      <c r="BF147" s="258" t="s">
        <v>57</v>
      </c>
      <c r="BG147" s="105"/>
      <c r="BH147" s="106" t="s">
        <v>57</v>
      </c>
      <c r="BI147" s="255" t="s">
        <v>57</v>
      </c>
      <c r="BJ147" s="108"/>
      <c r="BK147" s="89" t="s">
        <v>57</v>
      </c>
      <c r="BL147" s="258" t="s">
        <v>57</v>
      </c>
      <c r="BM147" s="105"/>
      <c r="BN147" s="106" t="s">
        <v>57</v>
      </c>
    </row>
    <row r="148" customFormat="false" ht="17.25" hidden="false" customHeight="true" outlineLevel="0" collapsed="false">
      <c r="B148" s="204"/>
      <c r="C148" s="133"/>
      <c r="D148" s="147"/>
      <c r="E148" s="140" t="s">
        <v>108</v>
      </c>
      <c r="F148" s="149" t="s">
        <v>109</v>
      </c>
      <c r="G148" s="75" t="s">
        <v>258</v>
      </c>
      <c r="H148" s="76"/>
      <c r="I148" s="207" t="s">
        <v>258</v>
      </c>
      <c r="J148" s="51" t="s">
        <v>44</v>
      </c>
      <c r="K148" s="52"/>
      <c r="L148" s="153" t="s">
        <v>44</v>
      </c>
      <c r="M148" s="80" t="s">
        <v>44</v>
      </c>
      <c r="N148" s="55"/>
      <c r="O148" s="152" t="s">
        <v>44</v>
      </c>
      <c r="P148" s="80" t="s">
        <v>44</v>
      </c>
      <c r="Q148" s="55"/>
      <c r="R148" s="56" t="s">
        <v>44</v>
      </c>
      <c r="S148" s="240" t="s">
        <v>294</v>
      </c>
      <c r="T148" s="58"/>
      <c r="U148" s="281" t="s">
        <v>294</v>
      </c>
      <c r="V148" s="246" t="s">
        <v>57</v>
      </c>
      <c r="W148" s="55"/>
      <c r="X148" s="56" t="s">
        <v>57</v>
      </c>
      <c r="Y148" s="284" t="s">
        <v>57</v>
      </c>
      <c r="Z148" s="58"/>
      <c r="AA148" s="59" t="s">
        <v>57</v>
      </c>
      <c r="AB148" s="248" t="s">
        <v>57</v>
      </c>
      <c r="AC148" s="76"/>
      <c r="AD148" s="77" t="s">
        <v>57</v>
      </c>
      <c r="AE148" s="57" t="s">
        <v>57</v>
      </c>
      <c r="AF148" s="58"/>
      <c r="AG148" s="59" t="s">
        <v>57</v>
      </c>
      <c r="AH148" s="75" t="s">
        <v>57</v>
      </c>
      <c r="AI148" s="76"/>
      <c r="AJ148" s="77" t="s">
        <v>57</v>
      </c>
      <c r="AK148" s="255" t="s">
        <v>302</v>
      </c>
      <c r="AL148" s="108"/>
      <c r="AM148" s="89" t="s">
        <v>204</v>
      </c>
      <c r="AN148" s="285" t="s">
        <v>297</v>
      </c>
      <c r="AO148" s="58"/>
      <c r="AP148" s="59" t="s">
        <v>298</v>
      </c>
      <c r="AQ148" s="248" t="s">
        <v>297</v>
      </c>
      <c r="AR148" s="76"/>
      <c r="AS148" s="77" t="s">
        <v>298</v>
      </c>
      <c r="AT148" s="51" t="s">
        <v>57</v>
      </c>
      <c r="AU148" s="52"/>
      <c r="AV148" s="53" t="s">
        <v>57</v>
      </c>
      <c r="AW148" s="80" t="s">
        <v>57</v>
      </c>
      <c r="AX148" s="55"/>
      <c r="AY148" s="56" t="s">
        <v>57</v>
      </c>
      <c r="AZ148" s="51" t="s">
        <v>57</v>
      </c>
      <c r="BA148" s="52"/>
      <c r="BB148" s="53" t="s">
        <v>57</v>
      </c>
      <c r="BC148" s="248" t="s">
        <v>57</v>
      </c>
      <c r="BD148" s="76"/>
      <c r="BE148" s="77" t="s">
        <v>57</v>
      </c>
      <c r="BF148" s="258" t="s">
        <v>57</v>
      </c>
      <c r="BG148" s="105"/>
      <c r="BH148" s="106" t="s">
        <v>57</v>
      </c>
      <c r="BI148" s="255" t="s">
        <v>57</v>
      </c>
      <c r="BJ148" s="108"/>
      <c r="BK148" s="89" t="s">
        <v>57</v>
      </c>
      <c r="BL148" s="258" t="s">
        <v>57</v>
      </c>
      <c r="BM148" s="105"/>
      <c r="BN148" s="106" t="s">
        <v>57</v>
      </c>
    </row>
    <row r="149" customFormat="false" ht="17.25" hidden="false" customHeight="true" outlineLevel="0" collapsed="false">
      <c r="B149" s="204"/>
      <c r="C149" s="133"/>
      <c r="D149" s="147"/>
      <c r="E149" s="140" t="s">
        <v>110</v>
      </c>
      <c r="F149" s="149"/>
      <c r="G149" s="75" t="s">
        <v>258</v>
      </c>
      <c r="H149" s="76"/>
      <c r="I149" s="207" t="s">
        <v>258</v>
      </c>
      <c r="J149" s="51" t="s">
        <v>44</v>
      </c>
      <c r="K149" s="52"/>
      <c r="L149" s="153" t="s">
        <v>44</v>
      </c>
      <c r="M149" s="80" t="s">
        <v>44</v>
      </c>
      <c r="N149" s="55"/>
      <c r="O149" s="152" t="s">
        <v>44</v>
      </c>
      <c r="P149" s="80" t="s">
        <v>44</v>
      </c>
      <c r="Q149" s="55"/>
      <c r="R149" s="56" t="s">
        <v>44</v>
      </c>
      <c r="S149" s="262" t="s">
        <v>294</v>
      </c>
      <c r="T149" s="58"/>
      <c r="U149" s="283" t="s">
        <v>294</v>
      </c>
      <c r="V149" s="246" t="s">
        <v>57</v>
      </c>
      <c r="W149" s="55"/>
      <c r="X149" s="56" t="s">
        <v>57</v>
      </c>
      <c r="Y149" s="284" t="s">
        <v>57</v>
      </c>
      <c r="Z149" s="58"/>
      <c r="AA149" s="59" t="s">
        <v>57</v>
      </c>
      <c r="AB149" s="248" t="s">
        <v>57</v>
      </c>
      <c r="AC149" s="76"/>
      <c r="AD149" s="77" t="s">
        <v>57</v>
      </c>
      <c r="AE149" s="57" t="s">
        <v>57</v>
      </c>
      <c r="AF149" s="58"/>
      <c r="AG149" s="59" t="s">
        <v>57</v>
      </c>
      <c r="AH149" s="75" t="s">
        <v>57</v>
      </c>
      <c r="AI149" s="76"/>
      <c r="AJ149" s="77" t="s">
        <v>57</v>
      </c>
      <c r="AK149" s="255" t="s">
        <v>302</v>
      </c>
      <c r="AL149" s="108"/>
      <c r="AM149" s="89" t="s">
        <v>204</v>
      </c>
      <c r="AN149" s="285" t="s">
        <v>298</v>
      </c>
      <c r="AO149" s="58"/>
      <c r="AP149" s="59" t="s">
        <v>298</v>
      </c>
      <c r="AQ149" s="248" t="s">
        <v>298</v>
      </c>
      <c r="AR149" s="76"/>
      <c r="AS149" s="77" t="s">
        <v>298</v>
      </c>
      <c r="AT149" s="51" t="s">
        <v>57</v>
      </c>
      <c r="AU149" s="52"/>
      <c r="AV149" s="53" t="s">
        <v>57</v>
      </c>
      <c r="AW149" s="80" t="s">
        <v>57</v>
      </c>
      <c r="AX149" s="55"/>
      <c r="AY149" s="56" t="s">
        <v>57</v>
      </c>
      <c r="AZ149" s="51" t="s">
        <v>57</v>
      </c>
      <c r="BA149" s="52"/>
      <c r="BB149" s="53" t="s">
        <v>57</v>
      </c>
      <c r="BC149" s="248" t="s">
        <v>57</v>
      </c>
      <c r="BD149" s="76"/>
      <c r="BE149" s="77" t="s">
        <v>57</v>
      </c>
      <c r="BF149" s="258" t="s">
        <v>57</v>
      </c>
      <c r="BG149" s="105"/>
      <c r="BH149" s="106" t="s">
        <v>57</v>
      </c>
      <c r="BI149" s="255" t="s">
        <v>57</v>
      </c>
      <c r="BJ149" s="108"/>
      <c r="BK149" s="89" t="s">
        <v>57</v>
      </c>
      <c r="BL149" s="258" t="s">
        <v>57</v>
      </c>
      <c r="BM149" s="105"/>
      <c r="BN149" s="106" t="s">
        <v>57</v>
      </c>
    </row>
    <row r="150" customFormat="false" ht="17.25" hidden="false" customHeight="true" outlineLevel="0" collapsed="false">
      <c r="B150" s="204"/>
      <c r="C150" s="133"/>
      <c r="D150" s="147"/>
      <c r="E150" s="140" t="s">
        <v>106</v>
      </c>
      <c r="F150" s="149"/>
      <c r="G150" s="75" t="s">
        <v>258</v>
      </c>
      <c r="H150" s="76"/>
      <c r="I150" s="207" t="s">
        <v>258</v>
      </c>
      <c r="J150" s="51" t="s">
        <v>44</v>
      </c>
      <c r="K150" s="52"/>
      <c r="L150" s="153" t="s">
        <v>44</v>
      </c>
      <c r="M150" s="80" t="s">
        <v>44</v>
      </c>
      <c r="N150" s="55"/>
      <c r="O150" s="152" t="s">
        <v>44</v>
      </c>
      <c r="P150" s="80" t="s">
        <v>44</v>
      </c>
      <c r="Q150" s="55"/>
      <c r="R150" s="56" t="s">
        <v>44</v>
      </c>
      <c r="S150" s="240" t="s">
        <v>294</v>
      </c>
      <c r="T150" s="58"/>
      <c r="U150" s="281" t="s">
        <v>294</v>
      </c>
      <c r="V150" s="246" t="s">
        <v>57</v>
      </c>
      <c r="W150" s="55"/>
      <c r="X150" s="56" t="s">
        <v>57</v>
      </c>
      <c r="Y150" s="284" t="s">
        <v>57</v>
      </c>
      <c r="Z150" s="58"/>
      <c r="AA150" s="59" t="s">
        <v>57</v>
      </c>
      <c r="AB150" s="248" t="s">
        <v>57</v>
      </c>
      <c r="AC150" s="76"/>
      <c r="AD150" s="77" t="s">
        <v>57</v>
      </c>
      <c r="AE150" s="57" t="s">
        <v>57</v>
      </c>
      <c r="AF150" s="58"/>
      <c r="AG150" s="59" t="s">
        <v>57</v>
      </c>
      <c r="AH150" s="75" t="s">
        <v>57</v>
      </c>
      <c r="AI150" s="76"/>
      <c r="AJ150" s="77" t="s">
        <v>57</v>
      </c>
      <c r="AK150" s="255" t="s">
        <v>302</v>
      </c>
      <c r="AL150" s="108"/>
      <c r="AM150" s="89" t="s">
        <v>204</v>
      </c>
      <c r="AN150" s="285" t="s">
        <v>299</v>
      </c>
      <c r="AO150" s="58"/>
      <c r="AP150" s="59" t="s">
        <v>300</v>
      </c>
      <c r="AQ150" s="248" t="s">
        <v>299</v>
      </c>
      <c r="AR150" s="76"/>
      <c r="AS150" s="77" t="s">
        <v>300</v>
      </c>
      <c r="AT150" s="51" t="s">
        <v>57</v>
      </c>
      <c r="AU150" s="52"/>
      <c r="AV150" s="53" t="s">
        <v>57</v>
      </c>
      <c r="AW150" s="80" t="s">
        <v>57</v>
      </c>
      <c r="AX150" s="55"/>
      <c r="AY150" s="56" t="s">
        <v>57</v>
      </c>
      <c r="AZ150" s="51" t="s">
        <v>57</v>
      </c>
      <c r="BA150" s="52"/>
      <c r="BB150" s="53" t="s">
        <v>57</v>
      </c>
      <c r="BC150" s="248" t="s">
        <v>57</v>
      </c>
      <c r="BD150" s="76"/>
      <c r="BE150" s="77" t="s">
        <v>57</v>
      </c>
      <c r="BF150" s="258" t="s">
        <v>57</v>
      </c>
      <c r="BG150" s="105"/>
      <c r="BH150" s="106" t="s">
        <v>57</v>
      </c>
      <c r="BI150" s="255" t="s">
        <v>57</v>
      </c>
      <c r="BJ150" s="108"/>
      <c r="BK150" s="89" t="s">
        <v>57</v>
      </c>
      <c r="BL150" s="258" t="s">
        <v>57</v>
      </c>
      <c r="BM150" s="105"/>
      <c r="BN150" s="106" t="s">
        <v>57</v>
      </c>
    </row>
    <row r="151" customFormat="false" ht="17.25" hidden="false" customHeight="true" outlineLevel="0" collapsed="false">
      <c r="B151" s="204"/>
      <c r="C151" s="133"/>
      <c r="D151" s="147"/>
      <c r="E151" s="140" t="s">
        <v>107</v>
      </c>
      <c r="F151" s="149"/>
      <c r="G151" s="75" t="s">
        <v>258</v>
      </c>
      <c r="H151" s="76"/>
      <c r="I151" s="207" t="s">
        <v>258</v>
      </c>
      <c r="J151" s="51" t="s">
        <v>44</v>
      </c>
      <c r="K151" s="52"/>
      <c r="L151" s="153" t="s">
        <v>44</v>
      </c>
      <c r="M151" s="80" t="s">
        <v>44</v>
      </c>
      <c r="N151" s="55"/>
      <c r="O151" s="152" t="s">
        <v>44</v>
      </c>
      <c r="P151" s="80" t="s">
        <v>44</v>
      </c>
      <c r="Q151" s="55"/>
      <c r="R151" s="56" t="s">
        <v>44</v>
      </c>
      <c r="S151" s="262" t="s">
        <v>294</v>
      </c>
      <c r="T151" s="58"/>
      <c r="U151" s="283" t="s">
        <v>294</v>
      </c>
      <c r="V151" s="246" t="s">
        <v>57</v>
      </c>
      <c r="W151" s="55"/>
      <c r="X151" s="56" t="s">
        <v>57</v>
      </c>
      <c r="Y151" s="284" t="s">
        <v>57</v>
      </c>
      <c r="Z151" s="58"/>
      <c r="AA151" s="59" t="s">
        <v>57</v>
      </c>
      <c r="AB151" s="248" t="s">
        <v>57</v>
      </c>
      <c r="AC151" s="76"/>
      <c r="AD151" s="77" t="s">
        <v>57</v>
      </c>
      <c r="AE151" s="57" t="s">
        <v>57</v>
      </c>
      <c r="AF151" s="58"/>
      <c r="AG151" s="59" t="s">
        <v>57</v>
      </c>
      <c r="AH151" s="75" t="s">
        <v>57</v>
      </c>
      <c r="AI151" s="76"/>
      <c r="AJ151" s="77" t="s">
        <v>57</v>
      </c>
      <c r="AK151" s="255" t="s">
        <v>302</v>
      </c>
      <c r="AL151" s="108"/>
      <c r="AM151" s="89" t="s">
        <v>204</v>
      </c>
      <c r="AN151" s="285" t="s">
        <v>301</v>
      </c>
      <c r="AO151" s="58"/>
      <c r="AP151" s="59" t="s">
        <v>301</v>
      </c>
      <c r="AQ151" s="248" t="s">
        <v>301</v>
      </c>
      <c r="AR151" s="76"/>
      <c r="AS151" s="77" t="s">
        <v>301</v>
      </c>
      <c r="AT151" s="51" t="s">
        <v>57</v>
      </c>
      <c r="AU151" s="52"/>
      <c r="AV151" s="53" t="s">
        <v>57</v>
      </c>
      <c r="AW151" s="80" t="s">
        <v>57</v>
      </c>
      <c r="AX151" s="55"/>
      <c r="AY151" s="56" t="s">
        <v>57</v>
      </c>
      <c r="AZ151" s="51" t="s">
        <v>57</v>
      </c>
      <c r="BA151" s="52"/>
      <c r="BB151" s="53" t="s">
        <v>57</v>
      </c>
      <c r="BC151" s="248" t="s">
        <v>57</v>
      </c>
      <c r="BD151" s="76"/>
      <c r="BE151" s="77" t="s">
        <v>57</v>
      </c>
      <c r="BF151" s="258" t="s">
        <v>57</v>
      </c>
      <c r="BG151" s="105"/>
      <c r="BH151" s="106" t="s">
        <v>57</v>
      </c>
      <c r="BI151" s="255" t="s">
        <v>57</v>
      </c>
      <c r="BJ151" s="108"/>
      <c r="BK151" s="89" t="s">
        <v>57</v>
      </c>
      <c r="BL151" s="258" t="s">
        <v>57</v>
      </c>
      <c r="BM151" s="105"/>
      <c r="BN151" s="106" t="s">
        <v>57</v>
      </c>
    </row>
    <row r="152" customFormat="false" ht="17.25" hidden="false" customHeight="true" outlineLevel="0" collapsed="false">
      <c r="B152" s="204"/>
      <c r="C152" s="142" t="s">
        <v>111</v>
      </c>
      <c r="D152" s="147"/>
      <c r="E152" s="148" t="s">
        <v>108</v>
      </c>
      <c r="F152" s="209"/>
      <c r="G152" s="80" t="s">
        <v>303</v>
      </c>
      <c r="H152" s="55"/>
      <c r="I152" s="152" t="s">
        <v>303</v>
      </c>
      <c r="J152" s="51" t="s">
        <v>44</v>
      </c>
      <c r="K152" s="52"/>
      <c r="L152" s="153" t="s">
        <v>44</v>
      </c>
      <c r="M152" s="80" t="s">
        <v>44</v>
      </c>
      <c r="N152" s="55"/>
      <c r="O152" s="152" t="s">
        <v>44</v>
      </c>
      <c r="P152" s="80" t="s">
        <v>44</v>
      </c>
      <c r="Q152" s="55"/>
      <c r="R152" s="56" t="s">
        <v>44</v>
      </c>
      <c r="S152" s="245" t="s">
        <v>57</v>
      </c>
      <c r="T152" s="52"/>
      <c r="U152" s="153" t="s">
        <v>57</v>
      </c>
      <c r="V152" s="246" t="s">
        <v>57</v>
      </c>
      <c r="W152" s="55"/>
      <c r="X152" s="56" t="s">
        <v>57</v>
      </c>
      <c r="Y152" s="286" t="s">
        <v>57</v>
      </c>
      <c r="Z152" s="52"/>
      <c r="AA152" s="53" t="s">
        <v>57</v>
      </c>
      <c r="AB152" s="246" t="s">
        <v>57</v>
      </c>
      <c r="AC152" s="55"/>
      <c r="AD152" s="56" t="s">
        <v>57</v>
      </c>
      <c r="AE152" s="51" t="s">
        <v>57</v>
      </c>
      <c r="AF152" s="52"/>
      <c r="AG152" s="53" t="s">
        <v>57</v>
      </c>
      <c r="AH152" s="80" t="s">
        <v>57</v>
      </c>
      <c r="AI152" s="55"/>
      <c r="AJ152" s="56" t="s">
        <v>57</v>
      </c>
      <c r="AK152" s="255" t="s">
        <v>304</v>
      </c>
      <c r="AL152" s="185"/>
      <c r="AM152" s="89" t="s">
        <v>305</v>
      </c>
      <c r="AN152" s="277" t="s">
        <v>305</v>
      </c>
      <c r="AO152" s="52"/>
      <c r="AP152" s="53" t="s">
        <v>305</v>
      </c>
      <c r="AQ152" s="246" t="s">
        <v>305</v>
      </c>
      <c r="AR152" s="55"/>
      <c r="AS152" s="56" t="s">
        <v>305</v>
      </c>
      <c r="AT152" s="51" t="s">
        <v>57</v>
      </c>
      <c r="AU152" s="52"/>
      <c r="AV152" s="53" t="s">
        <v>57</v>
      </c>
      <c r="AW152" s="80" t="s">
        <v>57</v>
      </c>
      <c r="AX152" s="55"/>
      <c r="AY152" s="56" t="s">
        <v>57</v>
      </c>
      <c r="AZ152" s="51" t="s">
        <v>57</v>
      </c>
      <c r="BA152" s="52"/>
      <c r="BB152" s="53" t="s">
        <v>57</v>
      </c>
      <c r="BC152" s="246" t="s">
        <v>57</v>
      </c>
      <c r="BD152" s="55"/>
      <c r="BE152" s="56" t="s">
        <v>57</v>
      </c>
      <c r="BF152" s="258" t="s">
        <v>57</v>
      </c>
      <c r="BG152" s="105"/>
      <c r="BH152" s="106" t="s">
        <v>57</v>
      </c>
      <c r="BI152" s="255" t="s">
        <v>57</v>
      </c>
      <c r="BJ152" s="108"/>
      <c r="BK152" s="89" t="s">
        <v>57</v>
      </c>
      <c r="BL152" s="258" t="s">
        <v>57</v>
      </c>
      <c r="BM152" s="105"/>
      <c r="BN152" s="106" t="s">
        <v>57</v>
      </c>
    </row>
    <row r="153" customFormat="false" ht="17.25" hidden="false" customHeight="true" outlineLevel="0" collapsed="false">
      <c r="B153" s="204"/>
      <c r="C153" s="142"/>
      <c r="D153" s="147"/>
      <c r="E153" s="148" t="s">
        <v>110</v>
      </c>
      <c r="F153" s="209"/>
      <c r="G153" s="80" t="s">
        <v>303</v>
      </c>
      <c r="H153" s="55"/>
      <c r="I153" s="152" t="s">
        <v>303</v>
      </c>
      <c r="J153" s="51" t="s">
        <v>44</v>
      </c>
      <c r="K153" s="52"/>
      <c r="L153" s="153" t="s">
        <v>44</v>
      </c>
      <c r="M153" s="80" t="s">
        <v>44</v>
      </c>
      <c r="N153" s="55"/>
      <c r="O153" s="152" t="s">
        <v>44</v>
      </c>
      <c r="P153" s="80" t="s">
        <v>44</v>
      </c>
      <c r="Q153" s="55"/>
      <c r="R153" s="56" t="s">
        <v>44</v>
      </c>
      <c r="S153" s="245" t="s">
        <v>57</v>
      </c>
      <c r="T153" s="52"/>
      <c r="U153" s="153" t="s">
        <v>57</v>
      </c>
      <c r="V153" s="246" t="s">
        <v>57</v>
      </c>
      <c r="W153" s="55"/>
      <c r="X153" s="56" t="s">
        <v>57</v>
      </c>
      <c r="Y153" s="286" t="s">
        <v>57</v>
      </c>
      <c r="Z153" s="52"/>
      <c r="AA153" s="53" t="s">
        <v>57</v>
      </c>
      <c r="AB153" s="246" t="s">
        <v>57</v>
      </c>
      <c r="AC153" s="55"/>
      <c r="AD153" s="56" t="s">
        <v>57</v>
      </c>
      <c r="AE153" s="51" t="s">
        <v>57</v>
      </c>
      <c r="AF153" s="52"/>
      <c r="AG153" s="53" t="s">
        <v>57</v>
      </c>
      <c r="AH153" s="80" t="s">
        <v>57</v>
      </c>
      <c r="AI153" s="55"/>
      <c r="AJ153" s="56" t="s">
        <v>57</v>
      </c>
      <c r="AK153" s="255" t="s">
        <v>304</v>
      </c>
      <c r="AL153" s="185"/>
      <c r="AM153" s="89" t="s">
        <v>305</v>
      </c>
      <c r="AN153" s="277" t="s">
        <v>305</v>
      </c>
      <c r="AO153" s="52"/>
      <c r="AP153" s="53" t="s">
        <v>305</v>
      </c>
      <c r="AQ153" s="246" t="s">
        <v>305</v>
      </c>
      <c r="AR153" s="55"/>
      <c r="AS153" s="56" t="s">
        <v>305</v>
      </c>
      <c r="AT153" s="51" t="s">
        <v>57</v>
      </c>
      <c r="AU153" s="52"/>
      <c r="AV153" s="53" t="s">
        <v>57</v>
      </c>
      <c r="AW153" s="80" t="s">
        <v>57</v>
      </c>
      <c r="AX153" s="55"/>
      <c r="AY153" s="56" t="s">
        <v>57</v>
      </c>
      <c r="AZ153" s="51" t="s">
        <v>57</v>
      </c>
      <c r="BA153" s="52"/>
      <c r="BB153" s="53" t="s">
        <v>57</v>
      </c>
      <c r="BC153" s="246" t="s">
        <v>57</v>
      </c>
      <c r="BD153" s="55"/>
      <c r="BE153" s="56" t="s">
        <v>57</v>
      </c>
      <c r="BF153" s="258" t="s">
        <v>57</v>
      </c>
      <c r="BG153" s="105"/>
      <c r="BH153" s="106" t="s">
        <v>57</v>
      </c>
      <c r="BI153" s="255" t="s">
        <v>57</v>
      </c>
      <c r="BJ153" s="108"/>
      <c r="BK153" s="89" t="s">
        <v>57</v>
      </c>
      <c r="BL153" s="258" t="s">
        <v>57</v>
      </c>
      <c r="BM153" s="105"/>
      <c r="BN153" s="106" t="s">
        <v>57</v>
      </c>
    </row>
    <row r="154" customFormat="false" ht="17.25" hidden="false" customHeight="true" outlineLevel="0" collapsed="false">
      <c r="B154" s="204"/>
      <c r="C154" s="142"/>
      <c r="D154" s="147"/>
      <c r="E154" s="148" t="s">
        <v>106</v>
      </c>
      <c r="F154" s="209"/>
      <c r="G154" s="80" t="s">
        <v>303</v>
      </c>
      <c r="H154" s="55"/>
      <c r="I154" s="152" t="s">
        <v>303</v>
      </c>
      <c r="J154" s="51" t="s">
        <v>44</v>
      </c>
      <c r="K154" s="52"/>
      <c r="L154" s="153" t="s">
        <v>44</v>
      </c>
      <c r="M154" s="80" t="s">
        <v>44</v>
      </c>
      <c r="N154" s="55"/>
      <c r="O154" s="152" t="s">
        <v>44</v>
      </c>
      <c r="P154" s="80" t="s">
        <v>44</v>
      </c>
      <c r="Q154" s="55"/>
      <c r="R154" s="56" t="s">
        <v>44</v>
      </c>
      <c r="S154" s="245" t="s">
        <v>57</v>
      </c>
      <c r="T154" s="52"/>
      <c r="U154" s="153" t="s">
        <v>57</v>
      </c>
      <c r="V154" s="246" t="s">
        <v>57</v>
      </c>
      <c r="W154" s="55"/>
      <c r="X154" s="56" t="s">
        <v>57</v>
      </c>
      <c r="Y154" s="286" t="s">
        <v>57</v>
      </c>
      <c r="Z154" s="52"/>
      <c r="AA154" s="53" t="s">
        <v>57</v>
      </c>
      <c r="AB154" s="246" t="s">
        <v>57</v>
      </c>
      <c r="AC154" s="55"/>
      <c r="AD154" s="56" t="s">
        <v>57</v>
      </c>
      <c r="AE154" s="51" t="s">
        <v>57</v>
      </c>
      <c r="AF154" s="52"/>
      <c r="AG154" s="53" t="s">
        <v>57</v>
      </c>
      <c r="AH154" s="80" t="s">
        <v>57</v>
      </c>
      <c r="AI154" s="55"/>
      <c r="AJ154" s="56" t="s">
        <v>57</v>
      </c>
      <c r="AK154" s="255" t="s">
        <v>304</v>
      </c>
      <c r="AL154" s="185"/>
      <c r="AM154" s="89" t="s">
        <v>305</v>
      </c>
      <c r="AN154" s="277" t="s">
        <v>305</v>
      </c>
      <c r="AO154" s="52"/>
      <c r="AP154" s="53" t="s">
        <v>305</v>
      </c>
      <c r="AQ154" s="246" t="s">
        <v>305</v>
      </c>
      <c r="AR154" s="55"/>
      <c r="AS154" s="56" t="s">
        <v>305</v>
      </c>
      <c r="AT154" s="51" t="s">
        <v>57</v>
      </c>
      <c r="AU154" s="52"/>
      <c r="AV154" s="53" t="s">
        <v>57</v>
      </c>
      <c r="AW154" s="80" t="s">
        <v>57</v>
      </c>
      <c r="AX154" s="55"/>
      <c r="AY154" s="56" t="s">
        <v>57</v>
      </c>
      <c r="AZ154" s="51" t="s">
        <v>57</v>
      </c>
      <c r="BA154" s="52"/>
      <c r="BB154" s="53" t="s">
        <v>57</v>
      </c>
      <c r="BC154" s="246" t="s">
        <v>57</v>
      </c>
      <c r="BD154" s="55"/>
      <c r="BE154" s="56" t="s">
        <v>57</v>
      </c>
      <c r="BF154" s="258" t="s">
        <v>57</v>
      </c>
      <c r="BG154" s="105"/>
      <c r="BH154" s="106" t="s">
        <v>57</v>
      </c>
      <c r="BI154" s="255" t="s">
        <v>57</v>
      </c>
      <c r="BJ154" s="108"/>
      <c r="BK154" s="89" t="s">
        <v>57</v>
      </c>
      <c r="BL154" s="258" t="s">
        <v>57</v>
      </c>
      <c r="BM154" s="105"/>
      <c r="BN154" s="106" t="s">
        <v>57</v>
      </c>
    </row>
    <row r="155" customFormat="false" ht="17.25" hidden="false" customHeight="true" outlineLevel="0" collapsed="false">
      <c r="B155" s="204"/>
      <c r="C155" s="142"/>
      <c r="D155" s="147"/>
      <c r="E155" s="148" t="s">
        <v>107</v>
      </c>
      <c r="F155" s="209"/>
      <c r="G155" s="80" t="s">
        <v>303</v>
      </c>
      <c r="H155" s="55"/>
      <c r="I155" s="152" t="s">
        <v>303</v>
      </c>
      <c r="J155" s="51" t="s">
        <v>44</v>
      </c>
      <c r="K155" s="52"/>
      <c r="L155" s="153" t="s">
        <v>44</v>
      </c>
      <c r="M155" s="80" t="s">
        <v>44</v>
      </c>
      <c r="N155" s="55"/>
      <c r="O155" s="152" t="s">
        <v>44</v>
      </c>
      <c r="P155" s="80" t="s">
        <v>44</v>
      </c>
      <c r="Q155" s="55"/>
      <c r="R155" s="56" t="s">
        <v>44</v>
      </c>
      <c r="S155" s="245" t="s">
        <v>57</v>
      </c>
      <c r="T155" s="52"/>
      <c r="U155" s="153" t="s">
        <v>57</v>
      </c>
      <c r="V155" s="246" t="s">
        <v>57</v>
      </c>
      <c r="W155" s="55"/>
      <c r="X155" s="56" t="s">
        <v>57</v>
      </c>
      <c r="Y155" s="286" t="s">
        <v>57</v>
      </c>
      <c r="Z155" s="52"/>
      <c r="AA155" s="53" t="s">
        <v>57</v>
      </c>
      <c r="AB155" s="246" t="s">
        <v>57</v>
      </c>
      <c r="AC155" s="55"/>
      <c r="AD155" s="56" t="s">
        <v>57</v>
      </c>
      <c r="AE155" s="51" t="s">
        <v>57</v>
      </c>
      <c r="AF155" s="52"/>
      <c r="AG155" s="53" t="s">
        <v>57</v>
      </c>
      <c r="AH155" s="80" t="s">
        <v>57</v>
      </c>
      <c r="AI155" s="55"/>
      <c r="AJ155" s="56" t="s">
        <v>57</v>
      </c>
      <c r="AK155" s="255" t="s">
        <v>304</v>
      </c>
      <c r="AL155" s="185"/>
      <c r="AM155" s="89" t="s">
        <v>305</v>
      </c>
      <c r="AN155" s="277" t="s">
        <v>305</v>
      </c>
      <c r="AO155" s="52"/>
      <c r="AP155" s="53" t="s">
        <v>305</v>
      </c>
      <c r="AQ155" s="246" t="s">
        <v>305</v>
      </c>
      <c r="AR155" s="55"/>
      <c r="AS155" s="56" t="s">
        <v>305</v>
      </c>
      <c r="AT155" s="51" t="s">
        <v>57</v>
      </c>
      <c r="AU155" s="52"/>
      <c r="AV155" s="53" t="s">
        <v>57</v>
      </c>
      <c r="AW155" s="80" t="s">
        <v>57</v>
      </c>
      <c r="AX155" s="55"/>
      <c r="AY155" s="56" t="s">
        <v>57</v>
      </c>
      <c r="AZ155" s="51" t="s">
        <v>57</v>
      </c>
      <c r="BA155" s="52"/>
      <c r="BB155" s="53" t="s">
        <v>57</v>
      </c>
      <c r="BC155" s="246" t="s">
        <v>57</v>
      </c>
      <c r="BD155" s="55"/>
      <c r="BE155" s="56" t="s">
        <v>57</v>
      </c>
      <c r="BF155" s="258" t="s">
        <v>57</v>
      </c>
      <c r="BG155" s="105"/>
      <c r="BH155" s="106" t="s">
        <v>57</v>
      </c>
      <c r="BI155" s="255" t="s">
        <v>57</v>
      </c>
      <c r="BJ155" s="108"/>
      <c r="BK155" s="89" t="s">
        <v>57</v>
      </c>
      <c r="BL155" s="258" t="s">
        <v>57</v>
      </c>
      <c r="BM155" s="105"/>
      <c r="BN155" s="106" t="s">
        <v>57</v>
      </c>
    </row>
    <row r="156" customFormat="false" ht="17.25" hidden="false" customHeight="true" outlineLevel="0" collapsed="false">
      <c r="B156" s="204"/>
      <c r="C156" s="142" t="s">
        <v>112</v>
      </c>
      <c r="D156" s="148"/>
      <c r="E156" s="148"/>
      <c r="F156" s="209"/>
      <c r="G156" s="80" t="s">
        <v>258</v>
      </c>
      <c r="H156" s="55"/>
      <c r="I156" s="152" t="s">
        <v>258</v>
      </c>
      <c r="J156" s="51" t="s">
        <v>44</v>
      </c>
      <c r="K156" s="52"/>
      <c r="L156" s="153" t="s">
        <v>44</v>
      </c>
      <c r="M156" s="80" t="s">
        <v>44</v>
      </c>
      <c r="N156" s="55"/>
      <c r="O156" s="152" t="s">
        <v>44</v>
      </c>
      <c r="P156" s="80" t="s">
        <v>44</v>
      </c>
      <c r="Q156" s="55"/>
      <c r="R156" s="56" t="s">
        <v>44</v>
      </c>
      <c r="S156" s="245" t="s">
        <v>57</v>
      </c>
      <c r="T156" s="52"/>
      <c r="U156" s="153" t="s">
        <v>57</v>
      </c>
      <c r="V156" s="246" t="s">
        <v>294</v>
      </c>
      <c r="W156" s="55"/>
      <c r="X156" s="56" t="s">
        <v>294</v>
      </c>
      <c r="Y156" s="286" t="s">
        <v>57</v>
      </c>
      <c r="Z156" s="52"/>
      <c r="AA156" s="53" t="s">
        <v>57</v>
      </c>
      <c r="AB156" s="246" t="s">
        <v>57</v>
      </c>
      <c r="AC156" s="55"/>
      <c r="AD156" s="56" t="s">
        <v>57</v>
      </c>
      <c r="AE156" s="51" t="s">
        <v>57</v>
      </c>
      <c r="AF156" s="52"/>
      <c r="AG156" s="53" t="s">
        <v>57</v>
      </c>
      <c r="AH156" s="80" t="s">
        <v>57</v>
      </c>
      <c r="AI156" s="55"/>
      <c r="AJ156" s="56" t="s">
        <v>57</v>
      </c>
      <c r="AK156" s="255" t="s">
        <v>204</v>
      </c>
      <c r="AL156" s="108"/>
      <c r="AM156" s="89" t="s">
        <v>204</v>
      </c>
      <c r="AN156" s="277" t="s">
        <v>57</v>
      </c>
      <c r="AO156" s="52"/>
      <c r="AP156" s="53" t="s">
        <v>57</v>
      </c>
      <c r="AQ156" s="246" t="s">
        <v>57</v>
      </c>
      <c r="AR156" s="55"/>
      <c r="AS156" s="56" t="s">
        <v>57</v>
      </c>
      <c r="AT156" s="51" t="s">
        <v>57</v>
      </c>
      <c r="AU156" s="52"/>
      <c r="AV156" s="53" t="s">
        <v>57</v>
      </c>
      <c r="AW156" s="80" t="s">
        <v>57</v>
      </c>
      <c r="AX156" s="55"/>
      <c r="AY156" s="56" t="s">
        <v>57</v>
      </c>
      <c r="AZ156" s="51" t="s">
        <v>57</v>
      </c>
      <c r="BA156" s="52"/>
      <c r="BB156" s="53" t="s">
        <v>57</v>
      </c>
      <c r="BC156" s="246" t="s">
        <v>57</v>
      </c>
      <c r="BD156" s="55"/>
      <c r="BE156" s="56" t="s">
        <v>57</v>
      </c>
      <c r="BF156" s="258" t="s">
        <v>57</v>
      </c>
      <c r="BG156" s="105"/>
      <c r="BH156" s="106" t="s">
        <v>57</v>
      </c>
      <c r="BI156" s="255" t="s">
        <v>57</v>
      </c>
      <c r="BJ156" s="108"/>
      <c r="BK156" s="89" t="s">
        <v>57</v>
      </c>
      <c r="BL156" s="258" t="s">
        <v>57</v>
      </c>
      <c r="BM156" s="105"/>
      <c r="BN156" s="106" t="s">
        <v>57</v>
      </c>
    </row>
    <row r="157" customFormat="false" ht="17.25" hidden="false" customHeight="true" outlineLevel="0" collapsed="false">
      <c r="B157" s="204"/>
      <c r="C157" s="210" t="s">
        <v>113</v>
      </c>
      <c r="D157" s="211"/>
      <c r="E157" s="211"/>
      <c r="F157" s="212"/>
      <c r="G157" s="202" t="s">
        <v>44</v>
      </c>
      <c r="H157" s="123"/>
      <c r="I157" s="118" t="s">
        <v>44</v>
      </c>
      <c r="J157" s="119"/>
      <c r="K157" s="120"/>
      <c r="L157" s="163" t="s">
        <v>44</v>
      </c>
      <c r="M157" s="202" t="s">
        <v>44</v>
      </c>
      <c r="N157" s="123"/>
      <c r="O157" s="118" t="s">
        <v>44</v>
      </c>
      <c r="P157" s="202" t="s">
        <v>44</v>
      </c>
      <c r="Q157" s="123"/>
      <c r="R157" s="124" t="s">
        <v>44</v>
      </c>
      <c r="S157" s="265" t="s">
        <v>306</v>
      </c>
      <c r="T157" s="120"/>
      <c r="U157" s="163" t="s">
        <v>306</v>
      </c>
      <c r="V157" s="267" t="s">
        <v>57</v>
      </c>
      <c r="W157" s="123"/>
      <c r="X157" s="124" t="s">
        <v>57</v>
      </c>
      <c r="Y157" s="287" t="s">
        <v>57</v>
      </c>
      <c r="Z157" s="120"/>
      <c r="AA157" s="121" t="s">
        <v>57</v>
      </c>
      <c r="AB157" s="267" t="s">
        <v>57</v>
      </c>
      <c r="AC157" s="123"/>
      <c r="AD157" s="124" t="s">
        <v>57</v>
      </c>
      <c r="AE157" s="119" t="s">
        <v>57</v>
      </c>
      <c r="AF157" s="120"/>
      <c r="AG157" s="121" t="s">
        <v>57</v>
      </c>
      <c r="AH157" s="202" t="s">
        <v>57</v>
      </c>
      <c r="AI157" s="123"/>
      <c r="AJ157" s="124" t="s">
        <v>57</v>
      </c>
      <c r="AK157" s="255" t="s">
        <v>204</v>
      </c>
      <c r="AL157" s="129"/>
      <c r="AM157" s="130" t="s">
        <v>307</v>
      </c>
      <c r="AN157" s="278" t="s">
        <v>57</v>
      </c>
      <c r="AO157" s="120"/>
      <c r="AP157" s="53" t="s">
        <v>57</v>
      </c>
      <c r="AQ157" s="246" t="s">
        <v>57</v>
      </c>
      <c r="AR157" s="123"/>
      <c r="AS157" s="56" t="s">
        <v>57</v>
      </c>
      <c r="AT157" s="119" t="s">
        <v>57</v>
      </c>
      <c r="AU157" s="120"/>
      <c r="AV157" s="121" t="s">
        <v>57</v>
      </c>
      <c r="AW157" s="202" t="s">
        <v>57</v>
      </c>
      <c r="AX157" s="123"/>
      <c r="AY157" s="124" t="s">
        <v>57</v>
      </c>
      <c r="AZ157" s="119" t="s">
        <v>57</v>
      </c>
      <c r="BA157" s="120"/>
      <c r="BB157" s="121" t="s">
        <v>57</v>
      </c>
      <c r="BC157" s="267" t="s">
        <v>57</v>
      </c>
      <c r="BD157" s="123"/>
      <c r="BE157" s="124" t="s">
        <v>57</v>
      </c>
      <c r="BF157" s="260" t="s">
        <v>57</v>
      </c>
      <c r="BG157" s="126"/>
      <c r="BH157" s="127" t="s">
        <v>57</v>
      </c>
      <c r="BI157" s="261" t="s">
        <v>57</v>
      </c>
      <c r="BJ157" s="129"/>
      <c r="BK157" s="130" t="s">
        <v>57</v>
      </c>
      <c r="BL157" s="260" t="s">
        <v>57</v>
      </c>
      <c r="BM157" s="126"/>
      <c r="BN157" s="127" t="s">
        <v>57</v>
      </c>
    </row>
    <row r="158" customFormat="false" ht="15" hidden="false" customHeight="true" outlineLevel="0" collapsed="false">
      <c r="B158" s="171" t="s">
        <v>114</v>
      </c>
      <c r="C158" s="44" t="s">
        <v>115</v>
      </c>
      <c r="D158" s="173"/>
      <c r="E158" s="46" t="s">
        <v>116</v>
      </c>
      <c r="F158" s="213"/>
      <c r="G158" s="60"/>
      <c r="H158" s="76"/>
      <c r="I158" s="175"/>
      <c r="J158" s="57"/>
      <c r="K158" s="58"/>
      <c r="L158" s="59"/>
      <c r="M158" s="60"/>
      <c r="N158" s="61"/>
      <c r="O158" s="175"/>
      <c r="P158" s="60"/>
      <c r="Q158" s="61"/>
      <c r="R158" s="175"/>
      <c r="S158" s="51"/>
      <c r="T158" s="58"/>
      <c r="U158" s="53"/>
      <c r="V158" s="107"/>
      <c r="W158" s="175"/>
      <c r="X158" s="89"/>
      <c r="Y158" s="86"/>
      <c r="Z158" s="64"/>
      <c r="AA158" s="227"/>
      <c r="AB158" s="107"/>
      <c r="AC158" s="176"/>
      <c r="AD158" s="89"/>
      <c r="AE158" s="51"/>
      <c r="AF158" s="64"/>
      <c r="AG158" s="53"/>
      <c r="AH158" s="51"/>
      <c r="AI158" s="64"/>
      <c r="AJ158" s="53"/>
      <c r="AK158" s="80"/>
      <c r="AL158" s="76"/>
      <c r="AM158" s="56"/>
      <c r="AN158" s="153"/>
      <c r="AO158" s="52"/>
      <c r="AP158" s="53"/>
      <c r="AQ158" s="107"/>
      <c r="AR158" s="76"/>
      <c r="AS158" s="89"/>
      <c r="AT158" s="51"/>
      <c r="AU158" s="64"/>
      <c r="AV158" s="53"/>
      <c r="AW158" s="107"/>
      <c r="AX158" s="76"/>
      <c r="AY158" s="89"/>
      <c r="AZ158" s="51"/>
      <c r="BA158" s="64"/>
      <c r="BB158" s="53"/>
      <c r="BC158" s="107"/>
      <c r="BD158" s="76"/>
      <c r="BE158" s="89"/>
      <c r="BF158" s="51"/>
      <c r="BG158" s="64"/>
      <c r="BH158" s="53"/>
      <c r="BI158" s="107"/>
      <c r="BJ158" s="76"/>
      <c r="BK158" s="89"/>
      <c r="BL158" s="51"/>
      <c r="BM158" s="64"/>
      <c r="BN158" s="53"/>
    </row>
    <row r="159" customFormat="false" ht="15" hidden="false" customHeight="true" outlineLevel="0" collapsed="false">
      <c r="B159" s="171"/>
      <c r="C159" s="87" t="s">
        <v>117</v>
      </c>
      <c r="D159" s="199"/>
      <c r="E159" s="46" t="s">
        <v>118</v>
      </c>
      <c r="F159" s="229"/>
      <c r="G159" s="80"/>
      <c r="H159" s="76"/>
      <c r="I159" s="152"/>
      <c r="J159" s="51"/>
      <c r="K159" s="52"/>
      <c r="L159" s="53"/>
      <c r="M159" s="80"/>
      <c r="N159" s="55"/>
      <c r="O159" s="152"/>
      <c r="P159" s="80"/>
      <c r="Q159" s="55"/>
      <c r="R159" s="152"/>
      <c r="S159" s="51"/>
      <c r="T159" s="58"/>
      <c r="U159" s="53"/>
      <c r="V159" s="107"/>
      <c r="W159" s="152"/>
      <c r="X159" s="89"/>
      <c r="Y159" s="86"/>
      <c r="Z159" s="194"/>
      <c r="AA159" s="227"/>
      <c r="AB159" s="107"/>
      <c r="AC159" s="102"/>
      <c r="AD159" s="89"/>
      <c r="AE159" s="51"/>
      <c r="AF159" s="52"/>
      <c r="AG159" s="53"/>
      <c r="AH159" s="51"/>
      <c r="AI159" s="52"/>
      <c r="AJ159" s="53"/>
      <c r="AK159" s="80"/>
      <c r="AL159" s="55"/>
      <c r="AM159" s="56"/>
      <c r="AN159" s="153"/>
      <c r="AO159" s="58"/>
      <c r="AP159" s="53"/>
      <c r="AQ159" s="107"/>
      <c r="AR159" s="76"/>
      <c r="AS159" s="89"/>
      <c r="AT159" s="51"/>
      <c r="AU159" s="52"/>
      <c r="AV159" s="53"/>
      <c r="AW159" s="107"/>
      <c r="AX159" s="76"/>
      <c r="AY159" s="89"/>
      <c r="AZ159" s="51"/>
      <c r="BA159" s="52"/>
      <c r="BB159" s="53"/>
      <c r="BC159" s="107"/>
      <c r="BD159" s="76"/>
      <c r="BE159" s="89"/>
      <c r="BF159" s="51"/>
      <c r="BG159" s="52"/>
      <c r="BH159" s="53"/>
      <c r="BI159" s="107"/>
      <c r="BJ159" s="76"/>
      <c r="BK159" s="89"/>
      <c r="BL159" s="51"/>
      <c r="BM159" s="52"/>
      <c r="BN159" s="53"/>
    </row>
    <row r="160" customFormat="false" ht="15" hidden="false" customHeight="true" outlineLevel="0" collapsed="false">
      <c r="B160" s="171"/>
      <c r="C160" s="87" t="s">
        <v>119</v>
      </c>
      <c r="D160" s="199"/>
      <c r="E160" s="46" t="s">
        <v>120</v>
      </c>
      <c r="F160" s="229"/>
      <c r="G160" s="80"/>
      <c r="H160" s="76"/>
      <c r="I160" s="152"/>
      <c r="J160" s="51"/>
      <c r="K160" s="52"/>
      <c r="L160" s="53"/>
      <c r="M160" s="54"/>
      <c r="N160" s="55"/>
      <c r="O160" s="56"/>
      <c r="P160" s="54"/>
      <c r="Q160" s="55"/>
      <c r="R160" s="56"/>
      <c r="S160" s="51"/>
      <c r="T160" s="58"/>
      <c r="U160" s="53"/>
      <c r="V160" s="107"/>
      <c r="W160" s="152"/>
      <c r="X160" s="89"/>
      <c r="Y160" s="86"/>
      <c r="Z160" s="52"/>
      <c r="AA160" s="227"/>
      <c r="AB160" s="107"/>
      <c r="AC160" s="102"/>
      <c r="AD160" s="89"/>
      <c r="AE160" s="51"/>
      <c r="AF160" s="52"/>
      <c r="AG160" s="53"/>
      <c r="AH160" s="51"/>
      <c r="AI160" s="52"/>
      <c r="AJ160" s="53"/>
      <c r="AK160" s="80"/>
      <c r="AL160" s="55"/>
      <c r="AM160" s="56"/>
      <c r="AN160" s="153"/>
      <c r="AO160" s="58"/>
      <c r="AP160" s="53"/>
      <c r="AQ160" s="107"/>
      <c r="AR160" s="76"/>
      <c r="AS160" s="89"/>
      <c r="AT160" s="51"/>
      <c r="AU160" s="52"/>
      <c r="AV160" s="53"/>
      <c r="AW160" s="107"/>
      <c r="AX160" s="76"/>
      <c r="AY160" s="89"/>
      <c r="AZ160" s="51"/>
      <c r="BA160" s="52"/>
      <c r="BB160" s="53"/>
      <c r="BC160" s="107"/>
      <c r="BD160" s="76"/>
      <c r="BE160" s="89"/>
      <c r="BF160" s="51"/>
      <c r="BG160" s="52"/>
      <c r="BH160" s="53"/>
      <c r="BI160" s="107"/>
      <c r="BJ160" s="76"/>
      <c r="BK160" s="89"/>
      <c r="BL160" s="51"/>
      <c r="BM160" s="52"/>
      <c r="BN160" s="53"/>
    </row>
    <row r="161" customFormat="false" ht="15" hidden="false" customHeight="true" outlineLevel="0" collapsed="false">
      <c r="A161" s="0" t="n">
        <v>19</v>
      </c>
      <c r="B161" s="171"/>
      <c r="C161" s="198" t="s">
        <v>121</v>
      </c>
      <c r="D161" s="200"/>
      <c r="E161" s="200" t="s">
        <v>122</v>
      </c>
      <c r="F161" s="221"/>
      <c r="G161" s="202"/>
      <c r="H161" s="123"/>
      <c r="I161" s="118"/>
      <c r="J161" s="119"/>
      <c r="K161" s="120"/>
      <c r="L161" s="121"/>
      <c r="M161" s="202"/>
      <c r="N161" s="123"/>
      <c r="O161" s="118"/>
      <c r="P161" s="202"/>
      <c r="Q161" s="123"/>
      <c r="R161" s="118"/>
      <c r="S161" s="119"/>
      <c r="T161" s="120"/>
      <c r="U161" s="121"/>
      <c r="V161" s="128"/>
      <c r="W161" s="118"/>
      <c r="X161" s="130"/>
      <c r="Y161" s="162"/>
      <c r="Z161" s="120"/>
      <c r="AA161" s="223"/>
      <c r="AB161" s="128"/>
      <c r="AC161" s="118"/>
      <c r="AD161" s="130"/>
      <c r="AE161" s="119"/>
      <c r="AF161" s="120"/>
      <c r="AG161" s="121"/>
      <c r="AH161" s="119"/>
      <c r="AI161" s="120"/>
      <c r="AJ161" s="121"/>
      <c r="AK161" s="202"/>
      <c r="AL161" s="123"/>
      <c r="AM161" s="124"/>
      <c r="AN161" s="163"/>
      <c r="AO161" s="120"/>
      <c r="AP161" s="121"/>
      <c r="AQ161" s="128"/>
      <c r="AR161" s="123"/>
      <c r="AS161" s="130"/>
      <c r="AT161" s="119"/>
      <c r="AU161" s="120"/>
      <c r="AV161" s="121"/>
      <c r="AW161" s="128"/>
      <c r="AX161" s="123"/>
      <c r="AY161" s="130"/>
      <c r="AZ161" s="119"/>
      <c r="BA161" s="120"/>
      <c r="BB161" s="121"/>
      <c r="BC161" s="128"/>
      <c r="BD161" s="123"/>
      <c r="BE161" s="130"/>
      <c r="BF161" s="119"/>
      <c r="BG161" s="120"/>
      <c r="BH161" s="121"/>
      <c r="BI161" s="128"/>
      <c r="BJ161" s="123"/>
      <c r="BK161" s="130"/>
      <c r="BL161" s="119"/>
      <c r="BM161" s="120"/>
      <c r="BN161" s="121"/>
    </row>
    <row r="162" customFormat="false" ht="13.8" hidden="false" customHeight="false" outlineLevel="0" collapsed="false">
      <c r="B162" s="232" t="s">
        <v>123</v>
      </c>
      <c r="C162" s="232" t="s">
        <v>124</v>
      </c>
      <c r="D162" s="232"/>
      <c r="E162" s="232"/>
      <c r="F162" s="232"/>
    </row>
    <row r="1048576" customFormat="false" ht="12.8" hidden="false" customHeight="false" outlineLevel="0" collapsed="false"/>
  </sheetData>
  <mergeCells count="92">
    <mergeCell ref="B2:E2"/>
    <mergeCell ref="G2:I2"/>
    <mergeCell ref="J2:L2"/>
    <mergeCell ref="M2:O2"/>
    <mergeCell ref="P2:R2"/>
    <mergeCell ref="S2:U2"/>
    <mergeCell ref="V2:X2"/>
    <mergeCell ref="Y2:AA2"/>
    <mergeCell ref="AB2:AD2"/>
    <mergeCell ref="AE2:AG2"/>
    <mergeCell ref="AH2:AJ2"/>
    <mergeCell ref="AK2:AM2"/>
    <mergeCell ref="AN2:AP2"/>
    <mergeCell ref="AQ2:AS2"/>
    <mergeCell ref="AT2:AV2"/>
    <mergeCell ref="AW2:AY2"/>
    <mergeCell ref="AZ2:BB2"/>
    <mergeCell ref="BC2:BE2"/>
    <mergeCell ref="BF2:BH2"/>
    <mergeCell ref="BI2:BK2"/>
    <mergeCell ref="BL2:BN2"/>
    <mergeCell ref="B5:B80"/>
    <mergeCell ref="C5:C16"/>
    <mergeCell ref="D5:D8"/>
    <mergeCell ref="D9:D12"/>
    <mergeCell ref="D13:D16"/>
    <mergeCell ref="C17:C28"/>
    <mergeCell ref="D17:D20"/>
    <mergeCell ref="D21:D24"/>
    <mergeCell ref="D25:D28"/>
    <mergeCell ref="C29:C36"/>
    <mergeCell ref="D29:D32"/>
    <mergeCell ref="D33:D36"/>
    <mergeCell ref="C37:C48"/>
    <mergeCell ref="D37:D40"/>
    <mergeCell ref="D41:D44"/>
    <mergeCell ref="D45:D48"/>
    <mergeCell ref="C49:C60"/>
    <mergeCell ref="D49:D52"/>
    <mergeCell ref="D53:D56"/>
    <mergeCell ref="D57:D60"/>
    <mergeCell ref="C61:C68"/>
    <mergeCell ref="D61:D64"/>
    <mergeCell ref="D65:D68"/>
    <mergeCell ref="C69:C72"/>
    <mergeCell ref="D69:D72"/>
    <mergeCell ref="C73:C76"/>
    <mergeCell ref="D73:D76"/>
    <mergeCell ref="C77:C80"/>
    <mergeCell ref="B81:B133"/>
    <mergeCell ref="C81:C84"/>
    <mergeCell ref="D81:D84"/>
    <mergeCell ref="F81:F84"/>
    <mergeCell ref="C85:C100"/>
    <mergeCell ref="D85:D88"/>
    <mergeCell ref="F85:F88"/>
    <mergeCell ref="D89:D92"/>
    <mergeCell ref="F89:F92"/>
    <mergeCell ref="D93:D96"/>
    <mergeCell ref="F93:F96"/>
    <mergeCell ref="D97:D100"/>
    <mergeCell ref="F97:F100"/>
    <mergeCell ref="C101:C104"/>
    <mergeCell ref="D101:D104"/>
    <mergeCell ref="F101:F104"/>
    <mergeCell ref="C105:C120"/>
    <mergeCell ref="D105:D108"/>
    <mergeCell ref="F105:F108"/>
    <mergeCell ref="D109:D112"/>
    <mergeCell ref="F109:F112"/>
    <mergeCell ref="D113:D116"/>
    <mergeCell ref="F113:F116"/>
    <mergeCell ref="D117:D120"/>
    <mergeCell ref="F117:F120"/>
    <mergeCell ref="C121:C124"/>
    <mergeCell ref="D121:D124"/>
    <mergeCell ref="C125:C128"/>
    <mergeCell ref="D125:D128"/>
    <mergeCell ref="B134:B137"/>
    <mergeCell ref="C134:C135"/>
    <mergeCell ref="C136:C137"/>
    <mergeCell ref="B138:B141"/>
    <mergeCell ref="B142:B143"/>
    <mergeCell ref="B144:B157"/>
    <mergeCell ref="C144:C151"/>
    <mergeCell ref="D144:D147"/>
    <mergeCell ref="F144:F147"/>
    <mergeCell ref="D148:D151"/>
    <mergeCell ref="F148:F151"/>
    <mergeCell ref="C152:C155"/>
    <mergeCell ref="D152:D155"/>
    <mergeCell ref="B158:B16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8" scale="71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954</TotalTime>
  <Application>LibreOffice/7.3.7.2$Linux_X86_64 LibreOffice_project/30$Build-2</Application>
  <AppVersion>15.0000</AppVersion>
  <Company>MEERI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2016-06-29T10:28:22Z</dcterms:created>
  <dc:creator>PK</dc:creator>
  <dc:description/>
  <dc:language>en-US</dc:language>
  <cp:lastModifiedBy/>
  <dcterms:modified xsi:type="dcterms:W3CDTF">2025-11-28T21:05:33Z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207707703113555</vt:r8>
  </property>
</Properties>
</file>