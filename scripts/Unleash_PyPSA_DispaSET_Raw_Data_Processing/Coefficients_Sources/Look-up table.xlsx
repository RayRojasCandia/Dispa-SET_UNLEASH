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_power_unit_class" sheetId="1" state="visible" r:id="rId2"/>
    <sheet name="Referenc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X3" authorId="0">
      <text>
        <r>
          <rPr>
            <sz val="11"/>
            <color rgb="FF000000"/>
            <rFont val="Calibri"/>
            <family val="2"/>
            <charset val="1"/>
          </rPr>
          <t xml:space="preserve">
all EUR/kWa;
Nuclear (€/MWh)
</t>
        </r>
      </text>
    </comment>
    <comment ref="AY3" authorId="0">
      <text>
        <r>
          <rPr>
            <sz val="11"/>
            <color rgb="FF000000"/>
            <rFont val="Calibri"/>
            <family val="2"/>
            <charset val="1"/>
          </rPr>
          <t xml:space="preserve">
all EUR/kWa;
Nuclear (€/MWh)
</t>
        </r>
      </text>
    </comment>
    <comment ref="AZ3" authorId="0">
      <text>
        <r>
          <rPr>
            <sz val="11"/>
            <color rgb="FF000000"/>
            <rFont val="Calibri"/>
            <family val="2"/>
            <charset val="1"/>
          </rPr>
          <t xml:space="preserve">
all EUR/kWa;
Nuclear (€/MWh)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N3" authorId="0">
      <text>
        <r>
          <rPr>
            <sz val="11"/>
            <color rgb="FF000000"/>
            <rFont val="Calibri"/>
            <family val="2"/>
            <charset val="1"/>
          </rPr>
          <t xml:space="preserve">
all EUR/kWa;
Nuclear (€/MWh)
</t>
        </r>
      </text>
    </comment>
    <comment ref="AO3" authorId="0">
      <text>
        <r>
          <rPr>
            <sz val="11"/>
            <color rgb="FF000000"/>
            <rFont val="Calibri"/>
            <family val="2"/>
            <charset val="1"/>
          </rPr>
          <t xml:space="preserve">
all EUR/kWa;
Nuclear (€/MWh)
</t>
        </r>
      </text>
    </comment>
    <comment ref="AP3" authorId="0">
      <text>
        <r>
          <rPr>
            <sz val="11"/>
            <color rgb="FF000000"/>
            <rFont val="Calibri"/>
            <family val="2"/>
            <charset val="1"/>
          </rPr>
          <t xml:space="preserve">
all EUR/kWa;
Nuclear (€/MWh)
</t>
        </r>
      </text>
    </comment>
  </commentList>
</comments>
</file>

<file path=xl/sharedStrings.xml><?xml version="1.0" encoding="utf-8"?>
<sst xmlns="http://schemas.openxmlformats.org/spreadsheetml/2006/main" count="10844" uniqueCount="497">
  <si>
    <t xml:space="preserve">This is the main Look-up table with defined values for plant categories.</t>
  </si>
  <si>
    <t xml:space="preserve">COP</t>
  </si>
  <si>
    <t xml:space="preserve">Simultaneity Factor</t>
  </si>
  <si>
    <t xml:space="preserve">Efficiency of power generation</t>
  </si>
  <si>
    <t xml:space="preserve">CHP thermal efficiency</t>
  </si>
  <si>
    <t xml:space="preserve">CHP electric efficiency</t>
  </si>
  <si>
    <t xml:space="preserve">CHP total efficiency</t>
  </si>
  <si>
    <t xml:space="preserve">Round-trip efficiency </t>
  </si>
  <si>
    <t xml:space="preserve">Availability factor</t>
  </si>
  <si>
    <t xml:space="preserve">Minimum power for stable generation</t>
  </si>
  <si>
    <t xml:space="preserve">Ramping up rate</t>
  </si>
  <si>
    <t xml:space="preserve">Ramping down rate</t>
  </si>
  <si>
    <t xml:space="preserve">Minimum up time</t>
  </si>
  <si>
    <t xml:space="preserve">Minimum down time</t>
  </si>
  <si>
    <t xml:space="preserve">Capital costs</t>
  </si>
  <si>
    <t xml:space="preserve">Fixed O&amp;M costs</t>
  </si>
  <si>
    <t xml:space="preserve">Variable O&amp;M costs</t>
  </si>
  <si>
    <t xml:space="preserve">Start-up costs for hot start</t>
  </si>
  <si>
    <t xml:space="preserve">Start-up costs for warm start</t>
  </si>
  <si>
    <t xml:space="preserve">Start-up costs for cold start</t>
  </si>
  <si>
    <t xml:space="preserve">Ramping costs</t>
  </si>
  <si>
    <t xml:space="preserve">Start-up times for hot start</t>
  </si>
  <si>
    <t xml:space="preserve">Start-up times for warm start</t>
  </si>
  <si>
    <t xml:space="preserve">Start-up times for cold start</t>
  </si>
  <si>
    <t xml:space="preserve">No Load Cost per unit</t>
  </si>
  <si>
    <t xml:space="preserve">Minimum Efficiency</t>
  </si>
  <si>
    <t xml:space="preserve">CO2 Intensity</t>
  </si>
  <si>
    <t xml:space="preserve">%</t>
  </si>
  <si>
    <t xml:space="preserve">% in time</t>
  </si>
  <si>
    <t xml:space="preserve">% maximum capacity</t>
  </si>
  <si>
    <t xml:space="preserve">% maximum capacity/ min.</t>
  </si>
  <si>
    <t xml:space="preserve">% maximum capacity/min.</t>
  </si>
  <si>
    <t xml:space="preserve">h</t>
  </si>
  <si>
    <t xml:space="preserve">EUR/kW</t>
  </si>
  <si>
    <t xml:space="preserve">EUR/kW/a</t>
  </si>
  <si>
    <t xml:space="preserve">EUR/MWh</t>
  </si>
  <si>
    <r>
      <rPr>
        <sz val="11"/>
        <color rgb="FF000000"/>
        <rFont val="Calibri"/>
        <family val="2"/>
        <charset val="1"/>
      </rPr>
      <t xml:space="preserve">EUR/</t>
    </r>
    <r>
      <rPr>
        <sz val="11"/>
        <color rgb="FF000000"/>
        <rFont val="Symbol"/>
        <family val="1"/>
        <charset val="2"/>
      </rPr>
      <t xml:space="preserve">D</t>
    </r>
    <r>
      <rPr>
        <sz val="11"/>
        <color rgb="FF000000"/>
        <rFont val="Calibri"/>
        <family val="2"/>
        <charset val="1"/>
      </rPr>
      <t xml:space="preserve">MW</t>
    </r>
  </si>
  <si>
    <t xml:space="preserve">min.</t>
  </si>
  <si>
    <t xml:space="preserve">EUR/Mwh</t>
  </si>
  <si>
    <t xml:space="preserve">% at min load</t>
  </si>
  <si>
    <t xml:space="preserve">Ton CO2/MWh</t>
  </si>
  <si>
    <t xml:space="preserve">Energy carrier</t>
  </si>
  <si>
    <t xml:space="preserve">Reference technology</t>
  </si>
  <si>
    <t xml:space="preserve">Operative Features</t>
  </si>
  <si>
    <t xml:space="preserve">Age bin</t>
  </si>
  <si>
    <t xml:space="preserve">Size bin</t>
  </si>
  <si>
    <t xml:space="preserve">Turbine
Type</t>
  </si>
  <si>
    <t xml:space="preserve">Min</t>
  </si>
  <si>
    <t xml:space="preserve">Best</t>
  </si>
  <si>
    <t xml:space="preserve">Max</t>
  </si>
  <si>
    <t xml:space="preserve">Hard coal
/
Lignite</t>
  </si>
  <si>
    <t xml:space="preserve">Steam turbine
(hard coal)</t>
  </si>
  <si>
    <t xml:space="preserve">Sub-critical</t>
  </si>
  <si>
    <t xml:space="preserve">&lt;10</t>
  </si>
  <si>
    <t xml:space="preserve">L (&gt;=400MW)
</t>
  </si>
  <si>
    <t xml:space="preserve">-</t>
  </si>
  <si>
    <t xml:space="preserve">M (&gt;=150MW and &lt;400MW)
</t>
  </si>
  <si>
    <t xml:space="preserve">S (&gt;=7.5MW and &lt;150MW)
</t>
  </si>
  <si>
    <t xml:space="preserve">XS (&lt;7.5MW)
</t>
  </si>
  <si>
    <t xml:space="preserve">10 - 30</t>
  </si>
  <si>
    <t xml:space="preserve">&gt;30</t>
  </si>
  <si>
    <t xml:space="preserve">Steam turbine  (hard coal)</t>
  </si>
  <si>
    <t xml:space="preserve">supercritical</t>
  </si>
  <si>
    <t xml:space="preserve">ultra-supercritical</t>
  </si>
  <si>
    <t xml:space="preserve">10 - 20</t>
  </si>
  <si>
    <t xml:space="preserve">Steam turbine
(lignite)</t>
  </si>
  <si>
    <t xml:space="preserve">Steam turbine (lignite)</t>
  </si>
  <si>
    <t xml:space="preserve">IGCC
(Integrateg gasification
Combined cycle)</t>
  </si>
  <si>
    <t xml:space="preserve">no data</t>
  </si>
  <si>
    <t xml:space="preserve">no data </t>
  </si>
  <si>
    <t xml:space="preserve">steam turbine
(CHP)</t>
  </si>
  <si>
    <t xml:space="preserve">Back-pressure</t>
  </si>
  <si>
    <t xml:space="preserve">steam turbine (CHP)</t>
  </si>
  <si>
    <t xml:space="preserve">Extraction</t>
  </si>
  <si>
    <t xml:space="preserve">Natural gas
/
Oil</t>
  </si>
  <si>
    <t xml:space="preserve">Combined-cycle</t>
  </si>
  <si>
    <t xml:space="preserve">Aero-derivative</t>
  </si>
  <si>
    <t xml:space="preserve">L (&gt;=350MW)
</t>
  </si>
  <si>
    <t xml:space="preserve">M (&gt;=100MW and &lt;350MW)
</t>
  </si>
  <si>
    <t xml:space="preserve">S (&gt;=9MW and &lt;100MW)
</t>
  </si>
  <si>
    <t xml:space="preserve">XS (&lt;9MW)
</t>
  </si>
  <si>
    <t xml:space="preserve">Heavy-duty</t>
  </si>
  <si>
    <t xml:space="preserve">until 2000</t>
  </si>
  <si>
    <t xml:space="preserve">L (&gt;=350MW)
 </t>
  </si>
  <si>
    <t xml:space="preserve">E</t>
  </si>
  <si>
    <t xml:space="preserve">M (&gt;=100MW and &lt;350MW)
 </t>
  </si>
  <si>
    <t xml:space="preserve">S (&gt;=9MW and &lt;100MW)
 </t>
  </si>
  <si>
    <t xml:space="preserve">XS (&lt;9MW)
 </t>
  </si>
  <si>
    <t xml:space="preserve">2000-2005</t>
  </si>
  <si>
    <t xml:space="preserve">L (&gt;=350MW)
</t>
  </si>
  <si>
    <t xml:space="preserve">Fa</t>
  </si>
  <si>
    <t xml:space="preserve">M (&gt;=100MW and &lt;350MW)
</t>
  </si>
  <si>
    <t xml:space="preserve">S (&gt;=9MW and &lt;100MW)
</t>
  </si>
  <si>
    <t xml:space="preserve">XS (&lt;9MW)
</t>
  </si>
  <si>
    <t xml:space="preserve">2006-2010</t>
  </si>
  <si>
    <t xml:space="preserve">Fb</t>
  </si>
  <si>
    <t xml:space="preserve">After 2010</t>
  </si>
  <si>
    <t xml:space="preserve">H</t>
  </si>
  <si>
    <t xml:space="preserve">Gas turbine open cycle</t>
  </si>
  <si>
    <t xml:space="preserve">4 min.</t>
  </si>
  <si>
    <t xml:space="preserve">6 min.</t>
  </si>
  <si>
    <t xml:space="preserve">8 min.</t>
  </si>
  <si>
    <t xml:space="preserve">Steam turbine</t>
  </si>
  <si>
    <t xml:space="preserve">Internal combustion</t>
  </si>
  <si>
    <t xml:space="preserve">L (&gt;=10MW)
</t>
  </si>
  <si>
    <t xml:space="preserve">M (&gt;=5MW and &lt;10MW)
</t>
  </si>
  <si>
    <t xml:space="preserve">S (&gt;=2MW and &lt;5MW)
</t>
  </si>
  <si>
    <t xml:space="preserve">XS (&lt;2MW)
</t>
  </si>
  <si>
    <t xml:space="preserve">CCGT
(CHP)</t>
  </si>
  <si>
    <t xml:space="preserve">
</t>
  </si>
  <si>
    <t xml:space="preserve">Gas turbine
(CHP)</t>
  </si>
  <si>
    <t xml:space="preserve">Internal combustion
(CHP)</t>
  </si>
  <si>
    <t xml:space="preserve">10 sec</t>
  </si>
  <si>
    <t xml:space="preserve">Uranium</t>
  </si>
  <si>
    <t xml:space="preserve">Nuclear</t>
  </si>
  <si>
    <t xml:space="preserve">PWR
(Pressurized water reactor)</t>
  </si>
  <si>
    <t xml:space="preserve">L (&gt;=750MW)
</t>
  </si>
  <si>
    <t xml:space="preserve">95.5</t>
  </si>
  <si>
    <t xml:space="preserve">M (&lt;750MW)
</t>
  </si>
  <si>
    <t xml:space="preserve">BWR
(Boiling water reactor)</t>
  </si>
  <si>
    <t xml:space="preserve">Biomass</t>
  </si>
  <si>
    <t xml:space="preserve">Organic Rankine-cycle
(CHP)</t>
  </si>
  <si>
    <t xml:space="preserve">Biogas</t>
  </si>
  <si>
    <t xml:space="preserve">Water</t>
  </si>
  <si>
    <t xml:space="preserve">Conventional
Hydroelectric turbine</t>
  </si>
  <si>
    <t xml:space="preserve">Run-of-river</t>
  </si>
  <si>
    <t xml:space="preserve">L (&gt;=30MW)
</t>
  </si>
  <si>
    <t xml:space="preserve">M (&gt;=10MW and &lt;30MW)
</t>
  </si>
  <si>
    <t xml:space="preserve">S (&gt;=1MW and &lt;10MW)
</t>
  </si>
  <si>
    <t xml:space="preserve">XS (&lt;1MW)
</t>
  </si>
  <si>
    <t xml:space="preserve">Reservoirs</t>
  </si>
  <si>
    <t xml:space="preserve">L (&gt;=75MW)
</t>
  </si>
  <si>
    <t xml:space="preserve">M (&gt;=10MW and &lt;75MW)
</t>
  </si>
  <si>
    <t xml:space="preserve">Pumped-storage</t>
  </si>
  <si>
    <t xml:space="preserve">Tidal</t>
  </si>
  <si>
    <t xml:space="preserve">Wave</t>
  </si>
  <si>
    <t xml:space="preserve">Commercial Arrays </t>
  </si>
  <si>
    <t xml:space="preserve">M (&gt;=2MW)
</t>
  </si>
  <si>
    <t xml:space="preserve">Pre-Commercial Arrays</t>
  </si>
  <si>
    <t xml:space="preserve">S (&gt;=0.1MW and &lt;2MW)
</t>
  </si>
  <si>
    <t xml:space="preserve">Demonstration Units</t>
  </si>
  <si>
    <t xml:space="preserve">XS (&lt;0.1MW)
</t>
  </si>
  <si>
    <t xml:space="preserve">Solar</t>
  </si>
  <si>
    <t xml:space="preserve">Photovoltaic</t>
  </si>
  <si>
    <t xml:space="preserve">Residential Rooftop</t>
  </si>
  <si>
    <t xml:space="preserve">XS (&lt;0.01MW)
</t>
  </si>
  <si>
    <t xml:space="preserve">Photovoltaic )</t>
  </si>
  <si>
    <t xml:space="preserve">commercial rooftop</t>
  </si>
  <si>
    <t xml:space="preserve">S (&gt;=0.01MW and &lt;0.5MW)
</t>
  </si>
  <si>
    <t xml:space="preserve">Photovoltaic (</t>
  </si>
  <si>
    <t xml:space="preserve">utility scale</t>
  </si>
  <si>
    <t xml:space="preserve">M (&gt;=1MW and &lt;100MW)
</t>
  </si>
  <si>
    <t xml:space="preserve">Photovoltaic ()</t>
  </si>
  <si>
    <t xml:space="preserve">large scale</t>
  </si>
  <si>
    <t xml:space="preserve">L (&gt;=100MW)
</t>
  </si>
  <si>
    <t xml:space="preserve">Concentrated Solar Power</t>
  </si>
  <si>
    <t xml:space="preserve">Parabolic Trough</t>
  </si>
  <si>
    <t xml:space="preserve">L (&gt;=200MW)
</t>
  </si>
  <si>
    <t xml:space="preserve">M (&gt;=50MW and &lt;200MW)
</t>
  </si>
  <si>
    <t xml:space="preserve">S (&lt;50MW)
</t>
  </si>
  <si>
    <t xml:space="preserve">Solar Tower </t>
  </si>
  <si>
    <t xml:space="preserve">Linear Fresnel</t>
  </si>
  <si>
    <t xml:space="preserve">Solar thermal
</t>
  </si>
  <si>
    <t xml:space="preserve">Wind</t>
  </si>
  <si>
    <t xml:space="preserve">OffShore</t>
  </si>
  <si>
    <t xml:space="preserve">Standard depth (30-50m)
Near shore (&lt;50km)</t>
  </si>
  <si>
    <t xml:space="preserve">L (&gt;=20MW)
</t>
  </si>
  <si>
    <t xml:space="preserve">M (&gt;=15MW and &lt;20MW)
</t>
  </si>
  <si>
    <t xml:space="preserve">S (&gt;=8MW and &lt;15MW)
</t>
  </si>
  <si>
    <t xml:space="preserve">Deep water (&gt;50m)
Far offshore (&gt;50km)</t>
  </si>
  <si>
    <t xml:space="preserve">OnShore</t>
  </si>
  <si>
    <t xml:space="preserve">Standard terrain Impact</t>
  </si>
  <si>
    <t xml:space="preserve">L (&gt;=8MW)
</t>
  </si>
  <si>
    <t xml:space="preserve">IEC Class III/IV
(Low wind)</t>
  </si>
  <si>
    <t xml:space="preserve">M (&gt;=5MW and &lt;8MW)
</t>
  </si>
  <si>
    <t xml:space="preserve">S (&gt;=3MW and &lt;5MW)
</t>
  </si>
  <si>
    <t xml:space="preserve">XS (&lt;3MW)
</t>
  </si>
  <si>
    <t xml:space="preserve">ONSHORE</t>
  </si>
  <si>
    <t xml:space="preserve">IEC Class II
(Medium wind)</t>
  </si>
  <si>
    <t xml:space="preserve">IEC Class I
(High wind)</t>
  </si>
  <si>
    <t xml:space="preserve">Simple terrain Impact
(flat)</t>
  </si>
  <si>
    <t xml:space="preserve">Complex terrain Impact
(mountainous)</t>
  </si>
  <si>
    <t xml:space="preserve">Waste heat
/
Excess heat</t>
  </si>
  <si>
    <t xml:space="preserve">Waste Heat Engine</t>
  </si>
  <si>
    <t xml:space="preserve">M (&gt;=5MW)
</t>
  </si>
  <si>
    <t xml:space="preserve">COMMERCIAL ROOFTOP</t>
  </si>
  <si>
    <t xml:space="preserve">S (&gt;=0.5MW and &lt;5MW)
</t>
  </si>
  <si>
    <t xml:space="preserve">UTILITY SCALE</t>
  </si>
  <si>
    <t xml:space="preserve">XS (&lt;0.5MW)
</t>
  </si>
  <si>
    <t xml:space="preserve">Electricity</t>
  </si>
  <si>
    <t xml:space="preserve">Stationary Batteries</t>
  </si>
  <si>
    <t xml:space="preserve">L (&gt;=5MW)
  (&gt;=20MWh)</t>
  </si>
  <si>
    <t xml:space="preserve">M (&gt;=0.1MW and &lt;5MW)
    (&gt;=0.2MWh and &lt;20MWh)</t>
  </si>
  <si>
    <t xml:space="preserve">S (&lt;0.1MW)
   (&gt;=0.2MWh)</t>
  </si>
  <si>
    <t xml:space="preserve">Vehicle-to-grid storage
</t>
  </si>
  <si>
    <t xml:space="preserve">Aggregated Fleet
National-scale</t>
  </si>
  <si>
    <t xml:space="preserve">L (&gt;=200MW      and  &lt;5000MW)
   (&gt;=1000MWh  and  &lt;25000MWh)</t>
  </si>
  <si>
    <t xml:space="preserve">Li-ion system </t>
  </si>
  <si>
    <t xml:space="preserve">Aggregated Fleet
City-scale</t>
  </si>
  <si>
    <t xml:space="preserve">M (&gt;=10MW   and  &lt;200MW)
   (&gt;=50MWh  and  &lt;1000MWh)</t>
  </si>
  <si>
    <t xml:space="preserve">Aggregated Fleet
Small-scale</t>
  </si>
  <si>
    <t xml:space="preserve">S (&gt;=0.1MW    and  &lt;10MW)
   (&gt;=0.5MWh  and  &lt;50MWh)</t>
  </si>
  <si>
    <t xml:space="preserve">E-Methanol (CH3oH)
/
E-DME (Dimethyl Ether)
/
E-Diesel (Fischer-Tropsch Diesel)
/
E-Jet Fuel / Synthetic Kerosene
/
E-Gasoline (Synthetic Gasoline)
/
E-Naphtha</t>
  </si>
  <si>
    <t xml:space="preserve">P2L (Power-to-Liquids)
</t>
  </si>
  <si>
    <t xml:space="preserve">L (&gt;=10MW and &lt;=200MW)</t>
  </si>
  <si>
    <t xml:space="preserve">Direct Methanol Fuel Cell
</t>
  </si>
  <si>
    <t xml:space="preserve">XS (&lt;=0.1MW) </t>
  </si>
  <si>
    <t xml:space="preserve">Direct Methanol Fuel Cell
(Waste Heat Recovery) CHP</t>
  </si>
  <si>
    <t xml:space="preserve">Ammonia (NH3)
/
Urea (CO(NH2)2)</t>
  </si>
  <si>
    <t xml:space="preserve">P2C (Power-to-Chemicals)
 </t>
  </si>
  <si>
    <t xml:space="preserve">L (&gt;=50MW and &lt;=500MW)</t>
  </si>
  <si>
    <t xml:space="preserve">Haber-Bosch
 </t>
  </si>
  <si>
    <t xml:space="preserve">L (&gt;=10MW and &lt;=500MW)</t>
  </si>
  <si>
    <t xml:space="preserve">Haber-Bosch
CHP</t>
  </si>
  <si>
    <t xml:space="preserve">Methane (CH4)
/
Synthetic Natural Gas (SNG)
/
Hydrogen (H2)
/
SYNGAS (H2 + CO Mixture)
/
DME as Gas (Dimethyl Ether)</t>
  </si>
  <si>
    <t xml:space="preserve">P2G (Power-to-Gas)
</t>
  </si>
  <si>
    <t xml:space="preserve">M (&gt;=1MW and &lt;=100MW)</t>
  </si>
  <si>
    <t xml:space="preserve">PEM Electrolyzer
</t>
  </si>
  <si>
    <t xml:space="preserve">S (&gt;=1MW and &lt;=20MW)</t>
  </si>
  <si>
    <t xml:space="preserve">Alkaline Electrolyzer
</t>
  </si>
  <si>
    <t xml:space="preserve">Solid Oxide Electrolyzer
</t>
  </si>
  <si>
    <t xml:space="preserve">S (&gt;=0.1MW and &lt;=10MW)</t>
  </si>
  <si>
    <t xml:space="preserve">Polymer Electrolyte Fuel Cell
</t>
  </si>
  <si>
    <t xml:space="preserve">S (&lt;=5MW)</t>
  </si>
  <si>
    <t xml:space="preserve">Solid Oxide Fuel Cell
</t>
  </si>
  <si>
    <t xml:space="preserve">S (&lt;=10MW)</t>
  </si>
  <si>
    <t xml:space="preserve">Molten Carbonate Fuel Cell
</t>
  </si>
  <si>
    <t xml:space="preserve">S (&gt;=0.3MW and &lt;=5MW)</t>
  </si>
  <si>
    <t xml:space="preserve">Phosphoric Acid Fuel Cell
</t>
  </si>
  <si>
    <t xml:space="preserve">S (&gt;=0.1MW and &lt;=5MW)</t>
  </si>
  <si>
    <t xml:space="preserve">Alkaline Fuel Cell
</t>
  </si>
  <si>
    <t xml:space="preserve">`</t>
  </si>
  <si>
    <t xml:space="preserve">XS (&lt;=0.5MW) </t>
  </si>
  <si>
    <t xml:space="preserve">Regenerative Fuel Cell
</t>
  </si>
  <si>
    <t xml:space="preserve">XS (&lt;=1MW) </t>
  </si>
  <si>
    <t xml:space="preserve">PEM Electrolyzer             CHP
(Waste Heat Recovery)</t>
  </si>
  <si>
    <t xml:space="preserve">Alkaline Electrolyzer        CHP
(Waste Heat Recovery)</t>
  </si>
  <si>
    <t xml:space="preserve">Solid Oxide Electrolyzer   CHP
(Waste Heat Recovery)</t>
  </si>
  <si>
    <t xml:space="preserve">Polymer Electrolyte Fuel Cell
(Waste Heat Recovery)   CHP</t>
  </si>
  <si>
    <t xml:space="preserve">Solid Oxide Fuel Cell       CHP
(Waste Heat Recovery)</t>
  </si>
  <si>
    <t xml:space="preserve">Molten Carbonate Fuel Cell
(Waste Heat Recovery)   CHP</t>
  </si>
  <si>
    <t xml:space="preserve">Phosphoric Acid Fuel Cell
(Waste Heat Recovery)   CHP</t>
  </si>
  <si>
    <t xml:space="preserve">Alkaline Fuel Cell CHP
(Waste Heat Recovery)</t>
  </si>
  <si>
    <t xml:space="preserve">Regenerative Fuel Cell    CHP
(Waste Heat Recovery)</t>
  </si>
  <si>
    <t xml:space="preserve">Heat</t>
  </si>
  <si>
    <t xml:space="preserve">Air Heat Pump</t>
  </si>
  <si>
    <t xml:space="preserve">Residential Rural
</t>
  </si>
  <si>
    <t xml:space="preserve">XS (&gt;=0.008MW and &lt;=0.012MW)</t>
  </si>
  <si>
    <t xml:space="preserve">Residential Urban Decentral
</t>
  </si>
  <si>
    <t xml:space="preserve">XS (&gt;=0.005MW and &lt;0.008MW)</t>
  </si>
  <si>
    <t xml:space="preserve">Services Rural
</t>
  </si>
  <si>
    <t xml:space="preserve">XS (&gt;=0.02MW and &lt;0.05MW)</t>
  </si>
  <si>
    <t xml:space="preserve">Services Urban Decentral
</t>
  </si>
  <si>
    <t xml:space="preserve">XS (&gt;=0.015MW and &lt;0.04MW)</t>
  </si>
  <si>
    <t xml:space="preserve">Urban Central
</t>
  </si>
  <si>
    <t xml:space="preserve">S (&gt;=1MW and &lt;10MW)</t>
  </si>
  <si>
    <t xml:space="preserve">Ground Heat Pump</t>
  </si>
  <si>
    <t xml:space="preserve">XS (&gt;=0.03MW and &lt;0.1MW)</t>
  </si>
  <si>
    <t xml:space="preserve">Resistive Heater</t>
  </si>
  <si>
    <t xml:space="preserve">S (&gt;=0.003MW and &lt;0.006MW)</t>
  </si>
  <si>
    <t xml:space="preserve">XS (&gt;=0.002MW and &lt;=0.004MW)</t>
  </si>
  <si>
    <t xml:space="preserve">S   (&gt;=0.008MW and &lt;=0.02MW)</t>
  </si>
  <si>
    <t xml:space="preserve">Ground source heat pump</t>
  </si>
  <si>
    <t xml:space="preserve">Water source heat pump</t>
  </si>
  <si>
    <t xml:space="preserve">Heat-only boilers</t>
  </si>
  <si>
    <t xml:space="preserve">Power-to-heat</t>
  </si>
  <si>
    <t xml:space="preserve">Direct resistive heating</t>
  </si>
  <si>
    <t xml:space="preserve">* (CHP)</t>
  </si>
  <si>
    <t xml:space="preserve">cogeneration technologies</t>
  </si>
  <si>
    <t xml:space="preserve">This is the list of references which were used to populate the main Look-up table</t>
  </si>
  <si>
    <t xml:space="preserve">CHP electric efficiency </t>
  </si>
  <si>
    <t xml:space="preserve">CHP total efficiency </t>
  </si>
  <si>
    <t xml:space="preserve">Turbine type</t>
  </si>
  <si>
    <t xml:space="preserve">Steam turbine - sub-critical</t>
  </si>
  <si>
    <t xml:space="preserve">L (&gt;=400MW)</t>
  </si>
  <si>
    <t xml:space="preserve">own calculations</t>
  </si>
  <si>
    <t xml:space="preserve">Bertsch 2016</t>
  </si>
  <si>
    <t xml:space="preserve">DIW 2014</t>
  </si>
  <si>
    <t xml:space="preserve">DIW 2013</t>
  </si>
  <si>
    <t xml:space="preserve">Hentschel 2016</t>
  </si>
  <si>
    <t xml:space="preserve">DIW 2013 (IEA 2011a)</t>
  </si>
  <si>
    <t xml:space="preserve">DIW 2013 (Klobasa et al.. 2009)</t>
  </si>
  <si>
    <t xml:space="preserve">IEA 2014 (coal fired steam power plant, old)</t>
  </si>
  <si>
    <t xml:space="preserve">DIW 2013 (Ehlers 2011) - coal fired steam power plant, old</t>
  </si>
  <si>
    <t xml:space="preserve">Hentschel 2016, coal fired steam power plant</t>
  </si>
  <si>
    <t xml:space="preserve">IEA 2014 - coal fired steam power plant, new</t>
  </si>
  <si>
    <t xml:space="preserve">DIW 2013 (wagner 2004)</t>
  </si>
  <si>
    <t xml:space="preserve">DIW 2013 (IEA 2011b)</t>
  </si>
  <si>
    <t xml:space="preserve">DIW 2013 (Traber &amp; Kemfert 2011)</t>
  </si>
  <si>
    <t xml:space="preserve">DIW 2013 (IEA et al.. 2010)</t>
  </si>
  <si>
    <t xml:space="preserve">DIW 2013 (Grimm 2007)</t>
  </si>
  <si>
    <t xml:space="preserve">DIW 2013 (Kumar et al. 2012 median)</t>
  </si>
  <si>
    <t xml:space="preserve">DIW 2013 (Kumar et al. 2012 modern)</t>
  </si>
  <si>
    <t xml:space="preserve">Kumar 2012</t>
  </si>
  <si>
    <t xml:space="preserve">Van der Bergh &amp; Delarue 2015</t>
  </si>
  <si>
    <t xml:space="preserve">Parsons Brinckerhoff - DECC 2014</t>
  </si>
  <si>
    <t xml:space="preserve">M (&gt;=150MW and &lt;400MW)</t>
  </si>
  <si>
    <t xml:space="preserve">S (&gt;=7.5MW and &lt;150MW)</t>
  </si>
  <si>
    <t xml:space="preserve">XS (&lt;7.5MW)</t>
  </si>
  <si>
    <t xml:space="preserve">DIW 2013 (Hundt et al. 2009) - coal fired steam power plant, old</t>
  </si>
  <si>
    <t xml:space="preserve">DIW 2013 (Schuewer et al. 2010) - coal fired steam power plant, old</t>
  </si>
  <si>
    <t xml:space="preserve">Steam turbine - supercritical</t>
  </si>
  <si>
    <t xml:space="preserve">Traber &amp; Kemfert 2011</t>
  </si>
  <si>
    <t xml:space="preserve">dena 2008</t>
  </si>
  <si>
    <t xml:space="preserve">van der Bergh and Delarue 2015</t>
  </si>
  <si>
    <t xml:space="preserve">IEA 2014 (coal fired steam power plant, new)</t>
  </si>
  <si>
    <t xml:space="preserve">van der Bergh and Delarue 2015 (coal fired steam power plant, new)</t>
  </si>
  <si>
    <t xml:space="preserve">DIW 2013 (RWI 1997)</t>
  </si>
  <si>
    <t xml:space="preserve">DIW 2013 (Meibom et al. 2008)</t>
  </si>
  <si>
    <t xml:space="preserve">DIW 2013 (dena 2005)</t>
  </si>
  <si>
    <t xml:space="preserve">diw 2012, Grimm 2007</t>
  </si>
  <si>
    <t xml:space="preserve">DIW 2013, Wacek 2010</t>
  </si>
  <si>
    <t xml:space="preserve">DIW 2013, Hundt el al. 2009</t>
  </si>
  <si>
    <t xml:space="preserve">DIW 2013,Meibom el al. 2000</t>
  </si>
  <si>
    <t xml:space="preserve">Ecofys 2014</t>
  </si>
  <si>
    <t xml:space="preserve">DIW 2013, Meibom et al. 2008</t>
  </si>
  <si>
    <t xml:space="preserve">DIW 2013, Meibom et al. 2009</t>
  </si>
  <si>
    <t xml:space="preserve">DIW 2013, Meibom et al. 2010</t>
  </si>
  <si>
    <t xml:space="preserve">DIW 2013, Meibom et al. 2011</t>
  </si>
  <si>
    <t xml:space="preserve">DIW 2013, Meibom et al. 2012</t>
  </si>
  <si>
    <t xml:space="preserve">DIW 2013, Meibom et al. 2013</t>
  </si>
  <si>
    <t xml:space="preserve">DIW 2013, Meibom et al. 2014</t>
  </si>
  <si>
    <t xml:space="preserve">DIW 2013, Meibom et al. 2015</t>
  </si>
  <si>
    <t xml:space="preserve">DIW 2013, Meibom et al. 2016</t>
  </si>
  <si>
    <t xml:space="preserve">DIW 2013, Meibom et al. 2017</t>
  </si>
  <si>
    <t xml:space="preserve">DIW 2013, Meibom et al. 2018</t>
  </si>
  <si>
    <t xml:space="preserve">DIW 2013, Meibom et al. 2019</t>
  </si>
  <si>
    <t xml:space="preserve">Steam turbine - ultra-supercritical</t>
  </si>
  <si>
    <t xml:space="preserve">IEA 2016</t>
  </si>
  <si>
    <t xml:space="preserve">DIW 2013 (MIT 2007)</t>
  </si>
  <si>
    <t xml:space="preserve">DIW 2013, Meibom et al. 2020</t>
  </si>
  <si>
    <t xml:space="preserve">DIW 2013, Meibom et al. 2021</t>
  </si>
  <si>
    <t xml:space="preserve">DIW 2013, Meibom et al. 2022</t>
  </si>
  <si>
    <t xml:space="preserve">DIW 2013, Meibom et al. 2023</t>
  </si>
  <si>
    <t xml:space="preserve">DIW 2013, Meibom et al. 2024</t>
  </si>
  <si>
    <t xml:space="preserve">DIW 2013, Meibom et al. 2025</t>
  </si>
  <si>
    <t xml:space="preserve">DIW 2013, Meibom et al. 2026</t>
  </si>
  <si>
    <t xml:space="preserve">DIW 2013, Meibom et al. 2027</t>
  </si>
  <si>
    <t xml:space="preserve">Steam turbine - sub-critical (lignite)</t>
  </si>
  <si>
    <t xml:space="preserve">DIW 2013 (Klobasa et al. 2009) - lignite fired steam power plant, old</t>
  </si>
  <si>
    <t xml:space="preserve">DIW 2013 (Ehlers 2011) - lignite fired steam power plant, old</t>
  </si>
  <si>
    <t xml:space="preserve">Hentschel 2016, lignite fired steam power plant</t>
  </si>
  <si>
    <t xml:space="preserve">van der Bergh and Delarue 2015 (lignite fired steam power plant)</t>
  </si>
  <si>
    <t xml:space="preserve">DIW 2013 (Wagner 2004, Lignite Old)</t>
  </si>
  <si>
    <t xml:space="preserve">DIW 2013 (EWI et al.. 2010, Lignite Old)</t>
  </si>
  <si>
    <t xml:space="preserve">DIW 2013 (Traber &amp; Kemfert 2010)</t>
  </si>
  <si>
    <t xml:space="preserve">DIW 2013,VDE 2012</t>
  </si>
  <si>
    <t xml:space="preserve">Lund et al. 2015</t>
  </si>
  <si>
    <t xml:space="preserve">DIW 2013, Traber &amp; Kemfert 2011</t>
  </si>
  <si>
    <t xml:space="preserve">DIW 2013 (Hundt et al. 2009) - lignite fired steam power plant, old</t>
  </si>
  <si>
    <t xml:space="preserve">Steam turbine - supercritical (lignite)</t>
  </si>
  <si>
    <t xml:space="preserve">DIW 2013 (VDE 2012)</t>
  </si>
  <si>
    <t xml:space="preserve">IEA 2014 lignite fired steam power plant, new)</t>
  </si>
  <si>
    <t xml:space="preserve">van der Bergh and Delarue 2015 lignite fired steam power plant, new)</t>
  </si>
  <si>
    <t xml:space="preserve">DIW 2013 (IEA 2010)</t>
  </si>
  <si>
    <t xml:space="preserve">DIW 2013 (Wagner 2004, Lignite New (BoA))</t>
  </si>
  <si>
    <t xml:space="preserve">DIW 2013 (EWI et al.. 2010, Lignite New (BoA))</t>
  </si>
  <si>
    <t xml:space="preserve">Siemens AG 2010</t>
  </si>
  <si>
    <t xml:space="preserve">Hundt el al. 2009</t>
  </si>
  <si>
    <t xml:space="preserve">Steam turbine - ultra-supercritical (lignite)</t>
  </si>
  <si>
    <t xml:space="preserve">IGCC (Integrateg gasification combined cycle)</t>
  </si>
  <si>
    <t xml:space="preserve">Tidball et al. 2010 Cost and Performance Assumptions for Modeling Electricity Generation Technologies</t>
  </si>
  <si>
    <t xml:space="preserve">Brouwer 2015</t>
  </si>
  <si>
    <t xml:space="preserve">DIW (ECF 2010)</t>
  </si>
  <si>
    <t xml:space="preserve">DIW (IEA 2010)</t>
  </si>
  <si>
    <t xml:space="preserve">Brouwer 2010</t>
  </si>
  <si>
    <t xml:space="preserve">Backpressure steam turbine (CHP)</t>
  </si>
  <si>
    <t xml:space="preserve">Fraunhofer IFAM 2014</t>
  </si>
  <si>
    <t xml:space="preserve">(coal) Bertsch 2016</t>
  </si>
  <si>
    <t xml:space="preserve">(lignite) Bertsch 2016</t>
  </si>
  <si>
    <t xml:space="preserve">Bertsch 2016 (lignite CHP, hard coal CHP)</t>
  </si>
  <si>
    <t xml:space="preserve">DIW 2013 (ECF 2010); many techologies</t>
  </si>
  <si>
    <t xml:space="preserve">Bertsch 2016 (lignite CHP)</t>
  </si>
  <si>
    <t xml:space="preserve">Bertsch 2016 (hard coal CHP)</t>
  </si>
  <si>
    <t xml:space="preserve">Extraction steam turbine (CHP)</t>
  </si>
  <si>
    <t xml:space="preserve">Combined-cycle (aeroderivative)</t>
  </si>
  <si>
    <t xml:space="preserve">L (&gt;=350MW)</t>
  </si>
  <si>
    <t xml:space="preserve">EWI et al. 2010; CCGT </t>
  </si>
  <si>
    <t xml:space="preserve">dena 2008; CCGT</t>
  </si>
  <si>
    <t xml:space="preserve">van der Bergh and Delarue 2015 (CCGT)</t>
  </si>
  <si>
    <t xml:space="preserve">Hentschel 2016 (CCGT)</t>
  </si>
  <si>
    <t xml:space="preserve">DIW 2013 (IEA 2010, CCGT (new))</t>
  </si>
  <si>
    <t xml:space="preserve">DIW 2013 (IEA 2011b, Combined Cycle New)</t>
  </si>
  <si>
    <t xml:space="preserve">DIW 2013 (Capros 2011, Combined Cycle New)</t>
  </si>
  <si>
    <t xml:space="preserve">DIW 2013 (Meibom et al. 2008); like CCGT(heavy - duty)</t>
  </si>
  <si>
    <t xml:space="preserve">DIW 2013 (Kumar et al. 2012 median); like CCGT (heavy duty)</t>
  </si>
  <si>
    <t xml:space="preserve">DIW 2013 (Meibom et al. 2008); like CCGT (heavy - duty)</t>
  </si>
  <si>
    <t xml:space="preserve">DIW 2013 (Traber &amp; Kemfert 2011); like CCGT (heavy - duty)</t>
  </si>
  <si>
    <t xml:space="preserve">M (&gt;=100MW and &lt;350MW)</t>
  </si>
  <si>
    <t xml:space="preserve">EWI et al. 2010; CCGT</t>
  </si>
  <si>
    <t xml:space="preserve">S (&gt;=9MW and &lt;100MW)</t>
  </si>
  <si>
    <t xml:space="preserve">XS (&lt;9MW)</t>
  </si>
  <si>
    <t xml:space="preserve">Combined-cycle (heavy-duty)</t>
  </si>
  <si>
    <t xml:space="preserve">IAE 2014</t>
  </si>
  <si>
    <t xml:space="preserve">ECOFYS 2014 (CCGT old) </t>
  </si>
  <si>
    <t xml:space="preserve">DIW 2013 (Capros 2011, Combined Cycle Old)</t>
  </si>
  <si>
    <t xml:space="preserve">DIW 2013 (Capros 2011)</t>
  </si>
  <si>
    <t xml:space="preserve">DIW 2013, Meibom el al. 2000</t>
  </si>
  <si>
    <t xml:space="preserve">DIW 2013, Meibom el al. 2001</t>
  </si>
  <si>
    <t xml:space="preserve">DIW 2013, Meibom el al. 2002</t>
  </si>
  <si>
    <t xml:space="preserve">DIW 2013, Meibom el al. 2003</t>
  </si>
  <si>
    <t xml:space="preserve">IEA 2014 (CCGT old)</t>
  </si>
  <si>
    <t xml:space="preserve">ECOFYS 2014 (CCGT new) </t>
  </si>
  <si>
    <t xml:space="preserve">IEA 2014 (CCGTnew</t>
  </si>
  <si>
    <t xml:space="preserve">Gas turbine open cycle (aeroderivative)</t>
  </si>
  <si>
    <t xml:space="preserve">ECF 2010; OCGT</t>
  </si>
  <si>
    <t xml:space="preserve">VGB PowerTech 2011b*; OCGT</t>
  </si>
  <si>
    <t xml:space="preserve">Ecofys 2014, DIW 2013</t>
  </si>
  <si>
    <t xml:space="preserve">ECOFYS 2014 (OCGT)</t>
  </si>
  <si>
    <t xml:space="preserve">van der Bergh and Delarue 2015; DIW 2013 (Hundt et al. 2009) - OCGT</t>
  </si>
  <si>
    <t xml:space="preserve">Hentschel 2016 (OCGT)</t>
  </si>
  <si>
    <t xml:space="preserve">van der Bergh and Delarue 2015 (OCGT)</t>
  </si>
  <si>
    <t xml:space="preserve">Brouwer 2015 (OCGT)</t>
  </si>
  <si>
    <t xml:space="preserve">DIW (VGB Powertech 2011)</t>
  </si>
  <si>
    <t xml:space="preserve">Brouwer 2010 (GT)</t>
  </si>
  <si>
    <t xml:space="preserve">Brouwer 2015 (GT)</t>
  </si>
  <si>
    <t xml:space="preserve">DIW 2013 (Kumar et al. 2012 modern); like CCGT(heavy - duty)</t>
  </si>
  <si>
    <t xml:space="preserve">Gas turbine open cycle (heavy-duty)</t>
  </si>
  <si>
    <t xml:space="preserve">IEA 2016 (Gas Turbine)</t>
  </si>
  <si>
    <t xml:space="preserve">DIW 2013 (Wagner 2004)</t>
  </si>
  <si>
    <t xml:space="preserve">EURELECTRIC 2003</t>
  </si>
  <si>
    <t xml:space="preserve">Kunz 2012</t>
  </si>
  <si>
    <t xml:space="preserve">van der Bergh &amp; Delarue 2015</t>
  </si>
  <si>
    <t xml:space="preserve">IEA 2011a</t>
  </si>
  <si>
    <t xml:space="preserve">Steck &amp; Mauch 2006</t>
  </si>
  <si>
    <t xml:space="preserve">van der Bergh and Delarue 2015 (gas fired steam plant))</t>
  </si>
  <si>
    <t xml:space="preserve">van der Bergh and Delarue 2015; DIW 2013 (Schuewer et al. 2010) - gas fired steam plant</t>
  </si>
  <si>
    <t xml:space="preserve">Steck &amp; Mauch 2007</t>
  </si>
  <si>
    <t xml:space="preserve">Steck &amp; Mauch 2008</t>
  </si>
  <si>
    <t xml:space="preserve">Steck &amp; Mauch 2009</t>
  </si>
  <si>
    <t xml:space="preserve">L (&gt;=10MW)</t>
  </si>
  <si>
    <t xml:space="preserve">VGB PowerTech 2011b*</t>
  </si>
  <si>
    <t xml:space="preserve">M (&gt;=5MW and &lt;10MW)</t>
  </si>
  <si>
    <t xml:space="preserve">S (&gt;=2MW and &lt;5MW)</t>
  </si>
  <si>
    <t xml:space="preserve">XS (&lt;2MW)</t>
  </si>
  <si>
    <t xml:space="preserve">CCGT (CHP)</t>
  </si>
  <si>
    <t xml:space="preserve">Study of Parliament Group 1992-2001</t>
  </si>
  <si>
    <t xml:space="preserve">Industrial Efficiency Technology Database 2010</t>
  </si>
  <si>
    <t xml:space="preserve">ECF 2010</t>
  </si>
  <si>
    <t xml:space="preserve">DIW 2013 (ECF 2010)</t>
  </si>
  <si>
    <t xml:space="preserve">Gas turbine (CHP)</t>
  </si>
  <si>
    <t xml:space="preserve">US EPA, 2014/15 Catalog of CHP Technologies</t>
  </si>
  <si>
    <t xml:space="preserve">US EPA 2014/15</t>
  </si>
  <si>
    <t xml:space="preserve">Internal combustion (CHP)</t>
  </si>
  <si>
    <t xml:space="preserve">https://powergen.gepower.com/products/reciprocating-engines.html</t>
  </si>
  <si>
    <t xml:space="preserve">US EPA 2015</t>
  </si>
  <si>
    <t xml:space="preserve">Bureau of Energy Efficiency </t>
  </si>
  <si>
    <t xml:space="preserve">PWR (Pressurized water reactor)</t>
  </si>
  <si>
    <t xml:space="preserve">L (&gt;=750MW)</t>
  </si>
  <si>
    <t xml:space="preserve">Bertsch 2016, Siemens 2010</t>
  </si>
  <si>
    <t xml:space="preserve">Siemens 2010</t>
  </si>
  <si>
    <t xml:space="preserve">ECOFYS 2014</t>
  </si>
  <si>
    <t xml:space="preserve">DIW 2013 (Ehlers 2011)</t>
  </si>
  <si>
    <t xml:space="preserve">DIW 2013 (Schuewer et al. 2010) </t>
  </si>
  <si>
    <t xml:space="preserve">DIW 2013 (Severance 2009)</t>
  </si>
  <si>
    <t xml:space="preserve">DIW 2013 (Risto &amp; Kivisto 2008)</t>
  </si>
  <si>
    <t xml:space="preserve">DIW 2-13 (dena 2005)</t>
  </si>
  <si>
    <t xml:space="preserve">Black &amp; Veatch 2012</t>
  </si>
  <si>
    <t xml:space="preserve">Grimm 2007</t>
  </si>
  <si>
    <t xml:space="preserve">M (&lt;750MW)</t>
  </si>
  <si>
    <t xml:space="preserve">BWR (Boiling water reactor)</t>
  </si>
  <si>
    <t xml:space="preserve">Bertsch , 2016, EURELETRIC 2003</t>
  </si>
  <si>
    <t xml:space="preserve">DIW 2013 (PIK 2011)</t>
  </si>
  <si>
    <t xml:space="preserve">DIW 2013 (Peter &amp; Lehmann 2008)</t>
  </si>
  <si>
    <t xml:space="preserve">DIW 2013 (DLR &amp; SRU 2010)</t>
  </si>
  <si>
    <t xml:space="preserve">Back-pressure steam turbine (CHP)</t>
  </si>
  <si>
    <t xml:space="preserve">Organic Rankine-cycle (CHP)</t>
  </si>
  <si>
    <t xml:space="preserve">DIW 2013 (Nagi 2012)</t>
  </si>
  <si>
    <t xml:space="preserve">Yingjan et al., 2014</t>
  </si>
  <si>
    <t xml:space="preserve">Conventional hyrdoeletric turbine</t>
  </si>
  <si>
    <t xml:space="preserve">L (&gt;=30MW)</t>
  </si>
  <si>
    <t xml:space="preserve">IRENA 2014-15</t>
  </si>
  <si>
    <t xml:space="preserve">DIW 2013 (VGB PowerTech 2011)</t>
  </si>
  <si>
    <t xml:space="preserve">DIW 2013 (Wissel 2008)</t>
  </si>
  <si>
    <t xml:space="preserve">IEA 2016 (Hydro, large)</t>
  </si>
  <si>
    <t xml:space="preserve">IRENA 2015 (Large hydro &gt;10MWe)</t>
  </si>
  <si>
    <t xml:space="preserve">M (&gt;=10MW and &lt;30MW)</t>
  </si>
  <si>
    <t xml:space="preserve">IRENA 2015 (Small hydro 1-10MWe)</t>
  </si>
  <si>
    <t xml:space="preserve">IEA 2016 (Hydro, small)</t>
  </si>
  <si>
    <t xml:space="preserve">XS (&lt;1MW)</t>
  </si>
  <si>
    <t xml:space="preserve">IRENA 2015 (Very small hydro, up to 1 MWe)</t>
  </si>
  <si>
    <t xml:space="preserve">L (&gt;=75MW)</t>
  </si>
  <si>
    <t xml:space="preserve">DIW 2013 (IEA 2011)</t>
  </si>
  <si>
    <t xml:space="preserve">M (&gt;=10MW and &lt;75MW)</t>
  </si>
  <si>
    <t xml:space="preserve">IEA 2014</t>
  </si>
  <si>
    <t xml:space="preserve">DIW 2013 (EWI 2012)</t>
  </si>
  <si>
    <t xml:space="preserve">EIA  2013</t>
  </si>
  <si>
    <t xml:space="preserve">Pelc, Fujita, 2002, Renewable energy from the ocean</t>
  </si>
  <si>
    <t xml:space="preserve">DIW 2013 (Black &amp; Veatch 2012)</t>
  </si>
  <si>
    <t xml:space="preserve">Photovoltaic (RESIDENTIAL ROOFTOP)</t>
  </si>
  <si>
    <t xml:space="preserve">XS (&lt;0.01MW)</t>
  </si>
  <si>
    <t xml:space="preserve">Photovoltaic (COMMERCIAL ROOFTOP)</t>
  </si>
  <si>
    <t xml:space="preserve">S (&gt;=0.01MW and &lt;0.5MW)</t>
  </si>
  <si>
    <t xml:space="preserve">Photovoltaic (UTILITY SCALE)</t>
  </si>
  <si>
    <t xml:space="preserve">L (&gt;=1MW and &lt;100MW)</t>
  </si>
  <si>
    <t xml:space="preserve">Photovoltaic (VERY LARGE SCALE)</t>
  </si>
  <si>
    <t xml:space="preserve">L (&gt;=100MW)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</si>
</sst>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0.000"/>
    <numFmt numFmtId="167" formatCode="General"/>
    <numFmt numFmtId="168" formatCode="0.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2"/>
      <color rgb="FFFFFF00"/>
      <name val="Calibri"/>
      <family val="2"/>
      <charset val="1"/>
    </font>
    <font>
      <sz val="13"/>
      <color rgb="FF000000"/>
      <name val="Calibri"/>
      <family val="2"/>
      <charset val="1"/>
    </font>
    <font>
      <sz val="11"/>
      <color rgb="FF000000"/>
      <name val="Symbol"/>
      <family val="1"/>
      <charset val="2"/>
    </font>
    <font>
      <b val="true"/>
      <sz val="13"/>
      <color rgb="FF44546A"/>
      <name val="Calibri"/>
      <family val="2"/>
      <charset val="1"/>
    </font>
    <font>
      <sz val="11"/>
      <name val="Calibri"/>
      <family val="2"/>
      <charset val="1"/>
    </font>
    <font>
      <sz val="20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546A"/>
      </patternFill>
    </fill>
    <fill>
      <patternFill patternType="solid">
        <fgColor rgb="FFFBE5D6"/>
        <bgColor rgb="FFE2F0D9"/>
      </patternFill>
    </fill>
    <fill>
      <patternFill patternType="solid">
        <fgColor rgb="FFE2F0D9"/>
        <bgColor rgb="FFDEE6EF"/>
      </patternFill>
    </fill>
    <fill>
      <patternFill patternType="solid">
        <fgColor rgb="FFD9D9D9"/>
        <bgColor rgb="FFDDDDDD"/>
      </patternFill>
    </fill>
    <fill>
      <patternFill patternType="solid">
        <fgColor rgb="FFDEEBF7"/>
        <bgColor rgb="FFDEE6EF"/>
      </patternFill>
    </fill>
    <fill>
      <patternFill patternType="solid">
        <fgColor rgb="FFA9D18E"/>
        <bgColor rgb="FFADCDEA"/>
      </patternFill>
    </fill>
    <fill>
      <patternFill patternType="solid">
        <fgColor rgb="FFDEE6EF"/>
        <bgColor rgb="FFDEEBF7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2F0D9"/>
      </patternFill>
    </fill>
    <fill>
      <patternFill patternType="solid">
        <fgColor rgb="FFFFC000"/>
        <bgColor rgb="FFFF9900"/>
      </patternFill>
    </fill>
  </fills>
  <borders count="72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ADCDEA"/>
      </bottom>
      <diagonal/>
    </border>
    <border diagonalUp="false" diagonalDown="false">
      <left style="thin"/>
      <right style="dashed"/>
      <top style="thin"/>
      <bottom style="dashed"/>
      <diagonal/>
    </border>
    <border diagonalUp="false" diagonalDown="false">
      <left style="dashed"/>
      <right style="dashed"/>
      <top style="thin"/>
      <bottom style="dashed"/>
      <diagonal/>
    </border>
    <border diagonalUp="false" diagonalDown="false">
      <left style="dashed"/>
      <right style="thin"/>
      <top style="thin"/>
      <bottom style="dashed"/>
      <diagonal/>
    </border>
    <border diagonalUp="false" diagonalDown="false">
      <left style="thin"/>
      <right style="dashed"/>
      <top style="dashed"/>
      <bottom style="dashed"/>
      <diagonal/>
    </border>
    <border diagonalUp="false" diagonalDown="false">
      <left style="dashed"/>
      <right style="dashed"/>
      <top style="dashed"/>
      <bottom style="dashed"/>
      <diagonal/>
    </border>
    <border diagonalUp="false" diagonalDown="false">
      <left style="dashed"/>
      <right style="thin"/>
      <top style="dashed"/>
      <bottom style="dashed"/>
      <diagonal/>
    </border>
    <border diagonalUp="false" diagonalDown="false">
      <left style="thin"/>
      <right style="dotted"/>
      <top style="thin"/>
      <bottom style="thin"/>
      <diagonal/>
    </border>
    <border diagonalUp="false" diagonalDown="false">
      <left style="dotted"/>
      <right style="dotted"/>
      <top style="thin"/>
      <bottom style="dotted"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 style="dotted"/>
      <right style="thin"/>
      <top style="thin"/>
      <bottom style="dotted"/>
      <diagonal/>
    </border>
    <border diagonalUp="false" diagonalDown="false">
      <left style="dotted"/>
      <right style="thin"/>
      <top style="dotted"/>
      <bottom style="dotted"/>
      <diagonal/>
    </border>
    <border diagonalUp="false" diagonalDown="false">
      <left style="dotted"/>
      <right style="dotted"/>
      <top style="dotted"/>
      <bottom style="thin"/>
      <diagonal/>
    </border>
    <border diagonalUp="false" diagonalDown="false">
      <left style="dotted"/>
      <right style="thin"/>
      <top style="dotted"/>
      <bottom style="thin"/>
      <diagonal/>
    </border>
    <border diagonalUp="false" diagonalDown="false">
      <left style="dotted"/>
      <right style="dotted"/>
      <top style="thin"/>
      <bottom style="thin"/>
      <diagonal/>
    </border>
    <border diagonalUp="false" diagonalDown="false">
      <left style="dotted"/>
      <right/>
      <top style="thin"/>
      <bottom style="dotted"/>
      <diagonal/>
    </border>
    <border diagonalUp="false" diagonalDown="false">
      <left/>
      <right/>
      <top style="thin"/>
      <bottom style="dotted"/>
      <diagonal/>
    </border>
    <border diagonalUp="false" diagonalDown="false">
      <left/>
      <right style="dotted"/>
      <top style="thin"/>
      <bottom style="dotted"/>
      <diagonal/>
    </border>
    <border diagonalUp="false" diagonalDown="false">
      <left style="dotted"/>
      <right/>
      <top style="thin"/>
      <bottom/>
      <diagonal/>
    </border>
    <border diagonalUp="false" diagonalDown="false">
      <left style="dotted"/>
      <right/>
      <top style="dotted"/>
      <bottom style="dotted"/>
      <diagonal/>
    </border>
    <border diagonalUp="false" diagonalDown="false">
      <left style="dotted"/>
      <right style="dotted"/>
      <top/>
      <bottom style="dotted"/>
      <diagonal/>
    </border>
    <border diagonalUp="false" diagonalDown="false">
      <left/>
      <right/>
      <top style="dotted"/>
      <bottom style="dotted"/>
      <diagonal/>
    </border>
    <border diagonalUp="false" diagonalDown="false">
      <left style="dotted"/>
      <right style="dotted"/>
      <top/>
      <bottom/>
      <diagonal/>
    </border>
    <border diagonalUp="false" diagonalDown="false">
      <left/>
      <right style="dotted"/>
      <top style="dotted"/>
      <bottom style="dotted"/>
      <diagonal/>
    </border>
    <border diagonalUp="false" diagonalDown="false">
      <left style="dotted"/>
      <right/>
      <top style="dotted"/>
      <bottom/>
      <diagonal/>
    </border>
    <border diagonalUp="false" diagonalDown="false">
      <left style="dotted"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applyFont="true" applyBorder="true" applyAlignment="true" applyProtection="false">
      <alignment horizontal="general" vertical="bottom" textRotation="0" wrapText="false" indent="0" shrinkToFit="false"/>
    </xf>
  </cellStyleXfs>
  <cellXfs count="3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9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4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4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0" fillId="4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0" fillId="4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4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4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1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1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9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6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2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3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4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4" borderId="2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2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1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2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2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2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2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3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3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3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3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3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3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3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3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3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3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3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3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3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4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4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3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4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4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4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4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3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4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4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4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4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4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4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4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4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4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5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4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5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5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5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5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4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4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4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4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4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4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4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5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5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4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4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5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4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5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5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4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4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4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5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3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3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5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3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3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3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3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4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5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5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5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5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4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5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5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3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5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5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5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6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6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5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6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3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5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6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3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6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5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3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6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5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3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3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3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4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4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5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5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4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5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4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5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5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4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4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4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5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6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6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6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6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3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3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4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4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64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6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6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5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6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6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6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6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5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6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6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5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6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4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4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6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6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4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4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6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4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4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4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4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6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4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4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5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6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4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5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6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4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6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6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6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4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5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6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6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7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7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ny 3" xfId="20"/>
    <cellStyle name="Excel Built-in Heading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BE5D6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6EF"/>
      <rgbColor rgb="FFE2F0D9"/>
      <rgbColor rgb="FFFFFF99"/>
      <rgbColor rgb="FFADCDEA"/>
      <rgbColor rgb="FFFF99CC"/>
      <rgbColor rgb="FFCC99FF"/>
      <rgbColor rgb="FFDDDDDD"/>
      <rgbColor rgb="FF4472C4"/>
      <rgbColor rgb="FF33CCCC"/>
      <rgbColor rgb="FF99CC00"/>
      <rgbColor rgb="FFFFC000"/>
      <rgbColor rgb="FFFF9900"/>
      <rgbColor rgb="FFED7D31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4472C4"/>
    <pageSetUpPr fitToPage="false"/>
  </sheetPr>
  <dimension ref="B2:CJ278"/>
  <sheetViews>
    <sheetView showFormulas="false" showGridLines="true" showRowColHeaders="true" showZeros="true" rightToLeft="false" tabSelected="true" showOutlineSymbols="true" defaultGridColor="true" view="normal" topLeftCell="B1" colorId="64" zoomScale="55" zoomScaleNormal="55" zoomScalePageLayoutView="100" workbookViewId="0">
      <pane xSplit="5" ySplit="4" topLeftCell="AC213" activePane="bottomRight" state="frozen"/>
      <selection pane="topLeft" activeCell="B1" activeCellId="0" sqref="B1"/>
      <selection pane="topRight" activeCell="AC1" activeCellId="0" sqref="AC1"/>
      <selection pane="bottomLeft" activeCell="B213" activeCellId="0" sqref="B213"/>
      <selection pane="bottomRight" activeCell="AS230" activeCellId="0" sqref="AS230"/>
    </sheetView>
  </sheetViews>
  <sheetFormatPr defaultColWidth="9.171875" defaultRowHeight="13.8" zeroHeight="false" outlineLevelRow="0" outlineLevelCol="0"/>
  <cols>
    <col collapsed="false" customWidth="true" hidden="false" outlineLevel="0" max="2" min="2" style="0" width="29.26"/>
    <col collapsed="false" customWidth="true" hidden="false" outlineLevel="0" max="3" min="3" style="0" width="26.06"/>
    <col collapsed="false" customWidth="true" hidden="false" outlineLevel="0" max="4" min="4" style="0" width="23.25"/>
    <col collapsed="false" customWidth="true" hidden="false" outlineLevel="0" max="5" min="5" style="0" width="9.63"/>
    <col collapsed="false" customWidth="true" hidden="false" outlineLevel="0" max="6" min="6" style="0" width="32.27"/>
    <col collapsed="false" customWidth="true" hidden="false" outlineLevel="0" max="7" min="7" style="0" width="14.02"/>
    <col collapsed="false" customWidth="true" hidden="false" outlineLevel="0" max="10" min="8" style="0" width="6.82"/>
    <col collapsed="false" customWidth="true" hidden="false" outlineLevel="0" max="11" min="11" style="0" width="7.42"/>
    <col collapsed="false" customWidth="true" hidden="false" outlineLevel="0" max="12" min="12" style="0" width="6.82"/>
    <col collapsed="false" customWidth="true" hidden="false" outlineLevel="0" max="13" min="13" style="0" width="7.42"/>
    <col collapsed="false" customWidth="true" hidden="false" outlineLevel="0" max="16" min="14" style="0" width="6.82"/>
    <col collapsed="false" customWidth="true" hidden="false" outlineLevel="0" max="17" min="17" style="0" width="7.42"/>
    <col collapsed="false" customWidth="true" hidden="false" outlineLevel="0" max="18" min="18" style="0" width="6.82"/>
    <col collapsed="false" customWidth="true" hidden="false" outlineLevel="0" max="19" min="19" style="0" width="7.42"/>
    <col collapsed="false" customWidth="true" hidden="false" outlineLevel="0" max="20" min="20" style="0" width="5.81"/>
    <col collapsed="false" customWidth="true" hidden="false" outlineLevel="0" max="21" min="21" style="0" width="6.4"/>
    <col collapsed="false" customWidth="true" hidden="false" outlineLevel="0" max="23" min="22" style="0" width="5.81"/>
    <col collapsed="false" customWidth="true" hidden="false" outlineLevel="0" max="24" min="24" style="0" width="6.4"/>
    <col collapsed="false" customWidth="true" hidden="false" outlineLevel="0" max="25" min="25" style="0" width="5.81"/>
    <col collapsed="false" customWidth="true" hidden="false" outlineLevel="0" max="26" min="26" style="0" width="5.21"/>
    <col collapsed="false" customWidth="true" hidden="false" outlineLevel="0" max="27" min="27" style="0" width="6.4"/>
    <col collapsed="false" customWidth="true" hidden="false" outlineLevel="0" max="28" min="28" style="0" width="5.81"/>
    <col collapsed="false" customWidth="true" hidden="false" outlineLevel="0" max="29" min="29" style="0" width="7.42"/>
    <col collapsed="false" customWidth="true" hidden="false" outlineLevel="0" max="30" min="30" style="0" width="6.82"/>
    <col collapsed="false" customWidth="true" hidden="false" outlineLevel="0" max="31" min="31" style="0" width="7.42"/>
    <col collapsed="false" customWidth="true" hidden="false" outlineLevel="0" max="32" min="32" style="0" width="8.02"/>
    <col collapsed="false" customWidth="true" hidden="false" outlineLevel="0" max="33" min="33" style="0" width="6.4"/>
    <col collapsed="false" customWidth="true" hidden="false" outlineLevel="0" max="34" min="34" style="0" width="8.02"/>
    <col collapsed="false" customWidth="true" hidden="false" outlineLevel="0" max="35" min="35" style="0" width="7.42"/>
    <col collapsed="false" customWidth="true" hidden="false" outlineLevel="0" max="36" min="36" style="0" width="6.82"/>
    <col collapsed="false" customWidth="true" hidden="false" outlineLevel="0" max="37" min="37" style="0" width="7.42"/>
    <col collapsed="false" customWidth="true" hidden="false" outlineLevel="0" max="38" min="38" style="0" width="8.02"/>
    <col collapsed="false" customWidth="true" hidden="false" outlineLevel="0" max="39" min="39" style="0" width="6.82"/>
    <col collapsed="false" customWidth="true" hidden="false" outlineLevel="0" max="40" min="40" style="0" width="8.02"/>
    <col collapsed="false" customWidth="true" hidden="false" outlineLevel="0" max="41" min="41" style="0" width="7.42"/>
    <col collapsed="false" customWidth="true" hidden="false" outlineLevel="0" max="42" min="42" style="0" width="6.4"/>
    <col collapsed="false" customWidth="true" hidden="false" outlineLevel="0" max="44" min="43" style="0" width="7.42"/>
    <col collapsed="false" customWidth="true" hidden="false" outlineLevel="0" max="45" min="45" style="0" width="6.4"/>
    <col collapsed="false" customWidth="true" hidden="false" outlineLevel="0" max="46" min="46" style="0" width="7.42"/>
    <col collapsed="false" customWidth="true" hidden="false" outlineLevel="0" max="47" min="47" style="0" width="8.02"/>
    <col collapsed="false" customWidth="true" hidden="false" outlineLevel="0" max="48" min="48" style="0" width="6.82"/>
    <col collapsed="false" customWidth="true" hidden="false" outlineLevel="0" max="49" min="49" style="0" width="8.02"/>
    <col collapsed="false" customWidth="true" hidden="false" outlineLevel="0" max="50" min="50" style="0" width="7.42"/>
    <col collapsed="false" customWidth="true" hidden="false" outlineLevel="0" max="51" min="51" style="0" width="6.4"/>
    <col collapsed="false" customWidth="true" hidden="false" outlineLevel="0" max="52" min="52" style="0" width="7.42"/>
    <col collapsed="false" customWidth="true" hidden="false" outlineLevel="0" max="53" min="53" style="0" width="8.02"/>
    <col collapsed="false" customWidth="true" hidden="false" outlineLevel="0" max="54" min="54" style="0" width="6.4"/>
    <col collapsed="false" customWidth="true" hidden="false" outlineLevel="0" max="55" min="55" style="0" width="8.02"/>
    <col collapsed="false" customWidth="true" hidden="false" outlineLevel="0" max="56" min="56" style="0" width="7.42"/>
    <col collapsed="false" customWidth="true" hidden="false" outlineLevel="0" max="57" min="57" style="0" width="6.4"/>
    <col collapsed="false" customWidth="true" hidden="false" outlineLevel="0" max="58" min="58" style="0" width="7.42"/>
    <col collapsed="false" customWidth="true" hidden="false" outlineLevel="0" max="59" min="59" style="0" width="8.02"/>
    <col collapsed="false" customWidth="true" hidden="false" outlineLevel="0" max="60" min="60" style="0" width="6.4"/>
    <col collapsed="false" customWidth="true" hidden="false" outlineLevel="0" max="61" min="61" style="0" width="8.02"/>
    <col collapsed="false" customWidth="true" hidden="false" outlineLevel="0" max="62" min="62" style="0" width="7.42"/>
    <col collapsed="false" customWidth="true" hidden="false" outlineLevel="0" max="63" min="63" style="0" width="6.82"/>
    <col collapsed="false" customWidth="true" hidden="false" outlineLevel="0" max="64" min="64" style="0" width="7.42"/>
    <col collapsed="false" customWidth="true" hidden="false" outlineLevel="0" max="65" min="65" style="0" width="8.02"/>
    <col collapsed="false" customWidth="true" hidden="false" outlineLevel="0" max="66" min="66" style="0" width="6.4"/>
    <col collapsed="false" customWidth="true" hidden="false" outlineLevel="0" max="67" min="67" style="0" width="8.02"/>
    <col collapsed="false" customWidth="true" hidden="false" outlineLevel="0" max="76" min="68" style="0" width="11.83"/>
    <col collapsed="false" customWidth="true" hidden="false" outlineLevel="0" max="77" min="77" style="0" width="5.21"/>
    <col collapsed="false" customWidth="true" hidden="false" outlineLevel="0" max="78" min="78" style="0" width="7.42"/>
    <col collapsed="false" customWidth="true" hidden="false" outlineLevel="0" max="79" min="79" style="0" width="5.81"/>
    <col collapsed="false" customWidth="true" hidden="false" outlineLevel="0" max="80" min="80" style="0" width="5.21"/>
    <col collapsed="false" customWidth="true" hidden="false" outlineLevel="0" max="81" min="81" style="0" width="7.42"/>
    <col collapsed="false" customWidth="true" hidden="false" outlineLevel="0" max="82" min="82" style="0" width="5.81"/>
    <col collapsed="false" customWidth="true" hidden="false" outlineLevel="0" max="83" min="83" style="0" width="5.21"/>
    <col collapsed="false" customWidth="true" hidden="false" outlineLevel="0" max="84" min="84" style="0" width="7.42"/>
    <col collapsed="false" customWidth="true" hidden="false" outlineLevel="0" max="85" min="85" style="0" width="5.81"/>
  </cols>
  <sheetData>
    <row r="2" s="1" customFormat="true" ht="43.5" hidden="false" customHeight="true" outlineLevel="0" collapsed="false">
      <c r="B2" s="2" t="s">
        <v>0</v>
      </c>
      <c r="C2" s="2"/>
      <c r="D2" s="2"/>
      <c r="E2" s="2"/>
      <c r="F2" s="2"/>
      <c r="G2" s="3"/>
      <c r="H2" s="4" t="s">
        <v>1</v>
      </c>
      <c r="I2" s="4"/>
      <c r="J2" s="4"/>
      <c r="K2" s="5" t="s">
        <v>2</v>
      </c>
      <c r="L2" s="5"/>
      <c r="M2" s="5"/>
      <c r="N2" s="4" t="s">
        <v>3</v>
      </c>
      <c r="O2" s="4"/>
      <c r="P2" s="4"/>
      <c r="Q2" s="5" t="s">
        <v>4</v>
      </c>
      <c r="R2" s="5"/>
      <c r="S2" s="5"/>
      <c r="T2" s="6" t="s">
        <v>5</v>
      </c>
      <c r="U2" s="6"/>
      <c r="V2" s="6"/>
      <c r="W2" s="5" t="s">
        <v>6</v>
      </c>
      <c r="X2" s="5"/>
      <c r="Y2" s="5"/>
      <c r="Z2" s="6" t="s">
        <v>7</v>
      </c>
      <c r="AA2" s="6"/>
      <c r="AB2" s="6"/>
      <c r="AC2" s="5" t="s">
        <v>8</v>
      </c>
      <c r="AD2" s="5"/>
      <c r="AE2" s="5"/>
      <c r="AF2" s="6" t="s">
        <v>9</v>
      </c>
      <c r="AG2" s="6"/>
      <c r="AH2" s="6"/>
      <c r="AI2" s="5" t="s">
        <v>10</v>
      </c>
      <c r="AJ2" s="5"/>
      <c r="AK2" s="5"/>
      <c r="AL2" s="6" t="s">
        <v>11</v>
      </c>
      <c r="AM2" s="6"/>
      <c r="AN2" s="6"/>
      <c r="AO2" s="5" t="s">
        <v>12</v>
      </c>
      <c r="AP2" s="5"/>
      <c r="AQ2" s="5"/>
      <c r="AR2" s="6" t="s">
        <v>13</v>
      </c>
      <c r="AS2" s="6"/>
      <c r="AT2" s="6"/>
      <c r="AU2" s="5" t="s">
        <v>14</v>
      </c>
      <c r="AV2" s="5"/>
      <c r="AW2" s="5"/>
      <c r="AX2" s="6" t="s">
        <v>15</v>
      </c>
      <c r="AY2" s="6"/>
      <c r="AZ2" s="6"/>
      <c r="BA2" s="5" t="s">
        <v>16</v>
      </c>
      <c r="BB2" s="5"/>
      <c r="BC2" s="5"/>
      <c r="BD2" s="6" t="s">
        <v>17</v>
      </c>
      <c r="BE2" s="6"/>
      <c r="BF2" s="6"/>
      <c r="BG2" s="5" t="s">
        <v>18</v>
      </c>
      <c r="BH2" s="5"/>
      <c r="BI2" s="5"/>
      <c r="BJ2" s="6" t="s">
        <v>19</v>
      </c>
      <c r="BK2" s="6"/>
      <c r="BL2" s="6"/>
      <c r="BM2" s="5" t="s">
        <v>20</v>
      </c>
      <c r="BN2" s="5"/>
      <c r="BO2" s="5"/>
      <c r="BP2" s="6" t="s">
        <v>21</v>
      </c>
      <c r="BQ2" s="6"/>
      <c r="BR2" s="6"/>
      <c r="BS2" s="7" t="s">
        <v>22</v>
      </c>
      <c r="BT2" s="7"/>
      <c r="BU2" s="7"/>
      <c r="BV2" s="6" t="s">
        <v>23</v>
      </c>
      <c r="BW2" s="6"/>
      <c r="BX2" s="6"/>
      <c r="BY2" s="7" t="s">
        <v>24</v>
      </c>
      <c r="BZ2" s="7"/>
      <c r="CA2" s="7"/>
      <c r="CB2" s="6" t="s">
        <v>25</v>
      </c>
      <c r="CC2" s="6"/>
      <c r="CD2" s="6"/>
      <c r="CE2" s="7" t="s">
        <v>26</v>
      </c>
      <c r="CF2" s="7"/>
      <c r="CG2" s="7"/>
    </row>
    <row r="3" s="8" customFormat="true" ht="66.45" hidden="false" customHeight="false" outlineLevel="0" collapsed="false">
      <c r="G3" s="9"/>
      <c r="H3" s="10" t="s">
        <v>27</v>
      </c>
      <c r="I3" s="11" t="s">
        <v>27</v>
      </c>
      <c r="J3" s="11" t="s">
        <v>27</v>
      </c>
      <c r="K3" s="12" t="s">
        <v>27</v>
      </c>
      <c r="L3" s="12" t="s">
        <v>27</v>
      </c>
      <c r="M3" s="12" t="s">
        <v>27</v>
      </c>
      <c r="N3" s="10" t="s">
        <v>27</v>
      </c>
      <c r="O3" s="11" t="s">
        <v>27</v>
      </c>
      <c r="P3" s="11" t="s">
        <v>27</v>
      </c>
      <c r="Q3" s="12" t="s">
        <v>27</v>
      </c>
      <c r="R3" s="12" t="s">
        <v>27</v>
      </c>
      <c r="S3" s="12" t="s">
        <v>27</v>
      </c>
      <c r="T3" s="11" t="s">
        <v>27</v>
      </c>
      <c r="U3" s="11" t="s">
        <v>27</v>
      </c>
      <c r="V3" s="11" t="s">
        <v>27</v>
      </c>
      <c r="W3" s="12" t="s">
        <v>27</v>
      </c>
      <c r="X3" s="12" t="s">
        <v>27</v>
      </c>
      <c r="Y3" s="12" t="s">
        <v>27</v>
      </c>
      <c r="Z3" s="11" t="s">
        <v>27</v>
      </c>
      <c r="AA3" s="11" t="s">
        <v>27</v>
      </c>
      <c r="AB3" s="11" t="s">
        <v>27</v>
      </c>
      <c r="AC3" s="12" t="s">
        <v>28</v>
      </c>
      <c r="AD3" s="12" t="s">
        <v>28</v>
      </c>
      <c r="AE3" s="12" t="s">
        <v>28</v>
      </c>
      <c r="AF3" s="11" t="s">
        <v>29</v>
      </c>
      <c r="AG3" s="11" t="s">
        <v>29</v>
      </c>
      <c r="AH3" s="11" t="s">
        <v>29</v>
      </c>
      <c r="AI3" s="12" t="s">
        <v>30</v>
      </c>
      <c r="AJ3" s="12" t="s">
        <v>31</v>
      </c>
      <c r="AK3" s="12" t="s">
        <v>31</v>
      </c>
      <c r="AL3" s="11" t="s">
        <v>31</v>
      </c>
      <c r="AM3" s="11" t="s">
        <v>31</v>
      </c>
      <c r="AN3" s="11" t="s">
        <v>31</v>
      </c>
      <c r="AO3" s="12" t="s">
        <v>32</v>
      </c>
      <c r="AP3" s="12" t="s">
        <v>32</v>
      </c>
      <c r="AQ3" s="12" t="s">
        <v>32</v>
      </c>
      <c r="AR3" s="11" t="s">
        <v>32</v>
      </c>
      <c r="AS3" s="11" t="s">
        <v>32</v>
      </c>
      <c r="AT3" s="11" t="s">
        <v>32</v>
      </c>
      <c r="AU3" s="12" t="s">
        <v>33</v>
      </c>
      <c r="AV3" s="12" t="s">
        <v>33</v>
      </c>
      <c r="AW3" s="12" t="s">
        <v>33</v>
      </c>
      <c r="AX3" s="11" t="s">
        <v>34</v>
      </c>
      <c r="AY3" s="11" t="s">
        <v>34</v>
      </c>
      <c r="AZ3" s="11" t="s">
        <v>34</v>
      </c>
      <c r="BA3" s="12" t="s">
        <v>35</v>
      </c>
      <c r="BB3" s="12" t="s">
        <v>35</v>
      </c>
      <c r="BC3" s="12" t="s">
        <v>35</v>
      </c>
      <c r="BD3" s="11" t="s">
        <v>36</v>
      </c>
      <c r="BE3" s="11" t="s">
        <v>36</v>
      </c>
      <c r="BF3" s="11" t="s">
        <v>36</v>
      </c>
      <c r="BG3" s="12" t="s">
        <v>36</v>
      </c>
      <c r="BH3" s="12" t="s">
        <v>36</v>
      </c>
      <c r="BI3" s="12" t="s">
        <v>36</v>
      </c>
      <c r="BJ3" s="11" t="s">
        <v>36</v>
      </c>
      <c r="BK3" s="11" t="s">
        <v>36</v>
      </c>
      <c r="BL3" s="11" t="s">
        <v>36</v>
      </c>
      <c r="BM3" s="12" t="s">
        <v>36</v>
      </c>
      <c r="BN3" s="12" t="s">
        <v>36</v>
      </c>
      <c r="BO3" s="12" t="s">
        <v>36</v>
      </c>
      <c r="BP3" s="11" t="s">
        <v>37</v>
      </c>
      <c r="BQ3" s="11" t="s">
        <v>37</v>
      </c>
      <c r="BR3" s="11" t="s">
        <v>37</v>
      </c>
      <c r="BS3" s="12" t="s">
        <v>32</v>
      </c>
      <c r="BT3" s="12" t="s">
        <v>32</v>
      </c>
      <c r="BU3" s="13" t="s">
        <v>32</v>
      </c>
      <c r="BV3" s="11" t="s">
        <v>32</v>
      </c>
      <c r="BW3" s="11" t="s">
        <v>32</v>
      </c>
      <c r="BX3" s="11" t="s">
        <v>32</v>
      </c>
      <c r="BY3" s="12" t="s">
        <v>38</v>
      </c>
      <c r="BZ3" s="12" t="s">
        <v>38</v>
      </c>
      <c r="CA3" s="12" t="s">
        <v>38</v>
      </c>
      <c r="CB3" s="11" t="s">
        <v>39</v>
      </c>
      <c r="CC3" s="11" t="s">
        <v>39</v>
      </c>
      <c r="CD3" s="11" t="s">
        <v>39</v>
      </c>
      <c r="CE3" s="12" t="s">
        <v>40</v>
      </c>
      <c r="CF3" s="12" t="s">
        <v>40</v>
      </c>
      <c r="CG3" s="12" t="s">
        <v>40</v>
      </c>
    </row>
    <row r="4" customFormat="false" ht="37.5" hidden="false" customHeight="true" outlineLevel="0" collapsed="false">
      <c r="B4" s="14" t="s">
        <v>41</v>
      </c>
      <c r="C4" s="14" t="s">
        <v>42</v>
      </c>
      <c r="D4" s="14" t="s">
        <v>43</v>
      </c>
      <c r="E4" s="14" t="s">
        <v>44</v>
      </c>
      <c r="F4" s="14" t="s">
        <v>45</v>
      </c>
      <c r="G4" s="15" t="s">
        <v>46</v>
      </c>
      <c r="H4" s="16" t="s">
        <v>47</v>
      </c>
      <c r="I4" s="16" t="s">
        <v>48</v>
      </c>
      <c r="J4" s="16" t="s">
        <v>49</v>
      </c>
      <c r="K4" s="17" t="s">
        <v>47</v>
      </c>
      <c r="L4" s="17" t="s">
        <v>48</v>
      </c>
      <c r="M4" s="17" t="s">
        <v>49</v>
      </c>
      <c r="N4" s="16" t="s">
        <v>47</v>
      </c>
      <c r="O4" s="16" t="s">
        <v>48</v>
      </c>
      <c r="P4" s="16" t="s">
        <v>49</v>
      </c>
      <c r="Q4" s="17" t="s">
        <v>47</v>
      </c>
      <c r="R4" s="17" t="s">
        <v>48</v>
      </c>
      <c r="S4" s="17" t="s">
        <v>49</v>
      </c>
      <c r="T4" s="16" t="s">
        <v>47</v>
      </c>
      <c r="U4" s="16" t="s">
        <v>48</v>
      </c>
      <c r="V4" s="16" t="s">
        <v>49</v>
      </c>
      <c r="W4" s="17" t="s">
        <v>47</v>
      </c>
      <c r="X4" s="17" t="s">
        <v>48</v>
      </c>
      <c r="Y4" s="17" t="s">
        <v>49</v>
      </c>
      <c r="Z4" s="16" t="s">
        <v>47</v>
      </c>
      <c r="AA4" s="16" t="s">
        <v>48</v>
      </c>
      <c r="AB4" s="16" t="s">
        <v>49</v>
      </c>
      <c r="AC4" s="17" t="s">
        <v>47</v>
      </c>
      <c r="AD4" s="17" t="s">
        <v>48</v>
      </c>
      <c r="AE4" s="17" t="s">
        <v>49</v>
      </c>
      <c r="AF4" s="16" t="s">
        <v>47</v>
      </c>
      <c r="AG4" s="16" t="s">
        <v>48</v>
      </c>
      <c r="AH4" s="16" t="s">
        <v>49</v>
      </c>
      <c r="AI4" s="17" t="s">
        <v>47</v>
      </c>
      <c r="AJ4" s="17" t="s">
        <v>48</v>
      </c>
      <c r="AK4" s="17" t="s">
        <v>49</v>
      </c>
      <c r="AL4" s="16" t="s">
        <v>47</v>
      </c>
      <c r="AM4" s="16" t="s">
        <v>48</v>
      </c>
      <c r="AN4" s="16" t="s">
        <v>49</v>
      </c>
      <c r="AO4" s="17" t="s">
        <v>47</v>
      </c>
      <c r="AP4" s="17" t="s">
        <v>48</v>
      </c>
      <c r="AQ4" s="17" t="s">
        <v>49</v>
      </c>
      <c r="AR4" s="16" t="s">
        <v>47</v>
      </c>
      <c r="AS4" s="16" t="s">
        <v>48</v>
      </c>
      <c r="AT4" s="16" t="s">
        <v>49</v>
      </c>
      <c r="AU4" s="17" t="s">
        <v>47</v>
      </c>
      <c r="AV4" s="17" t="s">
        <v>48</v>
      </c>
      <c r="AW4" s="17" t="s">
        <v>49</v>
      </c>
      <c r="AX4" s="16" t="s">
        <v>47</v>
      </c>
      <c r="AY4" s="16" t="s">
        <v>48</v>
      </c>
      <c r="AZ4" s="16" t="s">
        <v>49</v>
      </c>
      <c r="BA4" s="17" t="s">
        <v>47</v>
      </c>
      <c r="BB4" s="17" t="s">
        <v>48</v>
      </c>
      <c r="BC4" s="17" t="s">
        <v>49</v>
      </c>
      <c r="BD4" s="16" t="s">
        <v>47</v>
      </c>
      <c r="BE4" s="16" t="s">
        <v>48</v>
      </c>
      <c r="BF4" s="16" t="s">
        <v>49</v>
      </c>
      <c r="BG4" s="17" t="s">
        <v>47</v>
      </c>
      <c r="BH4" s="17" t="s">
        <v>48</v>
      </c>
      <c r="BI4" s="17" t="s">
        <v>49</v>
      </c>
      <c r="BJ4" s="16" t="s">
        <v>47</v>
      </c>
      <c r="BK4" s="16" t="s">
        <v>48</v>
      </c>
      <c r="BL4" s="16" t="s">
        <v>49</v>
      </c>
      <c r="BM4" s="17" t="s">
        <v>47</v>
      </c>
      <c r="BN4" s="17" t="s">
        <v>48</v>
      </c>
      <c r="BO4" s="17" t="s">
        <v>49</v>
      </c>
      <c r="BP4" s="16" t="s">
        <v>47</v>
      </c>
      <c r="BQ4" s="16" t="s">
        <v>48</v>
      </c>
      <c r="BR4" s="16" t="s">
        <v>49</v>
      </c>
      <c r="BS4" s="17" t="s">
        <v>47</v>
      </c>
      <c r="BT4" s="17" t="s">
        <v>48</v>
      </c>
      <c r="BU4" s="17" t="s">
        <v>49</v>
      </c>
      <c r="BV4" s="16" t="s">
        <v>47</v>
      </c>
      <c r="BW4" s="16" t="s">
        <v>48</v>
      </c>
      <c r="BX4" s="16" t="s">
        <v>49</v>
      </c>
      <c r="BY4" s="17" t="s">
        <v>47</v>
      </c>
      <c r="BZ4" s="17" t="s">
        <v>48</v>
      </c>
      <c r="CA4" s="17" t="s">
        <v>49</v>
      </c>
      <c r="CB4" s="16" t="s">
        <v>47</v>
      </c>
      <c r="CC4" s="16" t="s">
        <v>48</v>
      </c>
      <c r="CD4" s="16" t="s">
        <v>49</v>
      </c>
      <c r="CE4" s="17" t="s">
        <v>47</v>
      </c>
      <c r="CF4" s="17" t="s">
        <v>48</v>
      </c>
      <c r="CG4" s="17" t="s">
        <v>49</v>
      </c>
    </row>
    <row r="5" s="18" customFormat="true" ht="26.4" hidden="false" customHeight="true" outlineLevel="0" collapsed="false">
      <c r="B5" s="19" t="s">
        <v>50</v>
      </c>
      <c r="C5" s="20" t="s">
        <v>51</v>
      </c>
      <c r="D5" s="21" t="s">
        <v>52</v>
      </c>
      <c r="E5" s="22" t="s">
        <v>53</v>
      </c>
      <c r="F5" s="20" t="s">
        <v>54</v>
      </c>
      <c r="G5" s="23"/>
      <c r="H5" s="24"/>
      <c r="I5" s="25" t="e">
        <f aca="false">AVERAGE(H5,J5)</f>
        <v>#DIV/0!</v>
      </c>
      <c r="J5" s="25"/>
      <c r="K5" s="26" t="s">
        <v>55</v>
      </c>
      <c r="L5" s="27"/>
      <c r="M5" s="26" t="s">
        <v>55</v>
      </c>
      <c r="N5" s="24" t="n">
        <v>38.569821615199</v>
      </c>
      <c r="O5" s="25" t="n">
        <f aca="false">AVERAGE(N5,P5)</f>
        <v>39.7206846203141</v>
      </c>
      <c r="P5" s="25" t="n">
        <v>40.8715476254292</v>
      </c>
      <c r="Q5" s="26" t="s">
        <v>55</v>
      </c>
      <c r="R5" s="27"/>
      <c r="S5" s="26" t="s">
        <v>55</v>
      </c>
      <c r="T5" s="28" t="s">
        <v>55</v>
      </c>
      <c r="U5" s="29"/>
      <c r="V5" s="28" t="s">
        <v>55</v>
      </c>
      <c r="W5" s="27" t="s">
        <v>55</v>
      </c>
      <c r="X5" s="27"/>
      <c r="Y5" s="27" t="s">
        <v>55</v>
      </c>
      <c r="Z5" s="28" t="s">
        <v>55</v>
      </c>
      <c r="AA5" s="29"/>
      <c r="AB5" s="29" t="s">
        <v>55</v>
      </c>
      <c r="AC5" s="27" t="n">
        <v>83.8</v>
      </c>
      <c r="AD5" s="27" t="n">
        <f aca="false">AVERAGEA(AE5, AC5)</f>
        <v>84.4</v>
      </c>
      <c r="AE5" s="27" t="n">
        <v>85</v>
      </c>
      <c r="AF5" s="29" t="n">
        <v>50</v>
      </c>
      <c r="AG5" s="30" t="n">
        <f aca="false">AVERAGEA(AH5, AF5)</f>
        <v>35</v>
      </c>
      <c r="AH5" s="29" t="n">
        <v>20</v>
      </c>
      <c r="AI5" s="27" t="n">
        <v>0.58</v>
      </c>
      <c r="AJ5" s="27" t="n">
        <f aca="false">AVERAGEA(AK5, AI5)</f>
        <v>4.29</v>
      </c>
      <c r="AK5" s="27" t="n">
        <v>8</v>
      </c>
      <c r="AL5" s="29" t="n">
        <v>0.58</v>
      </c>
      <c r="AM5" s="30" t="n">
        <f aca="false">AVERAGEA(AN5, AL5)</f>
        <v>4.29</v>
      </c>
      <c r="AN5" s="29" t="n">
        <v>8</v>
      </c>
      <c r="AO5" s="27" t="n">
        <v>3</v>
      </c>
      <c r="AP5" s="27" t="n">
        <f aca="false">AVERAGEA(AQ5, AO5)</f>
        <v>9.5</v>
      </c>
      <c r="AQ5" s="27" t="n">
        <v>16</v>
      </c>
      <c r="AR5" s="29" t="n">
        <v>1.5</v>
      </c>
      <c r="AS5" s="30" t="n">
        <f aca="false">AVERAGEA(AT5, AR5)</f>
        <v>2.25</v>
      </c>
      <c r="AT5" s="29" t="n">
        <v>3</v>
      </c>
      <c r="AU5" s="27" t="n">
        <v>715</v>
      </c>
      <c r="AV5" s="27" t="n">
        <f aca="false">AVERAGEA(AW5, AU5)</f>
        <v>1107.5</v>
      </c>
      <c r="AW5" s="27" t="n">
        <v>1500</v>
      </c>
      <c r="AX5" s="29" t="n">
        <v>19.9</v>
      </c>
      <c r="AY5" s="30" t="n">
        <f aca="false">AVERAGEA(AZ5, AX5)</f>
        <v>24.95</v>
      </c>
      <c r="AZ5" s="29" t="n">
        <v>30</v>
      </c>
      <c r="BA5" s="27" t="n">
        <v>2</v>
      </c>
      <c r="BB5" s="27" t="n">
        <f aca="false">AVERAGEA(BC5, BA5)</f>
        <v>5.75</v>
      </c>
      <c r="BC5" s="27" t="n">
        <v>9.5</v>
      </c>
      <c r="BD5" s="29" t="n">
        <v>8.4</v>
      </c>
      <c r="BE5" s="30" t="n">
        <f aca="false">AVERAGE(BD5,BF5)</f>
        <v>39.45</v>
      </c>
      <c r="BF5" s="29" t="n">
        <v>70.5</v>
      </c>
      <c r="BG5" s="27" t="n">
        <v>46</v>
      </c>
      <c r="BH5" s="27" t="n">
        <f aca="false">AVERAGE(BG5,BI5)</f>
        <v>81.5</v>
      </c>
      <c r="BI5" s="27" t="n">
        <v>117</v>
      </c>
      <c r="BJ5" s="29" t="n">
        <v>67</v>
      </c>
      <c r="BK5" s="30" t="n">
        <f aca="false">AVERAGE(BJ5,BL5)</f>
        <v>88.5</v>
      </c>
      <c r="BL5" s="29" t="n">
        <v>110</v>
      </c>
      <c r="BM5" s="27" t="n">
        <v>1.5</v>
      </c>
      <c r="BN5" s="27" t="n">
        <f aca="false">AVERAGEA(BO5, BM5)</f>
        <v>1.65</v>
      </c>
      <c r="BO5" s="27" t="n">
        <v>1.8</v>
      </c>
      <c r="BP5" s="29" t="n">
        <v>60</v>
      </c>
      <c r="BQ5" s="30" t="n">
        <f aca="false">AVERAGEA(BP5,BR5)</f>
        <v>120</v>
      </c>
      <c r="BR5" s="29" t="n">
        <v>180</v>
      </c>
      <c r="BS5" s="27" t="n">
        <v>1.4</v>
      </c>
      <c r="BT5" s="27" t="n">
        <f aca="false">AVERAGEA(BS5,BU5)</f>
        <v>3.7</v>
      </c>
      <c r="BU5" s="31" t="n">
        <v>6</v>
      </c>
      <c r="BV5" s="29" t="n">
        <v>1.3</v>
      </c>
      <c r="BW5" s="30" t="n">
        <f aca="false">AVERAGEA(BV5,BX5)</f>
        <v>5.65</v>
      </c>
      <c r="BX5" s="29" t="n">
        <v>10</v>
      </c>
      <c r="BY5" s="27"/>
      <c r="BZ5" s="27" t="e">
        <f aca="false">AVERAGEA(BY5,CA5)</f>
        <v>#DIV/0!</v>
      </c>
      <c r="CA5" s="31"/>
      <c r="CB5" s="29"/>
      <c r="CC5" s="30" t="e">
        <f aca="false">AVERAGEA(CB5,CD5)</f>
        <v>#DIV/0!</v>
      </c>
      <c r="CD5" s="29"/>
      <c r="CE5" s="27"/>
      <c r="CF5" s="27" t="e">
        <f aca="false">AVERAGEA(CE5,CG5)</f>
        <v>#DIV/0!</v>
      </c>
      <c r="CG5" s="31"/>
    </row>
    <row r="6" s="18" customFormat="true" ht="28.35" hidden="false" customHeight="false" outlineLevel="0" collapsed="false">
      <c r="B6" s="19"/>
      <c r="C6" s="20"/>
      <c r="D6" s="21"/>
      <c r="E6" s="22"/>
      <c r="F6" s="32" t="s">
        <v>56</v>
      </c>
      <c r="G6" s="33"/>
      <c r="H6" s="24"/>
      <c r="I6" s="24" t="e">
        <f aca="false">AVERAGE(H6,J6)</f>
        <v>#DIV/0!</v>
      </c>
      <c r="J6" s="24"/>
      <c r="K6" s="34" t="s">
        <v>55</v>
      </c>
      <c r="L6" s="35"/>
      <c r="M6" s="34" t="s">
        <v>55</v>
      </c>
      <c r="N6" s="24" t="n">
        <v>35.7858580162282</v>
      </c>
      <c r="O6" s="24" t="n">
        <f aca="false">AVERAGE(N6,P6)</f>
        <v>37.1742874015756</v>
      </c>
      <c r="P6" s="24" t="n">
        <v>38.562716786923</v>
      </c>
      <c r="Q6" s="34" t="s">
        <v>55</v>
      </c>
      <c r="R6" s="35"/>
      <c r="S6" s="34" t="s">
        <v>55</v>
      </c>
      <c r="T6" s="36" t="s">
        <v>55</v>
      </c>
      <c r="U6" s="37"/>
      <c r="V6" s="36" t="s">
        <v>55</v>
      </c>
      <c r="W6" s="34" t="s">
        <v>55</v>
      </c>
      <c r="X6" s="35"/>
      <c r="Y6" s="34" t="s">
        <v>55</v>
      </c>
      <c r="Z6" s="36" t="s">
        <v>55</v>
      </c>
      <c r="AA6" s="37"/>
      <c r="AB6" s="37" t="s">
        <v>55</v>
      </c>
      <c r="AC6" s="34" t="n">
        <v>83.8</v>
      </c>
      <c r="AD6" s="35" t="n">
        <f aca="false">AVERAGEA(AE6, AC6)</f>
        <v>84.4</v>
      </c>
      <c r="AE6" s="34" t="n">
        <v>85</v>
      </c>
      <c r="AF6" s="37" t="n">
        <v>50</v>
      </c>
      <c r="AG6" s="38" t="n">
        <f aca="false">AVERAGEA(AH6, AF6)</f>
        <v>35</v>
      </c>
      <c r="AH6" s="37" t="n">
        <v>20</v>
      </c>
      <c r="AI6" s="35" t="n">
        <v>0.58</v>
      </c>
      <c r="AJ6" s="39" t="n">
        <f aca="false">AVERAGEA(AK6, AI6)</f>
        <v>4.29</v>
      </c>
      <c r="AK6" s="35" t="n">
        <v>8</v>
      </c>
      <c r="AL6" s="37" t="n">
        <v>0.58</v>
      </c>
      <c r="AM6" s="38" t="n">
        <f aca="false">AVERAGEA(AN6, AL6)</f>
        <v>4.29</v>
      </c>
      <c r="AN6" s="37" t="n">
        <v>8</v>
      </c>
      <c r="AO6" s="35" t="n">
        <v>3</v>
      </c>
      <c r="AP6" s="35" t="n">
        <f aca="false">AVERAGEA(AQ6, AO6)</f>
        <v>9.5</v>
      </c>
      <c r="AQ6" s="35" t="n">
        <v>16</v>
      </c>
      <c r="AR6" s="37" t="n">
        <v>1.5</v>
      </c>
      <c r="AS6" s="38" t="n">
        <f aca="false">AVERAGEA(AT6, AR6)</f>
        <v>2.25</v>
      </c>
      <c r="AT6" s="37" t="n">
        <v>3</v>
      </c>
      <c r="AU6" s="35" t="n">
        <v>715</v>
      </c>
      <c r="AV6" s="39" t="n">
        <f aca="false">AVERAGEA(AW6, AU6)</f>
        <v>1107.5</v>
      </c>
      <c r="AW6" s="35" t="n">
        <v>1500</v>
      </c>
      <c r="AX6" s="37" t="n">
        <v>19.9</v>
      </c>
      <c r="AY6" s="37" t="n">
        <f aca="false">AVERAGEA(AZ6, AX6)</f>
        <v>24.95</v>
      </c>
      <c r="AZ6" s="36" t="n">
        <v>30</v>
      </c>
      <c r="BA6" s="34" t="n">
        <v>2</v>
      </c>
      <c r="BB6" s="35" t="n">
        <f aca="false">AVERAGEA(BC6, BA6)</f>
        <v>5.75</v>
      </c>
      <c r="BC6" s="34" t="n">
        <v>9.5</v>
      </c>
      <c r="BD6" s="37" t="n">
        <v>8.4</v>
      </c>
      <c r="BE6" s="37" t="n">
        <f aca="false">AVERAGE(BD6,BF6)</f>
        <v>39.45</v>
      </c>
      <c r="BF6" s="36" t="n">
        <v>70.5</v>
      </c>
      <c r="BG6" s="34" t="n">
        <v>46</v>
      </c>
      <c r="BH6" s="35" t="n">
        <f aca="false">AVERAGE(BG6,BI6)</f>
        <v>81.5</v>
      </c>
      <c r="BI6" s="34" t="n">
        <v>117</v>
      </c>
      <c r="BJ6" s="37" t="n">
        <v>67</v>
      </c>
      <c r="BK6" s="37" t="n">
        <f aca="false">AVERAGE(BJ6,BL6)</f>
        <v>88.5</v>
      </c>
      <c r="BL6" s="36" t="n">
        <v>110</v>
      </c>
      <c r="BM6" s="34" t="n">
        <v>1.5</v>
      </c>
      <c r="BN6" s="35" t="n">
        <f aca="false">AVERAGEA(BO6, BM6)</f>
        <v>1.65</v>
      </c>
      <c r="BO6" s="34" t="n">
        <v>1.8</v>
      </c>
      <c r="BP6" s="37" t="n">
        <v>60</v>
      </c>
      <c r="BQ6" s="37" t="n">
        <f aca="false">AVERAGEA(BP6,BR6)</f>
        <v>120</v>
      </c>
      <c r="BR6" s="36" t="n">
        <v>180</v>
      </c>
      <c r="BS6" s="34" t="n">
        <v>1.4</v>
      </c>
      <c r="BT6" s="35" t="n">
        <f aca="false">AVERAGEA(BS6,BU6)</f>
        <v>3.7</v>
      </c>
      <c r="BU6" s="40" t="n">
        <v>6</v>
      </c>
      <c r="BV6" s="37" t="n">
        <v>1.3</v>
      </c>
      <c r="BW6" s="37" t="n">
        <f aca="false">AVERAGEA(BV6,BX6)</f>
        <v>5.65</v>
      </c>
      <c r="BX6" s="36" t="n">
        <v>10</v>
      </c>
      <c r="BY6" s="34"/>
      <c r="BZ6" s="35" t="e">
        <f aca="false">AVERAGEA(BY6,CA6)</f>
        <v>#DIV/0!</v>
      </c>
      <c r="CA6" s="40"/>
      <c r="CB6" s="37"/>
      <c r="CC6" s="37" t="e">
        <f aca="false">AVERAGEA(CB6,CD6)</f>
        <v>#DIV/0!</v>
      </c>
      <c r="CD6" s="36"/>
      <c r="CE6" s="34"/>
      <c r="CF6" s="35" t="e">
        <f aca="false">AVERAGEA(CE6,CG6)</f>
        <v>#DIV/0!</v>
      </c>
      <c r="CG6" s="40"/>
    </row>
    <row r="7" s="18" customFormat="true" ht="28.35" hidden="false" customHeight="false" outlineLevel="0" collapsed="false">
      <c r="B7" s="19"/>
      <c r="C7" s="20"/>
      <c r="D7" s="21"/>
      <c r="E7" s="22"/>
      <c r="F7" s="32" t="s">
        <v>57</v>
      </c>
      <c r="G7" s="33"/>
      <c r="H7" s="24"/>
      <c r="I7" s="24" t="e">
        <f aca="false">AVERAGE(H7,J7)</f>
        <v>#DIV/0!</v>
      </c>
      <c r="J7" s="24"/>
      <c r="K7" s="34" t="s">
        <v>55</v>
      </c>
      <c r="L7" s="35"/>
      <c r="M7" s="34" t="s">
        <v>55</v>
      </c>
      <c r="N7" s="24" t="n">
        <v>27.2828391918737</v>
      </c>
      <c r="O7" s="24" t="n">
        <f aca="false">AVERAGE(N7,P7)</f>
        <v>31.5248556676053</v>
      </c>
      <c r="P7" s="24" t="n">
        <v>35.7668721433369</v>
      </c>
      <c r="Q7" s="34" t="s">
        <v>55</v>
      </c>
      <c r="R7" s="35"/>
      <c r="S7" s="34" t="s">
        <v>55</v>
      </c>
      <c r="T7" s="36" t="s">
        <v>55</v>
      </c>
      <c r="U7" s="37"/>
      <c r="V7" s="36" t="s">
        <v>55</v>
      </c>
      <c r="W7" s="34" t="s">
        <v>55</v>
      </c>
      <c r="X7" s="35"/>
      <c r="Y7" s="34" t="s">
        <v>55</v>
      </c>
      <c r="Z7" s="36" t="s">
        <v>55</v>
      </c>
      <c r="AA7" s="37"/>
      <c r="AB7" s="37" t="s">
        <v>55</v>
      </c>
      <c r="AC7" s="34" t="n">
        <v>83.8</v>
      </c>
      <c r="AD7" s="35" t="n">
        <f aca="false">AVERAGEA(AE7, AC7)</f>
        <v>84.4</v>
      </c>
      <c r="AE7" s="34" t="n">
        <v>85</v>
      </c>
      <c r="AF7" s="37" t="n">
        <v>50</v>
      </c>
      <c r="AG7" s="38" t="n">
        <f aca="false">AVERAGEA(AH7, AF7)</f>
        <v>35</v>
      </c>
      <c r="AH7" s="37" t="n">
        <v>20</v>
      </c>
      <c r="AI7" s="35" t="n">
        <v>0.58</v>
      </c>
      <c r="AJ7" s="39" t="n">
        <f aca="false">AVERAGEA(AK7, AI7)</f>
        <v>4.29</v>
      </c>
      <c r="AK7" s="35" t="n">
        <v>8</v>
      </c>
      <c r="AL7" s="37" t="n">
        <v>0.58</v>
      </c>
      <c r="AM7" s="38" t="n">
        <f aca="false">AVERAGEA(AN7, AL7)</f>
        <v>4.29</v>
      </c>
      <c r="AN7" s="37" t="n">
        <v>8</v>
      </c>
      <c r="AO7" s="35" t="n">
        <v>3</v>
      </c>
      <c r="AP7" s="35" t="n">
        <f aca="false">AVERAGEA(AQ7, AO7)</f>
        <v>9.5</v>
      </c>
      <c r="AQ7" s="35" t="n">
        <v>16</v>
      </c>
      <c r="AR7" s="37" t="n">
        <v>1.5</v>
      </c>
      <c r="AS7" s="38" t="n">
        <f aca="false">AVERAGEA(AT7, AR7)</f>
        <v>2.25</v>
      </c>
      <c r="AT7" s="37" t="n">
        <v>3</v>
      </c>
      <c r="AU7" s="35" t="n">
        <v>715</v>
      </c>
      <c r="AV7" s="39" t="n">
        <f aca="false">AVERAGEA(AW7, AU7)</f>
        <v>1107.5</v>
      </c>
      <c r="AW7" s="35" t="n">
        <v>1500</v>
      </c>
      <c r="AX7" s="37" t="n">
        <v>19.9</v>
      </c>
      <c r="AY7" s="37" t="n">
        <f aca="false">AVERAGEA(AZ7, AX7)</f>
        <v>24.95</v>
      </c>
      <c r="AZ7" s="36" t="n">
        <v>30</v>
      </c>
      <c r="BA7" s="34" t="n">
        <v>2</v>
      </c>
      <c r="BB7" s="35" t="n">
        <f aca="false">AVERAGEA(BC7, BA7)</f>
        <v>5.75</v>
      </c>
      <c r="BC7" s="34" t="n">
        <v>9.5</v>
      </c>
      <c r="BD7" s="37" t="n">
        <v>8.4</v>
      </c>
      <c r="BE7" s="37" t="n">
        <f aca="false">AVERAGE(BD7,BF7)</f>
        <v>39.45</v>
      </c>
      <c r="BF7" s="36" t="n">
        <v>70.5</v>
      </c>
      <c r="BG7" s="34" t="n">
        <v>46</v>
      </c>
      <c r="BH7" s="35" t="n">
        <f aca="false">AVERAGE(BG7,BI7)</f>
        <v>81.5</v>
      </c>
      <c r="BI7" s="34" t="n">
        <v>117</v>
      </c>
      <c r="BJ7" s="37" t="n">
        <v>67</v>
      </c>
      <c r="BK7" s="37" t="n">
        <f aca="false">AVERAGE(BJ7,BL7)</f>
        <v>88.5</v>
      </c>
      <c r="BL7" s="36" t="n">
        <v>110</v>
      </c>
      <c r="BM7" s="34" t="n">
        <v>1.5</v>
      </c>
      <c r="BN7" s="35" t="n">
        <f aca="false">AVERAGEA(BO7, BM7)</f>
        <v>1.65</v>
      </c>
      <c r="BO7" s="34" t="n">
        <v>1.8</v>
      </c>
      <c r="BP7" s="37" t="n">
        <v>60</v>
      </c>
      <c r="BQ7" s="37" t="n">
        <f aca="false">AVERAGEA(BP7,BR7)</f>
        <v>120</v>
      </c>
      <c r="BR7" s="36" t="n">
        <v>180</v>
      </c>
      <c r="BS7" s="34" t="n">
        <v>1.4</v>
      </c>
      <c r="BT7" s="35" t="n">
        <f aca="false">AVERAGEA(BS7,BU7)</f>
        <v>3.7</v>
      </c>
      <c r="BU7" s="40" t="n">
        <v>6</v>
      </c>
      <c r="BV7" s="37" t="n">
        <v>1.3</v>
      </c>
      <c r="BW7" s="37" t="n">
        <f aca="false">AVERAGEA(BV7,BX7)</f>
        <v>5.65</v>
      </c>
      <c r="BX7" s="36" t="n">
        <v>10</v>
      </c>
      <c r="BY7" s="34"/>
      <c r="BZ7" s="35" t="e">
        <f aca="false">AVERAGEA(BY7,CA7)</f>
        <v>#DIV/0!</v>
      </c>
      <c r="CA7" s="40"/>
      <c r="CB7" s="37"/>
      <c r="CC7" s="37" t="e">
        <f aca="false">AVERAGEA(CB7,CD7)</f>
        <v>#DIV/0!</v>
      </c>
      <c r="CD7" s="36"/>
      <c r="CE7" s="34"/>
      <c r="CF7" s="35" t="e">
        <f aca="false">AVERAGEA(CE7,CG7)</f>
        <v>#DIV/0!</v>
      </c>
      <c r="CG7" s="40"/>
    </row>
    <row r="8" s="18" customFormat="true" ht="28.35" hidden="false" customHeight="false" outlineLevel="0" collapsed="false">
      <c r="B8" s="19"/>
      <c r="C8" s="20"/>
      <c r="D8" s="21"/>
      <c r="E8" s="22"/>
      <c r="F8" s="32" t="s">
        <v>58</v>
      </c>
      <c r="G8" s="33"/>
      <c r="H8" s="24"/>
      <c r="I8" s="24" t="e">
        <f aca="false">AVERAGE(H8,J8)</f>
        <v>#DIV/0!</v>
      </c>
      <c r="J8" s="24"/>
      <c r="K8" s="34" t="s">
        <v>55</v>
      </c>
      <c r="L8" s="35"/>
      <c r="M8" s="34" t="s">
        <v>55</v>
      </c>
      <c r="N8" s="24" t="n">
        <v>21.5637839664899</v>
      </c>
      <c r="O8" s="24" t="n">
        <f aca="false">AVERAGE(N8,P8)</f>
        <v>24.404261780311</v>
      </c>
      <c r="P8" s="24" t="n">
        <v>27.2447395941321</v>
      </c>
      <c r="Q8" s="34" t="s">
        <v>55</v>
      </c>
      <c r="R8" s="35"/>
      <c r="S8" s="34" t="s">
        <v>55</v>
      </c>
      <c r="T8" s="36" t="s">
        <v>55</v>
      </c>
      <c r="U8" s="37"/>
      <c r="V8" s="36" t="s">
        <v>55</v>
      </c>
      <c r="W8" s="34" t="s">
        <v>55</v>
      </c>
      <c r="X8" s="35"/>
      <c r="Y8" s="34" t="s">
        <v>55</v>
      </c>
      <c r="Z8" s="36" t="s">
        <v>55</v>
      </c>
      <c r="AA8" s="37"/>
      <c r="AB8" s="37" t="s">
        <v>55</v>
      </c>
      <c r="AC8" s="34" t="n">
        <v>83.8</v>
      </c>
      <c r="AD8" s="35" t="n">
        <f aca="false">AVERAGEA(AE8, AC8)</f>
        <v>84.4</v>
      </c>
      <c r="AE8" s="34" t="n">
        <v>85</v>
      </c>
      <c r="AF8" s="37" t="n">
        <v>50</v>
      </c>
      <c r="AG8" s="38" t="n">
        <f aca="false">AVERAGEA(AH8, AF8)</f>
        <v>35</v>
      </c>
      <c r="AH8" s="37" t="n">
        <v>20</v>
      </c>
      <c r="AI8" s="35" t="n">
        <v>0.58</v>
      </c>
      <c r="AJ8" s="39" t="n">
        <f aca="false">AVERAGEA(AK8, AI8)</f>
        <v>4.29</v>
      </c>
      <c r="AK8" s="35" t="n">
        <v>8</v>
      </c>
      <c r="AL8" s="37" t="n">
        <v>0.58</v>
      </c>
      <c r="AM8" s="38" t="n">
        <f aca="false">AVERAGEA(AN8, AL8)</f>
        <v>4.29</v>
      </c>
      <c r="AN8" s="37" t="n">
        <v>8</v>
      </c>
      <c r="AO8" s="35" t="n">
        <v>3</v>
      </c>
      <c r="AP8" s="35" t="n">
        <f aca="false">AVERAGEA(AQ8, AO8)</f>
        <v>9.5</v>
      </c>
      <c r="AQ8" s="35" t="n">
        <v>16</v>
      </c>
      <c r="AR8" s="37" t="n">
        <v>1.5</v>
      </c>
      <c r="AS8" s="38" t="n">
        <f aca="false">AVERAGEA(AT8, AR8)</f>
        <v>2.25</v>
      </c>
      <c r="AT8" s="37" t="n">
        <v>3</v>
      </c>
      <c r="AU8" s="35" t="n">
        <v>715</v>
      </c>
      <c r="AV8" s="39" t="n">
        <f aca="false">AVERAGEA(AW8, AU8)</f>
        <v>1107.5</v>
      </c>
      <c r="AW8" s="35" t="n">
        <v>1500</v>
      </c>
      <c r="AX8" s="37" t="n">
        <v>19.9</v>
      </c>
      <c r="AY8" s="37" t="n">
        <f aca="false">AVERAGEA(AZ8, AX8)</f>
        <v>24.95</v>
      </c>
      <c r="AZ8" s="36" t="n">
        <v>30</v>
      </c>
      <c r="BA8" s="34" t="n">
        <v>2</v>
      </c>
      <c r="BB8" s="35" t="n">
        <f aca="false">AVERAGEA(BC8, BA8)</f>
        <v>5.75</v>
      </c>
      <c r="BC8" s="34" t="n">
        <v>9.5</v>
      </c>
      <c r="BD8" s="37" t="n">
        <v>8.4</v>
      </c>
      <c r="BE8" s="37" t="n">
        <f aca="false">AVERAGE(BD8,BF8)</f>
        <v>39.45</v>
      </c>
      <c r="BF8" s="36" t="n">
        <v>70.5</v>
      </c>
      <c r="BG8" s="34" t="n">
        <v>46</v>
      </c>
      <c r="BH8" s="35" t="n">
        <f aca="false">AVERAGE(BG8,BI8)</f>
        <v>81.5</v>
      </c>
      <c r="BI8" s="34" t="n">
        <v>117</v>
      </c>
      <c r="BJ8" s="37" t="n">
        <v>67</v>
      </c>
      <c r="BK8" s="37" t="n">
        <f aca="false">AVERAGE(BJ8,BL8)</f>
        <v>88.5</v>
      </c>
      <c r="BL8" s="36" t="n">
        <v>110</v>
      </c>
      <c r="BM8" s="34" t="n">
        <v>1.5</v>
      </c>
      <c r="BN8" s="35" t="n">
        <f aca="false">AVERAGEA(BO8, BM8)</f>
        <v>1.65</v>
      </c>
      <c r="BO8" s="34" t="n">
        <v>1.8</v>
      </c>
      <c r="BP8" s="37" t="n">
        <v>60</v>
      </c>
      <c r="BQ8" s="37" t="n">
        <f aca="false">AVERAGEA(BP8,BR8)</f>
        <v>120</v>
      </c>
      <c r="BR8" s="36" t="n">
        <v>180</v>
      </c>
      <c r="BS8" s="34" t="n">
        <v>1.4</v>
      </c>
      <c r="BT8" s="35" t="n">
        <f aca="false">AVERAGEA(BS8,BU8)</f>
        <v>3.7</v>
      </c>
      <c r="BU8" s="40" t="n">
        <v>6</v>
      </c>
      <c r="BV8" s="37" t="n">
        <v>1.3</v>
      </c>
      <c r="BW8" s="37" t="n">
        <f aca="false">AVERAGEA(BV8,BX8)</f>
        <v>5.65</v>
      </c>
      <c r="BX8" s="36" t="n">
        <v>10</v>
      </c>
      <c r="BY8" s="34"/>
      <c r="BZ8" s="35" t="e">
        <f aca="false">AVERAGEA(BY8,CA8)</f>
        <v>#DIV/0!</v>
      </c>
      <c r="CA8" s="40"/>
      <c r="CB8" s="37"/>
      <c r="CC8" s="37" t="e">
        <f aca="false">AVERAGEA(CB8,CD8)</f>
        <v>#DIV/0!</v>
      </c>
      <c r="CD8" s="36"/>
      <c r="CE8" s="34"/>
      <c r="CF8" s="35" t="e">
        <f aca="false">AVERAGEA(CE8,CG8)</f>
        <v>#DIV/0!</v>
      </c>
      <c r="CG8" s="40"/>
    </row>
    <row r="9" s="18" customFormat="true" ht="26.4" hidden="false" customHeight="true" outlineLevel="0" collapsed="false">
      <c r="B9" s="19"/>
      <c r="C9" s="20"/>
      <c r="D9" s="21"/>
      <c r="E9" s="41" t="s">
        <v>59</v>
      </c>
      <c r="F9" s="32" t="s">
        <v>54</v>
      </c>
      <c r="G9" s="33"/>
      <c r="H9" s="24"/>
      <c r="I9" s="24" t="e">
        <f aca="false">AVERAGE(H9,J9)</f>
        <v>#DIV/0!</v>
      </c>
      <c r="J9" s="24"/>
      <c r="K9" s="34" t="s">
        <v>55</v>
      </c>
      <c r="L9" s="35"/>
      <c r="M9" s="34" t="s">
        <v>55</v>
      </c>
      <c r="N9" s="24" t="n">
        <v>37.8243623384122</v>
      </c>
      <c r="O9" s="24" t="n">
        <f aca="false">AVERAGE(N9,P9)</f>
        <v>38.95298200748</v>
      </c>
      <c r="P9" s="24" t="n">
        <v>40.0816016765477</v>
      </c>
      <c r="Q9" s="34" t="s">
        <v>55</v>
      </c>
      <c r="R9" s="35"/>
      <c r="S9" s="34" t="s">
        <v>55</v>
      </c>
      <c r="T9" s="36" t="s">
        <v>55</v>
      </c>
      <c r="U9" s="37"/>
      <c r="V9" s="36" t="s">
        <v>55</v>
      </c>
      <c r="W9" s="34" t="s">
        <v>55</v>
      </c>
      <c r="X9" s="35"/>
      <c r="Y9" s="34" t="s">
        <v>55</v>
      </c>
      <c r="Z9" s="36" t="s">
        <v>55</v>
      </c>
      <c r="AA9" s="37"/>
      <c r="AB9" s="37" t="s">
        <v>55</v>
      </c>
      <c r="AC9" s="34" t="n">
        <v>83.8</v>
      </c>
      <c r="AD9" s="35" t="n">
        <f aca="false">AVERAGEA(AE9, AC9)</f>
        <v>84.4</v>
      </c>
      <c r="AE9" s="34" t="n">
        <v>85</v>
      </c>
      <c r="AF9" s="37" t="n">
        <v>50</v>
      </c>
      <c r="AG9" s="37" t="n">
        <f aca="false">AVERAGEA(AH9, AF9)</f>
        <v>35</v>
      </c>
      <c r="AH9" s="37" t="n">
        <v>20</v>
      </c>
      <c r="AI9" s="35" t="n">
        <v>0.58</v>
      </c>
      <c r="AJ9" s="35" t="n">
        <f aca="false">AVERAGEA(AK9, AI9)</f>
        <v>4.29</v>
      </c>
      <c r="AK9" s="35" t="n">
        <v>8</v>
      </c>
      <c r="AL9" s="37" t="n">
        <v>0.58</v>
      </c>
      <c r="AM9" s="37" t="n">
        <f aca="false">AVERAGEA(AN9, AL9)</f>
        <v>4.29</v>
      </c>
      <c r="AN9" s="36" t="n">
        <v>8</v>
      </c>
      <c r="AO9" s="34" t="n">
        <v>3</v>
      </c>
      <c r="AP9" s="35" t="n">
        <f aca="false">AVERAGEA(AQ9, AO9)</f>
        <v>9.5</v>
      </c>
      <c r="AQ9" s="34" t="n">
        <v>16</v>
      </c>
      <c r="AR9" s="37" t="n">
        <v>2</v>
      </c>
      <c r="AS9" s="37" t="n">
        <f aca="false">AVERAGEA(AT9, AR9)</f>
        <v>8.5</v>
      </c>
      <c r="AT9" s="37" t="n">
        <v>15</v>
      </c>
      <c r="AU9" s="35" t="n">
        <v>715</v>
      </c>
      <c r="AV9" s="35" t="n">
        <f aca="false">AVERAGEA(AW9, AU9)</f>
        <v>1107.5</v>
      </c>
      <c r="AW9" s="35" t="n">
        <v>1500</v>
      </c>
      <c r="AX9" s="37" t="n">
        <v>19.9</v>
      </c>
      <c r="AY9" s="37" t="n">
        <f aca="false">AVERAGEA(AZ9, AX9)</f>
        <v>24.95</v>
      </c>
      <c r="AZ9" s="36" t="n">
        <v>30</v>
      </c>
      <c r="BA9" s="34" t="n">
        <v>2</v>
      </c>
      <c r="BB9" s="35" t="n">
        <f aca="false">AVERAGEA(BC9, BA9)</f>
        <v>5.75</v>
      </c>
      <c r="BC9" s="34" t="n">
        <v>9.5</v>
      </c>
      <c r="BD9" s="37" t="n">
        <v>8.4</v>
      </c>
      <c r="BE9" s="37" t="n">
        <f aca="false">AVERAGE(BD9,BF9)</f>
        <v>39.45</v>
      </c>
      <c r="BF9" s="36" t="n">
        <v>70.5</v>
      </c>
      <c r="BG9" s="34" t="n">
        <v>46</v>
      </c>
      <c r="BH9" s="35" t="n">
        <f aca="false">AVERAGE(BG9,BI9)</f>
        <v>81.5</v>
      </c>
      <c r="BI9" s="34" t="n">
        <v>117</v>
      </c>
      <c r="BJ9" s="37" t="n">
        <v>67</v>
      </c>
      <c r="BK9" s="37" t="n">
        <f aca="false">AVERAGE(BJ9,BL9)</f>
        <v>88.5</v>
      </c>
      <c r="BL9" s="36" t="n">
        <v>110</v>
      </c>
      <c r="BM9" s="34" t="n">
        <v>1.5</v>
      </c>
      <c r="BN9" s="35" t="n">
        <f aca="false">AVERAGEA(BO9, BM9)</f>
        <v>1.65</v>
      </c>
      <c r="BO9" s="34" t="n">
        <v>1.8</v>
      </c>
      <c r="BP9" s="37" t="n">
        <v>60</v>
      </c>
      <c r="BQ9" s="37" t="n">
        <f aca="false">AVERAGEA(BP9,BR9)</f>
        <v>120</v>
      </c>
      <c r="BR9" s="36" t="n">
        <v>180</v>
      </c>
      <c r="BS9" s="34" t="n">
        <v>1.4</v>
      </c>
      <c r="BT9" s="35" t="n">
        <f aca="false">AVERAGEA(BS9,BU9)</f>
        <v>3.7</v>
      </c>
      <c r="BU9" s="40" t="n">
        <v>6</v>
      </c>
      <c r="BV9" s="37" t="n">
        <v>1.3</v>
      </c>
      <c r="BW9" s="37" t="n">
        <f aca="false">AVERAGEA(BV9,BX9)</f>
        <v>5.65</v>
      </c>
      <c r="BX9" s="36" t="n">
        <v>10</v>
      </c>
      <c r="BY9" s="34"/>
      <c r="BZ9" s="35" t="e">
        <f aca="false">AVERAGEA(BY9,CA9)</f>
        <v>#DIV/0!</v>
      </c>
      <c r="CA9" s="40"/>
      <c r="CB9" s="37"/>
      <c r="CC9" s="37" t="e">
        <f aca="false">AVERAGEA(CB9,CD9)</f>
        <v>#DIV/0!</v>
      </c>
      <c r="CD9" s="36"/>
      <c r="CE9" s="34"/>
      <c r="CF9" s="35" t="e">
        <f aca="false">AVERAGEA(CE9,CG9)</f>
        <v>#DIV/0!</v>
      </c>
      <c r="CG9" s="40"/>
    </row>
    <row r="10" s="18" customFormat="true" ht="28.35" hidden="false" customHeight="false" outlineLevel="0" collapsed="false">
      <c r="B10" s="19"/>
      <c r="C10" s="20"/>
      <c r="D10" s="21"/>
      <c r="E10" s="41"/>
      <c r="F10" s="32" t="s">
        <v>56</v>
      </c>
      <c r="G10" s="33"/>
      <c r="H10" s="24"/>
      <c r="I10" s="24" t="e">
        <f aca="false">AVERAGE(H10,J10)</f>
        <v>#DIV/0!</v>
      </c>
      <c r="J10" s="24"/>
      <c r="K10" s="34" t="s">
        <v>55</v>
      </c>
      <c r="L10" s="35"/>
      <c r="M10" s="34" t="s">
        <v>55</v>
      </c>
      <c r="N10" s="24" t="n">
        <v>35.0942058716547</v>
      </c>
      <c r="O10" s="24" t="n">
        <f aca="false">AVERAGE(N10,P10)</f>
        <v>36.4558003502764</v>
      </c>
      <c r="P10" s="24" t="n">
        <v>37.8173948288981</v>
      </c>
      <c r="Q10" s="34" t="s">
        <v>55</v>
      </c>
      <c r="R10" s="35"/>
      <c r="S10" s="34" t="s">
        <v>55</v>
      </c>
      <c r="T10" s="36" t="s">
        <v>55</v>
      </c>
      <c r="U10" s="37"/>
      <c r="V10" s="36" t="s">
        <v>55</v>
      </c>
      <c r="W10" s="34" t="s">
        <v>55</v>
      </c>
      <c r="X10" s="35"/>
      <c r="Y10" s="34" t="s">
        <v>55</v>
      </c>
      <c r="Z10" s="36" t="s">
        <v>55</v>
      </c>
      <c r="AA10" s="37"/>
      <c r="AB10" s="37" t="s">
        <v>55</v>
      </c>
      <c r="AC10" s="34" t="n">
        <v>83.8</v>
      </c>
      <c r="AD10" s="35" t="n">
        <f aca="false">AVERAGEA(AE10, AC10)</f>
        <v>84.4</v>
      </c>
      <c r="AE10" s="34" t="n">
        <v>85</v>
      </c>
      <c r="AF10" s="37" t="n">
        <v>50</v>
      </c>
      <c r="AG10" s="37" t="n">
        <f aca="false">AVERAGEA(AH10, AF10)</f>
        <v>35</v>
      </c>
      <c r="AH10" s="37" t="n">
        <v>20</v>
      </c>
      <c r="AI10" s="35" t="n">
        <v>0.58</v>
      </c>
      <c r="AJ10" s="35" t="n">
        <f aca="false">AVERAGEA(AK10, AI10)</f>
        <v>4.29</v>
      </c>
      <c r="AK10" s="35" t="n">
        <v>8</v>
      </c>
      <c r="AL10" s="37" t="n">
        <v>0.58</v>
      </c>
      <c r="AM10" s="37" t="n">
        <f aca="false">AVERAGEA(AN10, AL10)</f>
        <v>4.29</v>
      </c>
      <c r="AN10" s="36" t="n">
        <v>8</v>
      </c>
      <c r="AO10" s="34" t="n">
        <v>3</v>
      </c>
      <c r="AP10" s="35" t="n">
        <f aca="false">AVERAGEA(AQ10, AO10)</f>
        <v>9.5</v>
      </c>
      <c r="AQ10" s="34" t="n">
        <v>16</v>
      </c>
      <c r="AR10" s="37" t="n">
        <v>2</v>
      </c>
      <c r="AS10" s="37" t="n">
        <f aca="false">AVERAGEA(AT10, AR10)</f>
        <v>8.5</v>
      </c>
      <c r="AT10" s="37" t="n">
        <v>15</v>
      </c>
      <c r="AU10" s="35" t="n">
        <v>715</v>
      </c>
      <c r="AV10" s="35" t="n">
        <f aca="false">AVERAGEA(AW10, AU10)</f>
        <v>1107.5</v>
      </c>
      <c r="AW10" s="35" t="n">
        <v>1500</v>
      </c>
      <c r="AX10" s="37" t="n">
        <v>19.9</v>
      </c>
      <c r="AY10" s="37" t="n">
        <f aca="false">AVERAGEA(AZ10, AX10)</f>
        <v>24.95</v>
      </c>
      <c r="AZ10" s="36" t="n">
        <v>30</v>
      </c>
      <c r="BA10" s="34" t="n">
        <v>2</v>
      </c>
      <c r="BB10" s="35" t="n">
        <f aca="false">AVERAGEA(BC10, BA10)</f>
        <v>5.75</v>
      </c>
      <c r="BC10" s="34" t="n">
        <v>9.5</v>
      </c>
      <c r="BD10" s="37" t="n">
        <v>8.4</v>
      </c>
      <c r="BE10" s="37" t="n">
        <f aca="false">AVERAGE(BD10,BF10)</f>
        <v>39.45</v>
      </c>
      <c r="BF10" s="36" t="n">
        <v>70.5</v>
      </c>
      <c r="BG10" s="34" t="n">
        <v>46</v>
      </c>
      <c r="BH10" s="35" t="n">
        <f aca="false">AVERAGE(BG10,BI10)</f>
        <v>81.5</v>
      </c>
      <c r="BI10" s="34" t="n">
        <v>117</v>
      </c>
      <c r="BJ10" s="37" t="n">
        <v>67</v>
      </c>
      <c r="BK10" s="37" t="n">
        <f aca="false">AVERAGE(BJ10,BL10)</f>
        <v>88.5</v>
      </c>
      <c r="BL10" s="36" t="n">
        <v>110</v>
      </c>
      <c r="BM10" s="34" t="n">
        <v>1.5</v>
      </c>
      <c r="BN10" s="35" t="n">
        <f aca="false">AVERAGEA(BO10, BM10)</f>
        <v>1.65</v>
      </c>
      <c r="BO10" s="34" t="n">
        <v>1.8</v>
      </c>
      <c r="BP10" s="37" t="n">
        <v>60</v>
      </c>
      <c r="BQ10" s="37" t="n">
        <f aca="false">AVERAGEA(BP10,BR10)</f>
        <v>120</v>
      </c>
      <c r="BR10" s="36" t="n">
        <v>180</v>
      </c>
      <c r="BS10" s="34" t="n">
        <v>1.4</v>
      </c>
      <c r="BT10" s="35" t="n">
        <f aca="false">AVERAGEA(BS10,BU10)</f>
        <v>3.7</v>
      </c>
      <c r="BU10" s="40" t="n">
        <v>6</v>
      </c>
      <c r="BV10" s="37" t="n">
        <v>1.3</v>
      </c>
      <c r="BW10" s="37" t="n">
        <f aca="false">AVERAGEA(BV10,BX10)</f>
        <v>5.65</v>
      </c>
      <c r="BX10" s="36" t="n">
        <v>10</v>
      </c>
      <c r="BY10" s="34"/>
      <c r="BZ10" s="35" t="e">
        <f aca="false">AVERAGEA(BY10,CA10)</f>
        <v>#DIV/0!</v>
      </c>
      <c r="CA10" s="40"/>
      <c r="CB10" s="37"/>
      <c r="CC10" s="37" t="e">
        <f aca="false">AVERAGEA(CB10,CD10)</f>
        <v>#DIV/0!</v>
      </c>
      <c r="CD10" s="36"/>
      <c r="CE10" s="34"/>
      <c r="CF10" s="35" t="e">
        <f aca="false">AVERAGEA(CE10,CG10)</f>
        <v>#DIV/0!</v>
      </c>
      <c r="CG10" s="40"/>
    </row>
    <row r="11" s="18" customFormat="true" ht="28.35" hidden="false" customHeight="false" outlineLevel="0" collapsed="false">
      <c r="B11" s="19"/>
      <c r="C11" s="20"/>
      <c r="D11" s="21"/>
      <c r="E11" s="41"/>
      <c r="F11" s="32" t="s">
        <v>57</v>
      </c>
      <c r="G11" s="33"/>
      <c r="H11" s="24"/>
      <c r="I11" s="24" t="e">
        <f aca="false">AVERAGE(H11,J11)</f>
        <v>#DIV/0!</v>
      </c>
      <c r="J11" s="24"/>
      <c r="K11" s="34" t="s">
        <v>55</v>
      </c>
      <c r="L11" s="35"/>
      <c r="M11" s="34" t="s">
        <v>55</v>
      </c>
      <c r="N11" s="24" t="n">
        <v>26.7555293750025</v>
      </c>
      <c r="O11" s="24" t="n">
        <f aca="false">AVERAGE(N11,P11)</f>
        <v>30.9155581618704</v>
      </c>
      <c r="P11" s="24" t="n">
        <v>35.0755869487383</v>
      </c>
      <c r="Q11" s="34" t="s">
        <v>55</v>
      </c>
      <c r="R11" s="35"/>
      <c r="S11" s="34" t="s">
        <v>55</v>
      </c>
      <c r="T11" s="36" t="s">
        <v>55</v>
      </c>
      <c r="U11" s="37"/>
      <c r="V11" s="36" t="s">
        <v>55</v>
      </c>
      <c r="W11" s="34" t="s">
        <v>55</v>
      </c>
      <c r="X11" s="35"/>
      <c r="Y11" s="34" t="s">
        <v>55</v>
      </c>
      <c r="Z11" s="36" t="s">
        <v>55</v>
      </c>
      <c r="AA11" s="37"/>
      <c r="AB11" s="37" t="s">
        <v>55</v>
      </c>
      <c r="AC11" s="34" t="n">
        <v>83.8</v>
      </c>
      <c r="AD11" s="35" t="n">
        <f aca="false">AVERAGEA(AE11, AC11)</f>
        <v>84.4</v>
      </c>
      <c r="AE11" s="34" t="n">
        <v>85</v>
      </c>
      <c r="AF11" s="37" t="n">
        <v>50</v>
      </c>
      <c r="AG11" s="37" t="n">
        <f aca="false">AVERAGEA(AH11, AF11)</f>
        <v>35</v>
      </c>
      <c r="AH11" s="37" t="n">
        <v>20</v>
      </c>
      <c r="AI11" s="35" t="n">
        <v>0.58</v>
      </c>
      <c r="AJ11" s="35" t="n">
        <f aca="false">AVERAGEA(AK11, AI11)</f>
        <v>4.29</v>
      </c>
      <c r="AK11" s="35" t="n">
        <v>8</v>
      </c>
      <c r="AL11" s="37" t="n">
        <v>0.58</v>
      </c>
      <c r="AM11" s="37" t="n">
        <f aca="false">AVERAGEA(AN11, AL11)</f>
        <v>4.29</v>
      </c>
      <c r="AN11" s="36" t="n">
        <v>8</v>
      </c>
      <c r="AO11" s="34" t="n">
        <v>3</v>
      </c>
      <c r="AP11" s="35" t="n">
        <f aca="false">AVERAGEA(AQ11, AO11)</f>
        <v>9.5</v>
      </c>
      <c r="AQ11" s="34" t="n">
        <v>16</v>
      </c>
      <c r="AR11" s="37" t="n">
        <v>2</v>
      </c>
      <c r="AS11" s="37" t="n">
        <f aca="false">AVERAGEA(AT11, AR11)</f>
        <v>8.5</v>
      </c>
      <c r="AT11" s="37" t="n">
        <v>15</v>
      </c>
      <c r="AU11" s="35" t="n">
        <v>715</v>
      </c>
      <c r="AV11" s="35" t="n">
        <f aca="false">AVERAGEA(AW11, AU11)</f>
        <v>1107.5</v>
      </c>
      <c r="AW11" s="35" t="n">
        <v>1500</v>
      </c>
      <c r="AX11" s="37" t="n">
        <v>19.9</v>
      </c>
      <c r="AY11" s="37" t="n">
        <f aca="false">AVERAGEA(AZ11, AX11)</f>
        <v>24.95</v>
      </c>
      <c r="AZ11" s="36" t="n">
        <v>30</v>
      </c>
      <c r="BA11" s="34" t="n">
        <v>2</v>
      </c>
      <c r="BB11" s="35" t="n">
        <f aca="false">AVERAGEA(BC11, BA11)</f>
        <v>5.75</v>
      </c>
      <c r="BC11" s="34" t="n">
        <v>9.5</v>
      </c>
      <c r="BD11" s="37" t="n">
        <v>8.4</v>
      </c>
      <c r="BE11" s="37" t="n">
        <f aca="false">AVERAGE(BD11,BF11)</f>
        <v>39.45</v>
      </c>
      <c r="BF11" s="36" t="n">
        <v>70.5</v>
      </c>
      <c r="BG11" s="34" t="n">
        <v>46</v>
      </c>
      <c r="BH11" s="35" t="n">
        <f aca="false">AVERAGE(BG11,BI11)</f>
        <v>81.5</v>
      </c>
      <c r="BI11" s="34" t="n">
        <v>117</v>
      </c>
      <c r="BJ11" s="37" t="n">
        <v>67</v>
      </c>
      <c r="BK11" s="37" t="n">
        <f aca="false">AVERAGE(BJ11,BL11)</f>
        <v>88.5</v>
      </c>
      <c r="BL11" s="36" t="n">
        <v>110</v>
      </c>
      <c r="BM11" s="34" t="n">
        <v>1.5</v>
      </c>
      <c r="BN11" s="35" t="n">
        <f aca="false">AVERAGEA(BO11, BM11)</f>
        <v>1.65</v>
      </c>
      <c r="BO11" s="34" t="n">
        <v>1.8</v>
      </c>
      <c r="BP11" s="37" t="n">
        <v>60</v>
      </c>
      <c r="BQ11" s="37" t="n">
        <f aca="false">AVERAGEA(BP11,BR11)</f>
        <v>120</v>
      </c>
      <c r="BR11" s="36" t="n">
        <v>180</v>
      </c>
      <c r="BS11" s="34" t="n">
        <v>1.4</v>
      </c>
      <c r="BT11" s="35" t="n">
        <f aca="false">AVERAGEA(BS11,BU11)</f>
        <v>3.7</v>
      </c>
      <c r="BU11" s="40" t="n">
        <v>6</v>
      </c>
      <c r="BV11" s="37" t="n">
        <v>1.3</v>
      </c>
      <c r="BW11" s="37" t="n">
        <f aca="false">AVERAGEA(BV11,BX11)</f>
        <v>5.65</v>
      </c>
      <c r="BX11" s="36" t="n">
        <v>10</v>
      </c>
      <c r="BY11" s="34"/>
      <c r="BZ11" s="35" t="e">
        <f aca="false">AVERAGEA(BY11,CA11)</f>
        <v>#DIV/0!</v>
      </c>
      <c r="CA11" s="40"/>
      <c r="CB11" s="37"/>
      <c r="CC11" s="37" t="e">
        <f aca="false">AVERAGEA(CB11,CD11)</f>
        <v>#DIV/0!</v>
      </c>
      <c r="CD11" s="36"/>
      <c r="CE11" s="34"/>
      <c r="CF11" s="35" t="e">
        <f aca="false">AVERAGEA(CE11,CG11)</f>
        <v>#DIV/0!</v>
      </c>
      <c r="CG11" s="40"/>
    </row>
    <row r="12" s="18" customFormat="true" ht="28.35" hidden="false" customHeight="false" outlineLevel="0" collapsed="false">
      <c r="B12" s="19"/>
      <c r="C12" s="20"/>
      <c r="D12" s="21"/>
      <c r="E12" s="41"/>
      <c r="F12" s="32" t="s">
        <v>58</v>
      </c>
      <c r="G12" s="33"/>
      <c r="H12" s="24"/>
      <c r="I12" s="24" t="e">
        <f aca="false">AVERAGE(H12,J12)</f>
        <v>#DIV/0!</v>
      </c>
      <c r="J12" s="24"/>
      <c r="K12" s="34" t="s">
        <v>55</v>
      </c>
      <c r="L12" s="35"/>
      <c r="M12" s="34" t="s">
        <v>55</v>
      </c>
      <c r="N12" s="24" t="n">
        <v>21.147009345108</v>
      </c>
      <c r="O12" s="24" t="n">
        <f aca="false">AVERAGE(N12,P12)</f>
        <v>23.9325877466905</v>
      </c>
      <c r="P12" s="24" t="n">
        <v>26.718166148273</v>
      </c>
      <c r="Q12" s="34" t="s">
        <v>55</v>
      </c>
      <c r="R12" s="35"/>
      <c r="S12" s="34" t="s">
        <v>55</v>
      </c>
      <c r="T12" s="36" t="s">
        <v>55</v>
      </c>
      <c r="U12" s="37"/>
      <c r="V12" s="36" t="s">
        <v>55</v>
      </c>
      <c r="W12" s="34" t="s">
        <v>55</v>
      </c>
      <c r="X12" s="35"/>
      <c r="Y12" s="34" t="s">
        <v>55</v>
      </c>
      <c r="Z12" s="36" t="s">
        <v>55</v>
      </c>
      <c r="AA12" s="37"/>
      <c r="AB12" s="37" t="s">
        <v>55</v>
      </c>
      <c r="AC12" s="34" t="n">
        <v>83.8</v>
      </c>
      <c r="AD12" s="35" t="n">
        <f aca="false">AVERAGEA(AE12, AC12)</f>
        <v>84.4</v>
      </c>
      <c r="AE12" s="34" t="n">
        <v>85</v>
      </c>
      <c r="AF12" s="37" t="n">
        <v>50</v>
      </c>
      <c r="AG12" s="37" t="n">
        <f aca="false">AVERAGEA(AH12, AF12)</f>
        <v>35</v>
      </c>
      <c r="AH12" s="37" t="n">
        <v>20</v>
      </c>
      <c r="AI12" s="35" t="n">
        <v>0.58</v>
      </c>
      <c r="AJ12" s="35" t="n">
        <f aca="false">AVERAGEA(AK12, AI12)</f>
        <v>4.29</v>
      </c>
      <c r="AK12" s="35" t="n">
        <v>8</v>
      </c>
      <c r="AL12" s="37" t="n">
        <v>0.58</v>
      </c>
      <c r="AM12" s="37" t="n">
        <f aca="false">AVERAGEA(AN12, AL12)</f>
        <v>4.29</v>
      </c>
      <c r="AN12" s="36" t="n">
        <v>8</v>
      </c>
      <c r="AO12" s="34" t="n">
        <v>3</v>
      </c>
      <c r="AP12" s="35" t="n">
        <f aca="false">AVERAGEA(AQ12, AO12)</f>
        <v>9.5</v>
      </c>
      <c r="AQ12" s="34" t="n">
        <v>16</v>
      </c>
      <c r="AR12" s="37" t="n">
        <v>2</v>
      </c>
      <c r="AS12" s="37" t="n">
        <f aca="false">AVERAGEA(AT12, AR12)</f>
        <v>8.5</v>
      </c>
      <c r="AT12" s="37" t="n">
        <v>15</v>
      </c>
      <c r="AU12" s="35" t="n">
        <v>715</v>
      </c>
      <c r="AV12" s="35" t="n">
        <f aca="false">AVERAGEA(AW12, AU12)</f>
        <v>1107.5</v>
      </c>
      <c r="AW12" s="35" t="n">
        <v>1500</v>
      </c>
      <c r="AX12" s="37" t="n">
        <v>19.9</v>
      </c>
      <c r="AY12" s="37" t="n">
        <f aca="false">AVERAGEA(AZ12, AX12)</f>
        <v>24.95</v>
      </c>
      <c r="AZ12" s="36" t="n">
        <v>30</v>
      </c>
      <c r="BA12" s="34" t="n">
        <v>2</v>
      </c>
      <c r="BB12" s="35" t="n">
        <f aca="false">AVERAGEA(BC12, BA12)</f>
        <v>5.75</v>
      </c>
      <c r="BC12" s="34" t="n">
        <v>9.5</v>
      </c>
      <c r="BD12" s="37" t="n">
        <v>8.4</v>
      </c>
      <c r="BE12" s="37" t="n">
        <f aca="false">AVERAGE(BD12,BF12)</f>
        <v>39.45</v>
      </c>
      <c r="BF12" s="36" t="n">
        <v>70.5</v>
      </c>
      <c r="BG12" s="34" t="n">
        <v>46</v>
      </c>
      <c r="BH12" s="35" t="n">
        <f aca="false">AVERAGE(BG12,BI12)</f>
        <v>81.5</v>
      </c>
      <c r="BI12" s="34" t="n">
        <v>117</v>
      </c>
      <c r="BJ12" s="37" t="n">
        <v>67</v>
      </c>
      <c r="BK12" s="37" t="n">
        <f aca="false">AVERAGE(BJ12,BL12)</f>
        <v>88.5</v>
      </c>
      <c r="BL12" s="36" t="n">
        <v>110</v>
      </c>
      <c r="BM12" s="34" t="n">
        <v>1.5</v>
      </c>
      <c r="BN12" s="35" t="n">
        <f aca="false">AVERAGEA(BO12, BM12)</f>
        <v>1.65</v>
      </c>
      <c r="BO12" s="34" t="n">
        <v>1.8</v>
      </c>
      <c r="BP12" s="37" t="n">
        <v>60</v>
      </c>
      <c r="BQ12" s="37" t="n">
        <f aca="false">AVERAGEA(BP12,BR12)</f>
        <v>120</v>
      </c>
      <c r="BR12" s="36" t="n">
        <v>180</v>
      </c>
      <c r="BS12" s="34" t="n">
        <v>1.4</v>
      </c>
      <c r="BT12" s="35" t="n">
        <f aca="false">AVERAGEA(BS12,BU12)</f>
        <v>3.7</v>
      </c>
      <c r="BU12" s="40" t="n">
        <v>6</v>
      </c>
      <c r="BV12" s="37" t="n">
        <v>1.3</v>
      </c>
      <c r="BW12" s="37" t="n">
        <f aca="false">AVERAGEA(BV12,BX12)</f>
        <v>5.65</v>
      </c>
      <c r="BX12" s="36" t="n">
        <v>10</v>
      </c>
      <c r="BY12" s="34"/>
      <c r="BZ12" s="35" t="e">
        <f aca="false">AVERAGEA(BY12,CA12)</f>
        <v>#DIV/0!</v>
      </c>
      <c r="CA12" s="40"/>
      <c r="CB12" s="37"/>
      <c r="CC12" s="37" t="e">
        <f aca="false">AVERAGEA(CB12,CD12)</f>
        <v>#DIV/0!</v>
      </c>
      <c r="CD12" s="36"/>
      <c r="CE12" s="34"/>
      <c r="CF12" s="35" t="e">
        <f aca="false">AVERAGEA(CE12,CG12)</f>
        <v>#DIV/0!</v>
      </c>
      <c r="CG12" s="40"/>
    </row>
    <row r="13" s="18" customFormat="true" ht="26.4" hidden="false" customHeight="true" outlineLevel="0" collapsed="false">
      <c r="B13" s="19"/>
      <c r="C13" s="20"/>
      <c r="D13" s="21"/>
      <c r="E13" s="41" t="s">
        <v>60</v>
      </c>
      <c r="F13" s="32" t="s">
        <v>54</v>
      </c>
      <c r="G13" s="33"/>
      <c r="H13" s="24"/>
      <c r="I13" s="24" t="e">
        <f aca="false">AVERAGE(H13,J13)</f>
        <v>#DIV/0!</v>
      </c>
      <c r="J13" s="24"/>
      <c r="K13" s="34" t="s">
        <v>55</v>
      </c>
      <c r="L13" s="35"/>
      <c r="M13" s="34" t="s">
        <v>55</v>
      </c>
      <c r="N13" s="24" t="n">
        <v>36.6053488967538</v>
      </c>
      <c r="O13" s="24" t="n">
        <f aca="false">AVERAGE(N13,P13)</f>
        <v>37.6975951159586</v>
      </c>
      <c r="P13" s="24" t="n">
        <v>38.7898413351634</v>
      </c>
      <c r="Q13" s="34" t="s">
        <v>55</v>
      </c>
      <c r="R13" s="35"/>
      <c r="S13" s="34" t="s">
        <v>55</v>
      </c>
      <c r="T13" s="36" t="s">
        <v>55</v>
      </c>
      <c r="U13" s="37"/>
      <c r="V13" s="36" t="s">
        <v>55</v>
      </c>
      <c r="W13" s="34" t="s">
        <v>55</v>
      </c>
      <c r="X13" s="35"/>
      <c r="Y13" s="34" t="s">
        <v>55</v>
      </c>
      <c r="Z13" s="36" t="s">
        <v>55</v>
      </c>
      <c r="AA13" s="37"/>
      <c r="AB13" s="37" t="s">
        <v>55</v>
      </c>
      <c r="AC13" s="34" t="n">
        <v>83.8</v>
      </c>
      <c r="AD13" s="35" t="n">
        <f aca="false">AVERAGEA(AE13, AC13)</f>
        <v>84.4</v>
      </c>
      <c r="AE13" s="34" t="n">
        <v>85</v>
      </c>
      <c r="AF13" s="37" t="n">
        <v>50</v>
      </c>
      <c r="AG13" s="37" t="n">
        <f aca="false">AVERAGEA(AH13, AF13)</f>
        <v>35</v>
      </c>
      <c r="AH13" s="37" t="n">
        <v>20</v>
      </c>
      <c r="AI13" s="35" t="n">
        <v>0.58</v>
      </c>
      <c r="AJ13" s="35" t="n">
        <f aca="false">AVERAGEA(AK13, AI13)</f>
        <v>4.29</v>
      </c>
      <c r="AK13" s="35" t="n">
        <v>8</v>
      </c>
      <c r="AL13" s="37" t="n">
        <v>0.58</v>
      </c>
      <c r="AM13" s="37" t="n">
        <f aca="false">AVERAGEA(AN13, AL13)</f>
        <v>4.29</v>
      </c>
      <c r="AN13" s="36" t="n">
        <v>8</v>
      </c>
      <c r="AO13" s="34" t="n">
        <v>3</v>
      </c>
      <c r="AP13" s="35" t="n">
        <f aca="false">AVERAGEA(AQ13, AO13)</f>
        <v>9.5</v>
      </c>
      <c r="AQ13" s="34" t="n">
        <v>16</v>
      </c>
      <c r="AR13" s="37" t="n">
        <v>2</v>
      </c>
      <c r="AS13" s="37" t="n">
        <f aca="false">AVERAGEA(AT13, AR13)</f>
        <v>8.5</v>
      </c>
      <c r="AT13" s="37" t="n">
        <v>15</v>
      </c>
      <c r="AU13" s="35" t="n">
        <v>715</v>
      </c>
      <c r="AV13" s="35" t="n">
        <f aca="false">AVERAGEA(AW13, AU13)</f>
        <v>1107.5</v>
      </c>
      <c r="AW13" s="35" t="n">
        <v>1500</v>
      </c>
      <c r="AX13" s="37" t="n">
        <v>19.9</v>
      </c>
      <c r="AY13" s="37" t="n">
        <f aca="false">AVERAGEA(AZ13, AX13)</f>
        <v>24.95</v>
      </c>
      <c r="AZ13" s="36" t="n">
        <v>30</v>
      </c>
      <c r="BA13" s="34" t="n">
        <v>2</v>
      </c>
      <c r="BB13" s="35" t="n">
        <f aca="false">AVERAGEA(BC13, BA13)</f>
        <v>5.75</v>
      </c>
      <c r="BC13" s="34" t="n">
        <v>9.5</v>
      </c>
      <c r="BD13" s="37" t="n">
        <v>8.4</v>
      </c>
      <c r="BE13" s="37" t="n">
        <f aca="false">AVERAGE(BD13,BF13)</f>
        <v>39.45</v>
      </c>
      <c r="BF13" s="36" t="n">
        <v>70.5</v>
      </c>
      <c r="BG13" s="34" t="n">
        <v>46</v>
      </c>
      <c r="BH13" s="35" t="n">
        <f aca="false">AVERAGE(BG13,BI13)</f>
        <v>81.5</v>
      </c>
      <c r="BI13" s="34" t="n">
        <v>117</v>
      </c>
      <c r="BJ13" s="37" t="n">
        <v>67</v>
      </c>
      <c r="BK13" s="37" t="n">
        <f aca="false">AVERAGE(BJ13,BL13)</f>
        <v>88.5</v>
      </c>
      <c r="BL13" s="36" t="n">
        <v>110</v>
      </c>
      <c r="BM13" s="34" t="n">
        <v>1.5</v>
      </c>
      <c r="BN13" s="35" t="n">
        <f aca="false">AVERAGEA(BO13, BM13)</f>
        <v>1.65</v>
      </c>
      <c r="BO13" s="34" t="n">
        <v>1.8</v>
      </c>
      <c r="BP13" s="37" t="n">
        <v>60</v>
      </c>
      <c r="BQ13" s="37" t="n">
        <f aca="false">AVERAGEA(BP13,BR13)</f>
        <v>120</v>
      </c>
      <c r="BR13" s="36" t="n">
        <v>180</v>
      </c>
      <c r="BS13" s="34" t="n">
        <v>1.4</v>
      </c>
      <c r="BT13" s="35" t="n">
        <f aca="false">AVERAGEA(BS13,BU13)</f>
        <v>3.7</v>
      </c>
      <c r="BU13" s="40" t="n">
        <v>6</v>
      </c>
      <c r="BV13" s="37" t="n">
        <v>1.3</v>
      </c>
      <c r="BW13" s="37" t="n">
        <f aca="false">AVERAGEA(BV13,BX13)</f>
        <v>5.65</v>
      </c>
      <c r="BX13" s="36" t="n">
        <v>10</v>
      </c>
      <c r="BY13" s="34"/>
      <c r="BZ13" s="35" t="e">
        <f aca="false">AVERAGEA(BY13,CA13)</f>
        <v>#DIV/0!</v>
      </c>
      <c r="CA13" s="40"/>
      <c r="CB13" s="37"/>
      <c r="CC13" s="37" t="e">
        <f aca="false">AVERAGEA(CB13,CD13)</f>
        <v>#DIV/0!</v>
      </c>
      <c r="CD13" s="36"/>
      <c r="CE13" s="34"/>
      <c r="CF13" s="35" t="e">
        <f aca="false">AVERAGEA(CE13,CG13)</f>
        <v>#DIV/0!</v>
      </c>
      <c r="CG13" s="40"/>
    </row>
    <row r="14" s="18" customFormat="true" ht="28.35" hidden="false" customHeight="false" outlineLevel="0" collapsed="false">
      <c r="B14" s="19"/>
      <c r="C14" s="20"/>
      <c r="D14" s="21"/>
      <c r="E14" s="41"/>
      <c r="F14" s="32" t="s">
        <v>56</v>
      </c>
      <c r="G14" s="33"/>
      <c r="H14" s="24"/>
      <c r="I14" s="24" t="e">
        <f aca="false">AVERAGE(H14,J14)</f>
        <v>#DIV/0!</v>
      </c>
      <c r="J14" s="24"/>
      <c r="K14" s="34" t="s">
        <v>55</v>
      </c>
      <c r="L14" s="35"/>
      <c r="M14" s="34" t="s">
        <v>55</v>
      </c>
      <c r="N14" s="24" t="n">
        <v>33.9631806266255</v>
      </c>
      <c r="O14" s="24" t="n">
        <f aca="false">AVERAGE(N14,P14)</f>
        <v>35.280893282292</v>
      </c>
      <c r="P14" s="24" t="n">
        <v>36.5986059379585</v>
      </c>
      <c r="Q14" s="34" t="s">
        <v>55</v>
      </c>
      <c r="R14" s="35"/>
      <c r="S14" s="34" t="s">
        <v>55</v>
      </c>
      <c r="T14" s="36" t="s">
        <v>55</v>
      </c>
      <c r="U14" s="37"/>
      <c r="V14" s="36" t="s">
        <v>55</v>
      </c>
      <c r="W14" s="34" t="s">
        <v>55</v>
      </c>
      <c r="X14" s="35"/>
      <c r="Y14" s="34" t="s">
        <v>55</v>
      </c>
      <c r="Z14" s="36" t="s">
        <v>55</v>
      </c>
      <c r="AA14" s="37"/>
      <c r="AB14" s="37" t="s">
        <v>55</v>
      </c>
      <c r="AC14" s="34" t="n">
        <v>83.8</v>
      </c>
      <c r="AD14" s="35" t="n">
        <f aca="false">AVERAGEA(AE14, AC14)</f>
        <v>84.4</v>
      </c>
      <c r="AE14" s="34" t="n">
        <v>85</v>
      </c>
      <c r="AF14" s="37" t="n">
        <v>50</v>
      </c>
      <c r="AG14" s="37" t="n">
        <f aca="false">AVERAGEA(AH14, AF14)</f>
        <v>35</v>
      </c>
      <c r="AH14" s="37" t="n">
        <v>20</v>
      </c>
      <c r="AI14" s="35" t="n">
        <v>0.58</v>
      </c>
      <c r="AJ14" s="35" t="n">
        <f aca="false">AVERAGEA(AK14, AI14)</f>
        <v>4.29</v>
      </c>
      <c r="AK14" s="35" t="n">
        <v>8</v>
      </c>
      <c r="AL14" s="37" t="n">
        <v>0.58</v>
      </c>
      <c r="AM14" s="37" t="n">
        <f aca="false">AVERAGEA(AN14, AL14)</f>
        <v>4.29</v>
      </c>
      <c r="AN14" s="36" t="n">
        <v>8</v>
      </c>
      <c r="AO14" s="34" t="n">
        <v>3</v>
      </c>
      <c r="AP14" s="35" t="n">
        <f aca="false">AVERAGEA(AQ14, AO14)</f>
        <v>9.5</v>
      </c>
      <c r="AQ14" s="34" t="n">
        <v>16</v>
      </c>
      <c r="AR14" s="37" t="n">
        <v>2</v>
      </c>
      <c r="AS14" s="37" t="n">
        <f aca="false">AVERAGEA(AT14, AR14)</f>
        <v>8.5</v>
      </c>
      <c r="AT14" s="37" t="n">
        <v>15</v>
      </c>
      <c r="AU14" s="35" t="n">
        <v>715</v>
      </c>
      <c r="AV14" s="35" t="n">
        <f aca="false">AVERAGEA(AW14, AU14)</f>
        <v>1107.5</v>
      </c>
      <c r="AW14" s="35" t="n">
        <v>1500</v>
      </c>
      <c r="AX14" s="37" t="n">
        <v>19.9</v>
      </c>
      <c r="AY14" s="37" t="n">
        <f aca="false">AVERAGEA(AZ14, AX14)</f>
        <v>24.95</v>
      </c>
      <c r="AZ14" s="36" t="n">
        <v>30</v>
      </c>
      <c r="BA14" s="34" t="n">
        <v>2</v>
      </c>
      <c r="BB14" s="35" t="n">
        <f aca="false">AVERAGEA(BC14, BA14)</f>
        <v>5.75</v>
      </c>
      <c r="BC14" s="34" t="n">
        <v>9.5</v>
      </c>
      <c r="BD14" s="37" t="n">
        <v>8.4</v>
      </c>
      <c r="BE14" s="37" t="n">
        <f aca="false">AVERAGE(BD14,BF14)</f>
        <v>39.45</v>
      </c>
      <c r="BF14" s="36" t="n">
        <v>70.5</v>
      </c>
      <c r="BG14" s="34" t="n">
        <v>46</v>
      </c>
      <c r="BH14" s="35" t="n">
        <f aca="false">AVERAGE(BG14,BI14)</f>
        <v>81.5</v>
      </c>
      <c r="BI14" s="34" t="n">
        <v>117</v>
      </c>
      <c r="BJ14" s="37" t="n">
        <v>67</v>
      </c>
      <c r="BK14" s="37" t="n">
        <f aca="false">AVERAGE(BJ14,BL14)</f>
        <v>88.5</v>
      </c>
      <c r="BL14" s="36" t="n">
        <v>110</v>
      </c>
      <c r="BM14" s="34" t="n">
        <v>1.5</v>
      </c>
      <c r="BN14" s="35" t="n">
        <f aca="false">AVERAGEA(BO14, BM14)</f>
        <v>1.65</v>
      </c>
      <c r="BO14" s="34" t="n">
        <v>1.8</v>
      </c>
      <c r="BP14" s="37" t="n">
        <v>60</v>
      </c>
      <c r="BQ14" s="37" t="n">
        <f aca="false">AVERAGEA(BP14,BR14)</f>
        <v>120</v>
      </c>
      <c r="BR14" s="36" t="n">
        <v>180</v>
      </c>
      <c r="BS14" s="34" t="n">
        <v>1.4</v>
      </c>
      <c r="BT14" s="35" t="n">
        <f aca="false">AVERAGEA(BS14,BU14)</f>
        <v>3.7</v>
      </c>
      <c r="BU14" s="40" t="n">
        <v>6</v>
      </c>
      <c r="BV14" s="37" t="n">
        <v>1.3</v>
      </c>
      <c r="BW14" s="37" t="n">
        <f aca="false">AVERAGEA(BV14,BX14)</f>
        <v>5.65</v>
      </c>
      <c r="BX14" s="36" t="n">
        <v>10</v>
      </c>
      <c r="BY14" s="34"/>
      <c r="BZ14" s="35" t="e">
        <f aca="false">AVERAGEA(BY14,CA14)</f>
        <v>#DIV/0!</v>
      </c>
      <c r="CA14" s="40"/>
      <c r="CB14" s="37"/>
      <c r="CC14" s="37" t="e">
        <f aca="false">AVERAGEA(CB14,CD14)</f>
        <v>#DIV/0!</v>
      </c>
      <c r="CD14" s="36"/>
      <c r="CE14" s="34"/>
      <c r="CF14" s="35" t="e">
        <f aca="false">AVERAGEA(CE14,CG14)</f>
        <v>#DIV/0!</v>
      </c>
      <c r="CG14" s="40"/>
    </row>
    <row r="15" s="18" customFormat="true" ht="28.35" hidden="false" customHeight="false" outlineLevel="0" collapsed="false">
      <c r="B15" s="19"/>
      <c r="C15" s="20"/>
      <c r="D15" s="21"/>
      <c r="E15" s="41"/>
      <c r="F15" s="32" t="s">
        <v>57</v>
      </c>
      <c r="G15" s="33"/>
      <c r="H15" s="24"/>
      <c r="I15" s="24" t="e">
        <f aca="false">AVERAGE(H15,J15)</f>
        <v>#DIV/0!</v>
      </c>
      <c r="J15" s="24"/>
      <c r="K15" s="34" t="s">
        <v>55</v>
      </c>
      <c r="L15" s="35"/>
      <c r="M15" s="34" t="s">
        <v>55</v>
      </c>
      <c r="N15" s="24" t="n">
        <v>25.8932451769239</v>
      </c>
      <c r="O15" s="24" t="n">
        <f aca="false">AVERAGE(N15,P15)</f>
        <v>29.9192034680751</v>
      </c>
      <c r="P15" s="24" t="n">
        <v>33.9451617592263</v>
      </c>
      <c r="Q15" s="34" t="s">
        <v>55</v>
      </c>
      <c r="R15" s="35"/>
      <c r="S15" s="34" t="s">
        <v>55</v>
      </c>
      <c r="T15" s="36" t="s">
        <v>55</v>
      </c>
      <c r="U15" s="37"/>
      <c r="V15" s="36" t="s">
        <v>55</v>
      </c>
      <c r="W15" s="34" t="s">
        <v>55</v>
      </c>
      <c r="X15" s="35"/>
      <c r="Y15" s="34" t="s">
        <v>55</v>
      </c>
      <c r="Z15" s="36" t="s">
        <v>55</v>
      </c>
      <c r="AA15" s="37"/>
      <c r="AB15" s="37" t="s">
        <v>55</v>
      </c>
      <c r="AC15" s="34" t="n">
        <v>83.8</v>
      </c>
      <c r="AD15" s="35" t="n">
        <f aca="false">AVERAGEA(AE15, AC15)</f>
        <v>84.4</v>
      </c>
      <c r="AE15" s="34" t="n">
        <v>85</v>
      </c>
      <c r="AF15" s="37" t="n">
        <v>50</v>
      </c>
      <c r="AG15" s="37" t="n">
        <f aca="false">AVERAGEA(AH15, AF15)</f>
        <v>35</v>
      </c>
      <c r="AH15" s="37" t="n">
        <v>20</v>
      </c>
      <c r="AI15" s="35" t="n">
        <v>0.58</v>
      </c>
      <c r="AJ15" s="35" t="n">
        <f aca="false">AVERAGEA(AK15, AI15)</f>
        <v>4.29</v>
      </c>
      <c r="AK15" s="35" t="n">
        <v>8</v>
      </c>
      <c r="AL15" s="37" t="n">
        <v>0.58</v>
      </c>
      <c r="AM15" s="37" t="n">
        <f aca="false">AVERAGEA(AN15, AL15)</f>
        <v>4.29</v>
      </c>
      <c r="AN15" s="36" t="n">
        <v>8</v>
      </c>
      <c r="AO15" s="34" t="n">
        <v>3</v>
      </c>
      <c r="AP15" s="35" t="n">
        <f aca="false">AVERAGEA(AQ15, AO15)</f>
        <v>9.5</v>
      </c>
      <c r="AQ15" s="34" t="n">
        <v>16</v>
      </c>
      <c r="AR15" s="37" t="n">
        <v>2</v>
      </c>
      <c r="AS15" s="37" t="n">
        <f aca="false">AVERAGEA(AT15, AR15)</f>
        <v>8.5</v>
      </c>
      <c r="AT15" s="37" t="n">
        <v>15</v>
      </c>
      <c r="AU15" s="35" t="n">
        <v>715</v>
      </c>
      <c r="AV15" s="35" t="n">
        <f aca="false">AVERAGEA(AW15, AU15)</f>
        <v>1107.5</v>
      </c>
      <c r="AW15" s="35" t="n">
        <v>1500</v>
      </c>
      <c r="AX15" s="37" t="n">
        <v>19.9</v>
      </c>
      <c r="AY15" s="37" t="n">
        <f aca="false">AVERAGEA(AZ15, AX15)</f>
        <v>24.95</v>
      </c>
      <c r="AZ15" s="36" t="n">
        <v>30</v>
      </c>
      <c r="BA15" s="34" t="n">
        <v>2</v>
      </c>
      <c r="BB15" s="35" t="n">
        <f aca="false">AVERAGEA(BC15, BA15)</f>
        <v>5.75</v>
      </c>
      <c r="BC15" s="34" t="n">
        <v>9.5</v>
      </c>
      <c r="BD15" s="37" t="n">
        <v>8.4</v>
      </c>
      <c r="BE15" s="37" t="n">
        <f aca="false">AVERAGE(BD15,BF15)</f>
        <v>39.45</v>
      </c>
      <c r="BF15" s="36" t="n">
        <v>70.5</v>
      </c>
      <c r="BG15" s="34" t="n">
        <v>46</v>
      </c>
      <c r="BH15" s="35" t="n">
        <f aca="false">AVERAGE(BG15,BI15)</f>
        <v>81.5</v>
      </c>
      <c r="BI15" s="34" t="n">
        <v>117</v>
      </c>
      <c r="BJ15" s="37" t="n">
        <v>67</v>
      </c>
      <c r="BK15" s="37" t="n">
        <f aca="false">AVERAGE(BJ15,BL15)</f>
        <v>88.5</v>
      </c>
      <c r="BL15" s="36" t="n">
        <v>110</v>
      </c>
      <c r="BM15" s="34" t="n">
        <v>1.5</v>
      </c>
      <c r="BN15" s="35" t="n">
        <f aca="false">AVERAGEA(BO15, BM15)</f>
        <v>1.65</v>
      </c>
      <c r="BO15" s="34" t="n">
        <v>1.8</v>
      </c>
      <c r="BP15" s="37" t="n">
        <v>60</v>
      </c>
      <c r="BQ15" s="37" t="n">
        <f aca="false">AVERAGEA(BP15,BR15)</f>
        <v>120</v>
      </c>
      <c r="BR15" s="36" t="n">
        <v>180</v>
      </c>
      <c r="BS15" s="34" t="n">
        <v>1.4</v>
      </c>
      <c r="BT15" s="35" t="n">
        <f aca="false">AVERAGEA(BS15,BU15)</f>
        <v>3.7</v>
      </c>
      <c r="BU15" s="40" t="n">
        <v>6</v>
      </c>
      <c r="BV15" s="37" t="n">
        <v>1.3</v>
      </c>
      <c r="BW15" s="37" t="n">
        <f aca="false">AVERAGEA(BV15,BX15)</f>
        <v>5.65</v>
      </c>
      <c r="BX15" s="36" t="n">
        <v>10</v>
      </c>
      <c r="BY15" s="34"/>
      <c r="BZ15" s="35" t="e">
        <f aca="false">AVERAGEA(BY15,CA15)</f>
        <v>#DIV/0!</v>
      </c>
      <c r="CA15" s="40"/>
      <c r="CB15" s="37"/>
      <c r="CC15" s="37" t="e">
        <f aca="false">AVERAGEA(CB15,CD15)</f>
        <v>#DIV/0!</v>
      </c>
      <c r="CD15" s="36"/>
      <c r="CE15" s="34"/>
      <c r="CF15" s="35" t="e">
        <f aca="false">AVERAGEA(CE15,CG15)</f>
        <v>#DIV/0!</v>
      </c>
      <c r="CG15" s="40"/>
    </row>
    <row r="16" s="18" customFormat="true" ht="28.35" hidden="false" customHeight="false" outlineLevel="0" collapsed="false">
      <c r="B16" s="19"/>
      <c r="C16" s="20"/>
      <c r="D16" s="21"/>
      <c r="E16" s="41"/>
      <c r="F16" s="32" t="s">
        <v>58</v>
      </c>
      <c r="G16" s="33"/>
      <c r="H16" s="24"/>
      <c r="I16" s="24" t="e">
        <f aca="false">AVERAGE(H16,J16)</f>
        <v>#DIV/0!</v>
      </c>
      <c r="J16" s="24"/>
      <c r="K16" s="34" t="s">
        <v>55</v>
      </c>
      <c r="L16" s="35"/>
      <c r="M16" s="34" t="s">
        <v>55</v>
      </c>
      <c r="N16" s="24" t="n">
        <v>20.4654779973505</v>
      </c>
      <c r="O16" s="24" t="n">
        <f aca="false">AVERAGE(N16,P16)</f>
        <v>23.1612820496938</v>
      </c>
      <c r="P16" s="24" t="n">
        <v>25.857086102037</v>
      </c>
      <c r="Q16" s="34" t="s">
        <v>55</v>
      </c>
      <c r="R16" s="35"/>
      <c r="S16" s="34" t="s">
        <v>55</v>
      </c>
      <c r="T16" s="36" t="s">
        <v>55</v>
      </c>
      <c r="U16" s="37"/>
      <c r="V16" s="36" t="s">
        <v>55</v>
      </c>
      <c r="W16" s="34" t="s">
        <v>55</v>
      </c>
      <c r="X16" s="35"/>
      <c r="Y16" s="34" t="s">
        <v>55</v>
      </c>
      <c r="Z16" s="36" t="s">
        <v>55</v>
      </c>
      <c r="AA16" s="37"/>
      <c r="AB16" s="37" t="s">
        <v>55</v>
      </c>
      <c r="AC16" s="34" t="n">
        <v>83.8</v>
      </c>
      <c r="AD16" s="35" t="n">
        <f aca="false">AVERAGEA(AE16, AC16)</f>
        <v>84.4</v>
      </c>
      <c r="AE16" s="34" t="n">
        <v>85</v>
      </c>
      <c r="AF16" s="37" t="n">
        <v>50</v>
      </c>
      <c r="AG16" s="37" t="n">
        <f aca="false">AVERAGEA(AH16, AF16)</f>
        <v>35</v>
      </c>
      <c r="AH16" s="37" t="n">
        <v>20</v>
      </c>
      <c r="AI16" s="35" t="n">
        <v>0.58</v>
      </c>
      <c r="AJ16" s="35" t="n">
        <f aca="false">AVERAGEA(AK16, AI16)</f>
        <v>4.29</v>
      </c>
      <c r="AK16" s="35" t="n">
        <v>8</v>
      </c>
      <c r="AL16" s="37" t="n">
        <v>0.58</v>
      </c>
      <c r="AM16" s="37" t="n">
        <f aca="false">AVERAGEA(AN16, AL16)</f>
        <v>4.29</v>
      </c>
      <c r="AN16" s="36" t="n">
        <v>8</v>
      </c>
      <c r="AO16" s="34" t="n">
        <v>3</v>
      </c>
      <c r="AP16" s="35" t="n">
        <f aca="false">AVERAGEA(AQ16, AO16)</f>
        <v>9.5</v>
      </c>
      <c r="AQ16" s="34" t="n">
        <v>16</v>
      </c>
      <c r="AR16" s="37" t="n">
        <v>2</v>
      </c>
      <c r="AS16" s="37" t="n">
        <f aca="false">AVERAGEA(AT16, AR16)</f>
        <v>8.5</v>
      </c>
      <c r="AT16" s="37" t="n">
        <v>15</v>
      </c>
      <c r="AU16" s="35" t="n">
        <v>715</v>
      </c>
      <c r="AV16" s="35" t="n">
        <f aca="false">AVERAGEA(AW16, AU16)</f>
        <v>1107.5</v>
      </c>
      <c r="AW16" s="35" t="n">
        <v>1500</v>
      </c>
      <c r="AX16" s="37" t="n">
        <v>19.9</v>
      </c>
      <c r="AY16" s="37" t="n">
        <f aca="false">AVERAGEA(AZ16, AX16)</f>
        <v>24.95</v>
      </c>
      <c r="AZ16" s="36" t="n">
        <v>30</v>
      </c>
      <c r="BA16" s="34" t="n">
        <v>2</v>
      </c>
      <c r="BB16" s="35" t="n">
        <f aca="false">AVERAGEA(BC16, BA16)</f>
        <v>5.75</v>
      </c>
      <c r="BC16" s="34" t="n">
        <v>9.5</v>
      </c>
      <c r="BD16" s="37" t="n">
        <v>8.4</v>
      </c>
      <c r="BE16" s="37" t="n">
        <f aca="false">AVERAGE(BD16,BF16)</f>
        <v>39.45</v>
      </c>
      <c r="BF16" s="36" t="n">
        <v>70.5</v>
      </c>
      <c r="BG16" s="34" t="n">
        <v>46</v>
      </c>
      <c r="BH16" s="35" t="n">
        <f aca="false">AVERAGE(BG16,BI16)</f>
        <v>81.5</v>
      </c>
      <c r="BI16" s="34" t="n">
        <v>117</v>
      </c>
      <c r="BJ16" s="37" t="n">
        <v>67</v>
      </c>
      <c r="BK16" s="37" t="n">
        <f aca="false">AVERAGE(BJ16,BL16)</f>
        <v>88.5</v>
      </c>
      <c r="BL16" s="36" t="n">
        <v>110</v>
      </c>
      <c r="BM16" s="34" t="n">
        <v>1.5</v>
      </c>
      <c r="BN16" s="35" t="n">
        <f aca="false">AVERAGEA(BO16, BM16)</f>
        <v>1.65</v>
      </c>
      <c r="BO16" s="34" t="n">
        <v>1.8</v>
      </c>
      <c r="BP16" s="37" t="n">
        <v>60</v>
      </c>
      <c r="BQ16" s="37" t="n">
        <f aca="false">AVERAGEA(BP16,BR16)</f>
        <v>120</v>
      </c>
      <c r="BR16" s="36" t="n">
        <v>180</v>
      </c>
      <c r="BS16" s="34" t="n">
        <v>1.4</v>
      </c>
      <c r="BT16" s="35" t="n">
        <f aca="false">AVERAGEA(BS16,BU16)</f>
        <v>3.7</v>
      </c>
      <c r="BU16" s="40" t="n">
        <v>6</v>
      </c>
      <c r="BV16" s="37" t="n">
        <v>1.3</v>
      </c>
      <c r="BW16" s="37" t="n">
        <f aca="false">AVERAGEA(BV16,BX16)</f>
        <v>5.65</v>
      </c>
      <c r="BX16" s="36" t="n">
        <v>10</v>
      </c>
      <c r="BY16" s="34"/>
      <c r="BZ16" s="35" t="e">
        <f aca="false">AVERAGEA(BY16,CA16)</f>
        <v>#DIV/0!</v>
      </c>
      <c r="CA16" s="40"/>
      <c r="CB16" s="37"/>
      <c r="CC16" s="37" t="e">
        <f aca="false">AVERAGEA(CB16,CD16)</f>
        <v>#DIV/0!</v>
      </c>
      <c r="CD16" s="36"/>
      <c r="CE16" s="34"/>
      <c r="CF16" s="35" t="e">
        <f aca="false">AVERAGEA(CE16,CG16)</f>
        <v>#DIV/0!</v>
      </c>
      <c r="CG16" s="40"/>
    </row>
    <row r="17" s="18" customFormat="true" ht="26.4" hidden="false" customHeight="true" outlineLevel="0" collapsed="false">
      <c r="B17" s="19"/>
      <c r="C17" s="20" t="s">
        <v>61</v>
      </c>
      <c r="D17" s="42" t="s">
        <v>62</v>
      </c>
      <c r="E17" s="41" t="s">
        <v>53</v>
      </c>
      <c r="F17" s="32" t="s">
        <v>54</v>
      </c>
      <c r="G17" s="33"/>
      <c r="H17" s="24"/>
      <c r="I17" s="24" t="e">
        <f aca="false">AVERAGE(H17,J17)</f>
        <v>#DIV/0!</v>
      </c>
      <c r="J17" s="24"/>
      <c r="K17" s="34" t="s">
        <v>55</v>
      </c>
      <c r="L17" s="35"/>
      <c r="M17" s="34" t="s">
        <v>55</v>
      </c>
      <c r="N17" s="24" t="n">
        <v>41.7382594495549</v>
      </c>
      <c r="O17" s="24" t="n">
        <f aca="false">AVERAGE(N17,P17)</f>
        <v>42.9836636719965</v>
      </c>
      <c r="P17" s="24" t="n">
        <v>44.2290678944381</v>
      </c>
      <c r="Q17" s="34" t="s">
        <v>55</v>
      </c>
      <c r="R17" s="35"/>
      <c r="S17" s="34" t="s">
        <v>55</v>
      </c>
      <c r="T17" s="36" t="s">
        <v>55</v>
      </c>
      <c r="U17" s="37"/>
      <c r="V17" s="36" t="s">
        <v>55</v>
      </c>
      <c r="W17" s="34" t="s">
        <v>55</v>
      </c>
      <c r="X17" s="35"/>
      <c r="Y17" s="34" t="s">
        <v>55</v>
      </c>
      <c r="Z17" s="36" t="s">
        <v>55</v>
      </c>
      <c r="AA17" s="37"/>
      <c r="AB17" s="37" t="s">
        <v>55</v>
      </c>
      <c r="AC17" s="34" t="n">
        <v>82</v>
      </c>
      <c r="AD17" s="35" t="n">
        <f aca="false">AVERAGEA(AE17, AC17)</f>
        <v>86.6</v>
      </c>
      <c r="AE17" s="34" t="n">
        <v>91.2</v>
      </c>
      <c r="AF17" s="37" t="n">
        <v>50</v>
      </c>
      <c r="AG17" s="37" t="n">
        <f aca="false">AVERAGEA(AH17, AF17)</f>
        <v>35</v>
      </c>
      <c r="AH17" s="36" t="n">
        <v>20</v>
      </c>
      <c r="AI17" s="34" t="n">
        <v>0.66</v>
      </c>
      <c r="AJ17" s="35" t="n">
        <f aca="false">AVERAGEA(AK17, AI17)</f>
        <v>4.33</v>
      </c>
      <c r="AK17" s="35" t="n">
        <v>8</v>
      </c>
      <c r="AL17" s="37" t="n">
        <v>0.66</v>
      </c>
      <c r="AM17" s="37" t="n">
        <f aca="false">AVERAGEA(AN17, AL17)</f>
        <v>3.33</v>
      </c>
      <c r="AN17" s="36" t="n">
        <v>6</v>
      </c>
      <c r="AO17" s="34" t="n">
        <v>3</v>
      </c>
      <c r="AP17" s="35" t="n">
        <f aca="false">AVERAGEA(AQ17, AO17)</f>
        <v>6.5</v>
      </c>
      <c r="AQ17" s="34" t="n">
        <v>10</v>
      </c>
      <c r="AR17" s="37" t="n">
        <v>1.5</v>
      </c>
      <c r="AS17" s="37" t="n">
        <f aca="false">AVERAGEA(AT17, AR17)</f>
        <v>2.25</v>
      </c>
      <c r="AT17" s="36" t="n">
        <v>3</v>
      </c>
      <c r="AU17" s="34" t="n">
        <v>715</v>
      </c>
      <c r="AV17" s="35" t="n">
        <f aca="false">AVERAGEA(AW17, AU17)</f>
        <v>1530.5</v>
      </c>
      <c r="AW17" s="34" t="n">
        <v>2346</v>
      </c>
      <c r="AX17" s="37" t="n">
        <v>14.7</v>
      </c>
      <c r="AY17" s="37" t="n">
        <f aca="false">AVERAGEA(AZ17, AX17)</f>
        <v>28.85</v>
      </c>
      <c r="AZ17" s="36" t="n">
        <v>43</v>
      </c>
      <c r="BA17" s="34" t="n">
        <v>2</v>
      </c>
      <c r="BB17" s="35" t="n">
        <f aca="false">AVERAGEA(BC17, BA17)</f>
        <v>4</v>
      </c>
      <c r="BC17" s="34" t="n">
        <v>6</v>
      </c>
      <c r="BD17" s="37" t="n">
        <v>3.56</v>
      </c>
      <c r="BE17" s="37" t="n">
        <f aca="false">AVERAGE(BD17,BF17)</f>
        <v>22.03</v>
      </c>
      <c r="BF17" s="36" t="n">
        <v>40.5</v>
      </c>
      <c r="BG17" s="34" t="n">
        <v>5.7</v>
      </c>
      <c r="BH17" s="35" t="n">
        <f aca="false">AVERAGE(BG17,BI17)</f>
        <v>26.85</v>
      </c>
      <c r="BI17" s="34" t="n">
        <v>48</v>
      </c>
      <c r="BJ17" s="37" t="n">
        <v>6.2</v>
      </c>
      <c r="BK17" s="37" t="n">
        <f aca="false">AVERAGE(BJ17,BL17)</f>
        <v>42.1</v>
      </c>
      <c r="BL17" s="36" t="n">
        <v>78</v>
      </c>
      <c r="BM17" s="34" t="n">
        <v>1.3</v>
      </c>
      <c r="BN17" s="35" t="n">
        <f aca="false">AVERAGEA(BO17, BM17)</f>
        <v>1.55</v>
      </c>
      <c r="BO17" s="34" t="n">
        <v>1.8</v>
      </c>
      <c r="BP17" s="37" t="n">
        <v>60</v>
      </c>
      <c r="BQ17" s="37" t="n">
        <f aca="false">AVERAGEA(BP17,BR17)</f>
        <v>180</v>
      </c>
      <c r="BR17" s="36" t="n">
        <v>300</v>
      </c>
      <c r="BS17" s="34" t="n">
        <v>2</v>
      </c>
      <c r="BT17" s="35" t="n">
        <f aca="false">AVERAGEA(BS17,BU17)</f>
        <v>5</v>
      </c>
      <c r="BU17" s="40" t="n">
        <v>8</v>
      </c>
      <c r="BV17" s="37" t="n">
        <v>4</v>
      </c>
      <c r="BW17" s="37" t="n">
        <f aca="false">AVERAGEA(BV17,BX17)</f>
        <v>8</v>
      </c>
      <c r="BX17" s="36" t="n">
        <v>12</v>
      </c>
      <c r="BY17" s="34"/>
      <c r="BZ17" s="35" t="e">
        <f aca="false">AVERAGEA(BY17,CA17)</f>
        <v>#DIV/0!</v>
      </c>
      <c r="CA17" s="40"/>
      <c r="CB17" s="37"/>
      <c r="CC17" s="37" t="e">
        <f aca="false">AVERAGEA(CB17,CD17)</f>
        <v>#DIV/0!</v>
      </c>
      <c r="CD17" s="36"/>
      <c r="CE17" s="34"/>
      <c r="CF17" s="35" t="e">
        <f aca="false">AVERAGEA(CE17,CG17)</f>
        <v>#DIV/0!</v>
      </c>
      <c r="CG17" s="40"/>
    </row>
    <row r="18" s="18" customFormat="true" ht="28.35" hidden="false" customHeight="false" outlineLevel="0" collapsed="false">
      <c r="B18" s="19"/>
      <c r="C18" s="20"/>
      <c r="D18" s="42"/>
      <c r="E18" s="41"/>
      <c r="F18" s="32" t="s">
        <v>56</v>
      </c>
      <c r="G18" s="33"/>
      <c r="H18" s="24"/>
      <c r="I18" s="24" t="e">
        <f aca="false">AVERAGE(H18,J18)</f>
        <v>#DIV/0!</v>
      </c>
      <c r="J18" s="24"/>
      <c r="K18" s="34" t="s">
        <v>55</v>
      </c>
      <c r="L18" s="35"/>
      <c r="M18" s="34" t="s">
        <v>55</v>
      </c>
      <c r="N18" s="24" t="n">
        <v>38.725598510875</v>
      </c>
      <c r="O18" s="24" t="n">
        <f aca="false">AVERAGE(N18,P18)</f>
        <v>40.2280847419801</v>
      </c>
      <c r="P18" s="24" t="n">
        <v>41.7305709730852</v>
      </c>
      <c r="Q18" s="34" t="s">
        <v>55</v>
      </c>
      <c r="R18" s="35"/>
      <c r="S18" s="34" t="s">
        <v>55</v>
      </c>
      <c r="T18" s="36" t="s">
        <v>55</v>
      </c>
      <c r="U18" s="37"/>
      <c r="V18" s="36" t="s">
        <v>55</v>
      </c>
      <c r="W18" s="34" t="s">
        <v>55</v>
      </c>
      <c r="X18" s="35"/>
      <c r="Y18" s="34" t="s">
        <v>55</v>
      </c>
      <c r="Z18" s="36" t="s">
        <v>55</v>
      </c>
      <c r="AA18" s="37"/>
      <c r="AB18" s="37" t="s">
        <v>55</v>
      </c>
      <c r="AC18" s="34" t="n">
        <v>82</v>
      </c>
      <c r="AD18" s="35" t="n">
        <f aca="false">AVERAGEA(AE18, AC18)</f>
        <v>86.6</v>
      </c>
      <c r="AE18" s="34" t="n">
        <v>91.2</v>
      </c>
      <c r="AF18" s="37" t="n">
        <v>50</v>
      </c>
      <c r="AG18" s="37" t="n">
        <f aca="false">AVERAGEA(AH18, AF18)</f>
        <v>35</v>
      </c>
      <c r="AH18" s="36" t="n">
        <v>20</v>
      </c>
      <c r="AI18" s="34" t="n">
        <v>0.66</v>
      </c>
      <c r="AJ18" s="35" t="n">
        <f aca="false">AVERAGEA(AK18, AI18)</f>
        <v>4.33</v>
      </c>
      <c r="AK18" s="35" t="n">
        <v>8</v>
      </c>
      <c r="AL18" s="37" t="n">
        <v>0.66</v>
      </c>
      <c r="AM18" s="37" t="n">
        <f aca="false">AVERAGEA(AN18, AL18)</f>
        <v>3.33</v>
      </c>
      <c r="AN18" s="36" t="n">
        <v>6</v>
      </c>
      <c r="AO18" s="34" t="n">
        <v>3</v>
      </c>
      <c r="AP18" s="35" t="n">
        <f aca="false">AVERAGEA(AQ18, AO18)</f>
        <v>6.5</v>
      </c>
      <c r="AQ18" s="34" t="n">
        <v>10</v>
      </c>
      <c r="AR18" s="37" t="n">
        <v>1.5</v>
      </c>
      <c r="AS18" s="37" t="n">
        <f aca="false">AVERAGEA(AT18, AR18)</f>
        <v>2.25</v>
      </c>
      <c r="AT18" s="36" t="n">
        <v>3</v>
      </c>
      <c r="AU18" s="34" t="n">
        <v>715</v>
      </c>
      <c r="AV18" s="35" t="n">
        <f aca="false">AVERAGEA(AW18, AU18)</f>
        <v>1530.5</v>
      </c>
      <c r="AW18" s="34" t="n">
        <v>2346</v>
      </c>
      <c r="AX18" s="37" t="n">
        <v>14.7</v>
      </c>
      <c r="AY18" s="37" t="n">
        <f aca="false">AVERAGEA(AZ18, AX18)</f>
        <v>28.85</v>
      </c>
      <c r="AZ18" s="36" t="n">
        <v>43</v>
      </c>
      <c r="BA18" s="34" t="n">
        <v>2</v>
      </c>
      <c r="BB18" s="35" t="n">
        <f aca="false">AVERAGEA(BC18, BA18)</f>
        <v>4</v>
      </c>
      <c r="BC18" s="34" t="n">
        <v>6</v>
      </c>
      <c r="BD18" s="37" t="n">
        <v>3.56</v>
      </c>
      <c r="BE18" s="37" t="n">
        <f aca="false">AVERAGE(BD18,BF18)</f>
        <v>22.03</v>
      </c>
      <c r="BF18" s="36" t="n">
        <v>40.5</v>
      </c>
      <c r="BG18" s="34" t="n">
        <v>5.7</v>
      </c>
      <c r="BH18" s="35" t="n">
        <f aca="false">AVERAGE(BG18,BI18)</f>
        <v>26.85</v>
      </c>
      <c r="BI18" s="34" t="n">
        <v>48</v>
      </c>
      <c r="BJ18" s="37" t="n">
        <v>6.2</v>
      </c>
      <c r="BK18" s="37" t="n">
        <f aca="false">AVERAGE(BJ18,BL18)</f>
        <v>42.1</v>
      </c>
      <c r="BL18" s="36" t="n">
        <v>78</v>
      </c>
      <c r="BM18" s="34" t="n">
        <v>1.3</v>
      </c>
      <c r="BN18" s="35" t="n">
        <f aca="false">AVERAGEA(BO18, BM18)</f>
        <v>1.55</v>
      </c>
      <c r="BO18" s="34" t="n">
        <v>1.8</v>
      </c>
      <c r="BP18" s="37" t="n">
        <v>60</v>
      </c>
      <c r="BQ18" s="37" t="n">
        <f aca="false">AVERAGEA(BP18,BR18)</f>
        <v>180</v>
      </c>
      <c r="BR18" s="36" t="n">
        <v>300</v>
      </c>
      <c r="BS18" s="34" t="n">
        <v>2</v>
      </c>
      <c r="BT18" s="35" t="n">
        <f aca="false">AVERAGEA(BS18,BU18)</f>
        <v>5</v>
      </c>
      <c r="BU18" s="40" t="n">
        <v>8</v>
      </c>
      <c r="BV18" s="37" t="n">
        <v>4</v>
      </c>
      <c r="BW18" s="37" t="n">
        <f aca="false">AVERAGEA(BV18,BX18)</f>
        <v>8</v>
      </c>
      <c r="BX18" s="36" t="n">
        <v>12</v>
      </c>
      <c r="BY18" s="34"/>
      <c r="BZ18" s="35" t="e">
        <f aca="false">AVERAGEA(BY18,CA18)</f>
        <v>#DIV/0!</v>
      </c>
      <c r="CA18" s="40"/>
      <c r="CB18" s="37"/>
      <c r="CC18" s="37" t="e">
        <f aca="false">AVERAGEA(CB18,CD18)</f>
        <v>#DIV/0!</v>
      </c>
      <c r="CD18" s="36"/>
      <c r="CE18" s="34"/>
      <c r="CF18" s="35" t="e">
        <f aca="false">AVERAGEA(CE18,CG18)</f>
        <v>#DIV/0!</v>
      </c>
      <c r="CG18" s="40"/>
    </row>
    <row r="19" s="18" customFormat="true" ht="28.35" hidden="false" customHeight="false" outlineLevel="0" collapsed="false">
      <c r="B19" s="19"/>
      <c r="C19" s="20"/>
      <c r="D19" s="42"/>
      <c r="E19" s="41"/>
      <c r="F19" s="32" t="s">
        <v>57</v>
      </c>
      <c r="G19" s="33"/>
      <c r="H19" s="24"/>
      <c r="I19" s="24" t="e">
        <f aca="false">AVERAGE(H19,J19)</f>
        <v>#DIV/0!</v>
      </c>
      <c r="J19" s="24"/>
      <c r="K19" s="34" t="s">
        <v>55</v>
      </c>
      <c r="L19" s="35"/>
      <c r="M19" s="34" t="s">
        <v>55</v>
      </c>
      <c r="N19" s="24" t="n">
        <v>29.5240727860191</v>
      </c>
      <c r="O19" s="24" t="n">
        <f aca="false">AVERAGE(N19,P19)</f>
        <v>34.1145628852422</v>
      </c>
      <c r="P19" s="24" t="n">
        <v>38.7050529844653</v>
      </c>
      <c r="Q19" s="34" t="s">
        <v>55</v>
      </c>
      <c r="R19" s="35"/>
      <c r="S19" s="34" t="s">
        <v>55</v>
      </c>
      <c r="T19" s="36" t="s">
        <v>55</v>
      </c>
      <c r="U19" s="37"/>
      <c r="V19" s="36" t="s">
        <v>55</v>
      </c>
      <c r="W19" s="34" t="s">
        <v>55</v>
      </c>
      <c r="X19" s="35"/>
      <c r="Y19" s="34" t="s">
        <v>55</v>
      </c>
      <c r="Z19" s="36" t="s">
        <v>55</v>
      </c>
      <c r="AA19" s="37"/>
      <c r="AB19" s="37" t="s">
        <v>55</v>
      </c>
      <c r="AC19" s="34" t="n">
        <v>82</v>
      </c>
      <c r="AD19" s="35" t="n">
        <f aca="false">AVERAGEA(AE19, AC19)</f>
        <v>86.6</v>
      </c>
      <c r="AE19" s="34" t="n">
        <v>91.2</v>
      </c>
      <c r="AF19" s="37" t="n">
        <v>50</v>
      </c>
      <c r="AG19" s="37" t="n">
        <f aca="false">AVERAGEA(AH19, AF19)</f>
        <v>35</v>
      </c>
      <c r="AH19" s="36" t="n">
        <v>20</v>
      </c>
      <c r="AI19" s="34" t="n">
        <v>0.66</v>
      </c>
      <c r="AJ19" s="35" t="n">
        <f aca="false">AVERAGEA(AK19, AI19)</f>
        <v>4.33</v>
      </c>
      <c r="AK19" s="35" t="n">
        <v>8</v>
      </c>
      <c r="AL19" s="37" t="n">
        <v>0.66</v>
      </c>
      <c r="AM19" s="37" t="n">
        <f aca="false">AVERAGEA(AN19, AL19)</f>
        <v>3.33</v>
      </c>
      <c r="AN19" s="36" t="n">
        <v>6</v>
      </c>
      <c r="AO19" s="34" t="n">
        <v>3</v>
      </c>
      <c r="AP19" s="35" t="n">
        <f aca="false">AVERAGEA(AQ19, AO19)</f>
        <v>6.5</v>
      </c>
      <c r="AQ19" s="34" t="n">
        <v>10</v>
      </c>
      <c r="AR19" s="37" t="n">
        <v>1.5</v>
      </c>
      <c r="AS19" s="37" t="n">
        <f aca="false">AVERAGEA(AT19, AR19)</f>
        <v>2.25</v>
      </c>
      <c r="AT19" s="36" t="n">
        <v>3</v>
      </c>
      <c r="AU19" s="34" t="n">
        <v>715</v>
      </c>
      <c r="AV19" s="35" t="n">
        <f aca="false">AVERAGEA(AW19, AU19)</f>
        <v>1530.5</v>
      </c>
      <c r="AW19" s="34" t="n">
        <v>2346</v>
      </c>
      <c r="AX19" s="37" t="n">
        <v>14.7</v>
      </c>
      <c r="AY19" s="37" t="n">
        <f aca="false">AVERAGEA(AZ19, AX19)</f>
        <v>28.85</v>
      </c>
      <c r="AZ19" s="36" t="n">
        <v>43</v>
      </c>
      <c r="BA19" s="34" t="n">
        <v>2</v>
      </c>
      <c r="BB19" s="35" t="n">
        <f aca="false">AVERAGEA(BC19, BA19)</f>
        <v>4</v>
      </c>
      <c r="BC19" s="34" t="n">
        <v>6</v>
      </c>
      <c r="BD19" s="37" t="n">
        <v>3.56</v>
      </c>
      <c r="BE19" s="37" t="n">
        <f aca="false">AVERAGE(BD19,BF19)</f>
        <v>22.03</v>
      </c>
      <c r="BF19" s="36" t="n">
        <v>40.5</v>
      </c>
      <c r="BG19" s="34" t="n">
        <v>5.7</v>
      </c>
      <c r="BH19" s="35" t="n">
        <f aca="false">AVERAGE(BG19,BI19)</f>
        <v>26.85</v>
      </c>
      <c r="BI19" s="34" t="n">
        <v>48</v>
      </c>
      <c r="BJ19" s="37" t="n">
        <v>6.2</v>
      </c>
      <c r="BK19" s="37" t="n">
        <f aca="false">AVERAGE(BJ19,BL19)</f>
        <v>42.1</v>
      </c>
      <c r="BL19" s="36" t="n">
        <v>78</v>
      </c>
      <c r="BM19" s="34" t="n">
        <v>1.3</v>
      </c>
      <c r="BN19" s="35" t="n">
        <f aca="false">AVERAGEA(BO19, BM19)</f>
        <v>1.55</v>
      </c>
      <c r="BO19" s="34" t="n">
        <v>1.8</v>
      </c>
      <c r="BP19" s="37" t="n">
        <v>60</v>
      </c>
      <c r="BQ19" s="37" t="n">
        <f aca="false">AVERAGEA(BP19,BR19)</f>
        <v>180</v>
      </c>
      <c r="BR19" s="36" t="n">
        <v>300</v>
      </c>
      <c r="BS19" s="34" t="n">
        <v>2</v>
      </c>
      <c r="BT19" s="35" t="n">
        <f aca="false">AVERAGEA(BS19,BU19)</f>
        <v>5</v>
      </c>
      <c r="BU19" s="40" t="n">
        <v>8</v>
      </c>
      <c r="BV19" s="37" t="n">
        <v>4</v>
      </c>
      <c r="BW19" s="37" t="n">
        <f aca="false">AVERAGEA(BV19,BX19)</f>
        <v>8</v>
      </c>
      <c r="BX19" s="36" t="n">
        <v>12</v>
      </c>
      <c r="BY19" s="34"/>
      <c r="BZ19" s="35" t="e">
        <f aca="false">AVERAGEA(BY19,CA19)</f>
        <v>#DIV/0!</v>
      </c>
      <c r="CA19" s="40"/>
      <c r="CB19" s="37"/>
      <c r="CC19" s="37" t="e">
        <f aca="false">AVERAGEA(CB19,CD19)</f>
        <v>#DIV/0!</v>
      </c>
      <c r="CD19" s="36"/>
      <c r="CE19" s="34"/>
      <c r="CF19" s="35" t="e">
        <f aca="false">AVERAGEA(CE19,CG19)</f>
        <v>#DIV/0!</v>
      </c>
      <c r="CG19" s="40"/>
    </row>
    <row r="20" s="18" customFormat="true" ht="28.35" hidden="false" customHeight="false" outlineLevel="0" collapsed="false">
      <c r="B20" s="19"/>
      <c r="C20" s="20"/>
      <c r="D20" s="42"/>
      <c r="E20" s="41"/>
      <c r="F20" s="32" t="s">
        <v>58</v>
      </c>
      <c r="G20" s="33"/>
      <c r="H20" s="24"/>
      <c r="I20" s="24" t="e">
        <f aca="false">AVERAGE(H20,J20)</f>
        <v>#DIV/0!</v>
      </c>
      <c r="J20" s="24"/>
      <c r="K20" s="34" t="s">
        <v>55</v>
      </c>
      <c r="L20" s="35"/>
      <c r="M20" s="34" t="s">
        <v>55</v>
      </c>
      <c r="N20" s="24" t="n">
        <v>23.335207999843</v>
      </c>
      <c r="O20" s="24" t="n">
        <f aca="false">AVERAGE(N20,P20)</f>
        <v>26.4090256891436</v>
      </c>
      <c r="P20" s="24" t="n">
        <v>29.4828433784443</v>
      </c>
      <c r="Q20" s="34" t="s">
        <v>55</v>
      </c>
      <c r="R20" s="35"/>
      <c r="S20" s="34" t="s">
        <v>55</v>
      </c>
      <c r="T20" s="36" t="s">
        <v>55</v>
      </c>
      <c r="U20" s="37"/>
      <c r="V20" s="36" t="s">
        <v>55</v>
      </c>
      <c r="W20" s="34" t="s">
        <v>55</v>
      </c>
      <c r="X20" s="35"/>
      <c r="Y20" s="34" t="s">
        <v>55</v>
      </c>
      <c r="Z20" s="36" t="s">
        <v>55</v>
      </c>
      <c r="AA20" s="37"/>
      <c r="AB20" s="37" t="s">
        <v>55</v>
      </c>
      <c r="AC20" s="34" t="n">
        <v>82</v>
      </c>
      <c r="AD20" s="35" t="n">
        <f aca="false">AVERAGEA(AE20, AC20)</f>
        <v>86.6</v>
      </c>
      <c r="AE20" s="34" t="n">
        <v>91.2</v>
      </c>
      <c r="AF20" s="37" t="n">
        <v>50</v>
      </c>
      <c r="AG20" s="37" t="n">
        <f aca="false">AVERAGEA(AH20, AF20)</f>
        <v>35</v>
      </c>
      <c r="AH20" s="36" t="n">
        <v>20</v>
      </c>
      <c r="AI20" s="34" t="n">
        <v>0.66</v>
      </c>
      <c r="AJ20" s="35" t="n">
        <f aca="false">AVERAGEA(AK20, AI20)</f>
        <v>4.33</v>
      </c>
      <c r="AK20" s="35" t="n">
        <v>8</v>
      </c>
      <c r="AL20" s="37" t="n">
        <v>0.66</v>
      </c>
      <c r="AM20" s="37" t="n">
        <f aca="false">AVERAGEA(AN20, AL20)</f>
        <v>3.33</v>
      </c>
      <c r="AN20" s="36" t="n">
        <v>6</v>
      </c>
      <c r="AO20" s="34" t="n">
        <v>3</v>
      </c>
      <c r="AP20" s="35" t="n">
        <f aca="false">AVERAGEA(AQ20, AO20)</f>
        <v>6.5</v>
      </c>
      <c r="AQ20" s="34" t="n">
        <v>10</v>
      </c>
      <c r="AR20" s="37" t="n">
        <v>1.5</v>
      </c>
      <c r="AS20" s="37" t="n">
        <f aca="false">AVERAGEA(AT20, AR20)</f>
        <v>2.25</v>
      </c>
      <c r="AT20" s="36" t="n">
        <v>3</v>
      </c>
      <c r="AU20" s="34" t="n">
        <v>715</v>
      </c>
      <c r="AV20" s="35" t="n">
        <f aca="false">AVERAGEA(AW20, AU20)</f>
        <v>1530.5</v>
      </c>
      <c r="AW20" s="34" t="n">
        <v>2346</v>
      </c>
      <c r="AX20" s="37" t="n">
        <v>14.7</v>
      </c>
      <c r="AY20" s="37" t="n">
        <f aca="false">AVERAGEA(AZ20, AX20)</f>
        <v>28.85</v>
      </c>
      <c r="AZ20" s="36" t="n">
        <v>43</v>
      </c>
      <c r="BA20" s="34" t="n">
        <v>2</v>
      </c>
      <c r="BB20" s="35" t="n">
        <f aca="false">AVERAGEA(BC20, BA20)</f>
        <v>4</v>
      </c>
      <c r="BC20" s="34" t="n">
        <v>6</v>
      </c>
      <c r="BD20" s="37" t="n">
        <v>3.56</v>
      </c>
      <c r="BE20" s="37" t="n">
        <f aca="false">AVERAGE(BD20,BF20)</f>
        <v>22.03</v>
      </c>
      <c r="BF20" s="36" t="n">
        <v>40.5</v>
      </c>
      <c r="BG20" s="34" t="n">
        <v>5.7</v>
      </c>
      <c r="BH20" s="35" t="n">
        <f aca="false">AVERAGE(BG20,BI20)</f>
        <v>26.85</v>
      </c>
      <c r="BI20" s="34" t="n">
        <v>48</v>
      </c>
      <c r="BJ20" s="37" t="n">
        <v>6.2</v>
      </c>
      <c r="BK20" s="37" t="n">
        <f aca="false">AVERAGE(BJ20,BL20)</f>
        <v>42.1</v>
      </c>
      <c r="BL20" s="36" t="n">
        <v>78</v>
      </c>
      <c r="BM20" s="34" t="n">
        <v>1.3</v>
      </c>
      <c r="BN20" s="35" t="n">
        <f aca="false">AVERAGEA(BO20, BM20)</f>
        <v>1.55</v>
      </c>
      <c r="BO20" s="34" t="n">
        <v>1.8</v>
      </c>
      <c r="BP20" s="37" t="n">
        <v>60</v>
      </c>
      <c r="BQ20" s="37" t="n">
        <f aca="false">AVERAGEA(BP20,BR20)</f>
        <v>180</v>
      </c>
      <c r="BR20" s="36" t="n">
        <v>300</v>
      </c>
      <c r="BS20" s="34" t="n">
        <v>2</v>
      </c>
      <c r="BT20" s="35" t="n">
        <f aca="false">AVERAGEA(BS20,BU20)</f>
        <v>5</v>
      </c>
      <c r="BU20" s="40" t="n">
        <v>8</v>
      </c>
      <c r="BV20" s="37" t="n">
        <v>4</v>
      </c>
      <c r="BW20" s="37" t="n">
        <f aca="false">AVERAGEA(BV20,BX20)</f>
        <v>8</v>
      </c>
      <c r="BX20" s="36" t="n">
        <v>12</v>
      </c>
      <c r="BY20" s="34"/>
      <c r="BZ20" s="35" t="e">
        <f aca="false">AVERAGEA(BY20,CA20)</f>
        <v>#DIV/0!</v>
      </c>
      <c r="CA20" s="40"/>
      <c r="CB20" s="37"/>
      <c r="CC20" s="37" t="e">
        <f aca="false">AVERAGEA(CB20,CD20)</f>
        <v>#DIV/0!</v>
      </c>
      <c r="CD20" s="36"/>
      <c r="CE20" s="34"/>
      <c r="CF20" s="35" t="e">
        <f aca="false">AVERAGEA(CE20,CG20)</f>
        <v>#DIV/0!</v>
      </c>
      <c r="CG20" s="40"/>
    </row>
    <row r="21" s="18" customFormat="true" ht="26.4" hidden="false" customHeight="true" outlineLevel="0" collapsed="false">
      <c r="B21" s="19"/>
      <c r="C21" s="20"/>
      <c r="D21" s="42"/>
      <c r="E21" s="41" t="s">
        <v>59</v>
      </c>
      <c r="F21" s="32" t="s">
        <v>54</v>
      </c>
      <c r="G21" s="33"/>
      <c r="H21" s="24"/>
      <c r="I21" s="24" t="e">
        <f aca="false">AVERAGE(H21,J21)</f>
        <v>#DIV/0!</v>
      </c>
      <c r="J21" s="24"/>
      <c r="K21" s="34" t="s">
        <v>55</v>
      </c>
      <c r="L21" s="35"/>
      <c r="M21" s="34" t="s">
        <v>55</v>
      </c>
      <c r="N21" s="24" t="n">
        <v>38.4335162183416</v>
      </c>
      <c r="O21" s="24" t="n">
        <f aca="false">AVERAGE(N21,P21)</f>
        <v>39.5803120841215</v>
      </c>
      <c r="P21" s="24" t="n">
        <v>40.7271079499015</v>
      </c>
      <c r="Q21" s="34" t="s">
        <v>55</v>
      </c>
      <c r="R21" s="35"/>
      <c r="S21" s="34" t="s">
        <v>55</v>
      </c>
      <c r="T21" s="36" t="s">
        <v>55</v>
      </c>
      <c r="U21" s="37"/>
      <c r="V21" s="36" t="s">
        <v>55</v>
      </c>
      <c r="W21" s="34" t="s">
        <v>55</v>
      </c>
      <c r="X21" s="35"/>
      <c r="Y21" s="34" t="s">
        <v>55</v>
      </c>
      <c r="Z21" s="36" t="s">
        <v>55</v>
      </c>
      <c r="AA21" s="37"/>
      <c r="AB21" s="37" t="s">
        <v>55</v>
      </c>
      <c r="AC21" s="34" t="n">
        <v>82</v>
      </c>
      <c r="AD21" s="35" t="n">
        <f aca="false">AVERAGEA(AE21, AC21)</f>
        <v>86.6</v>
      </c>
      <c r="AE21" s="34" t="n">
        <v>91.2</v>
      </c>
      <c r="AF21" s="37" t="n">
        <v>50</v>
      </c>
      <c r="AG21" s="37" t="n">
        <f aca="false">AVERAGEA(AH21, AF21)</f>
        <v>35</v>
      </c>
      <c r="AH21" s="36" t="n">
        <v>20</v>
      </c>
      <c r="AI21" s="34" t="n">
        <v>0.66</v>
      </c>
      <c r="AJ21" s="35" t="n">
        <f aca="false">AVERAGEA(AK21, AI21)</f>
        <v>4.33</v>
      </c>
      <c r="AK21" s="35" t="n">
        <v>8</v>
      </c>
      <c r="AL21" s="37" t="n">
        <v>0.66</v>
      </c>
      <c r="AM21" s="37" t="n">
        <f aca="false">AVERAGEA(AN21, AL21)</f>
        <v>3.33</v>
      </c>
      <c r="AN21" s="36" t="n">
        <v>6</v>
      </c>
      <c r="AO21" s="34" t="n">
        <v>3</v>
      </c>
      <c r="AP21" s="35" t="n">
        <f aca="false">AVERAGEA(AQ21, AO21)</f>
        <v>6.5</v>
      </c>
      <c r="AQ21" s="34" t="n">
        <v>10</v>
      </c>
      <c r="AR21" s="37" t="n">
        <v>1.5</v>
      </c>
      <c r="AS21" s="37" t="n">
        <f aca="false">AVERAGEA(AT21, AR21)</f>
        <v>2.25</v>
      </c>
      <c r="AT21" s="36" t="n">
        <v>3</v>
      </c>
      <c r="AU21" s="34" t="n">
        <v>715</v>
      </c>
      <c r="AV21" s="35" t="n">
        <f aca="false">AVERAGEA(AW21, AU21)</f>
        <v>1530.5</v>
      </c>
      <c r="AW21" s="34" t="n">
        <v>2346</v>
      </c>
      <c r="AX21" s="37" t="n">
        <v>14.7</v>
      </c>
      <c r="AY21" s="37" t="n">
        <f aca="false">AVERAGEA(AZ21, AX21)</f>
        <v>28.85</v>
      </c>
      <c r="AZ21" s="36" t="n">
        <v>43</v>
      </c>
      <c r="BA21" s="34" t="n">
        <v>2</v>
      </c>
      <c r="BB21" s="35" t="n">
        <f aca="false">AVERAGEA(BC21, BA21)</f>
        <v>4</v>
      </c>
      <c r="BC21" s="34" t="n">
        <v>6</v>
      </c>
      <c r="BD21" s="37" t="n">
        <v>3.56</v>
      </c>
      <c r="BE21" s="37" t="n">
        <f aca="false">AVERAGE(BD21,BF21)</f>
        <v>22.03</v>
      </c>
      <c r="BF21" s="36" t="n">
        <v>40.5</v>
      </c>
      <c r="BG21" s="34" t="n">
        <v>5.7</v>
      </c>
      <c r="BH21" s="35" t="n">
        <f aca="false">AVERAGE(BG21,BI21)</f>
        <v>26.85</v>
      </c>
      <c r="BI21" s="34" t="n">
        <v>48</v>
      </c>
      <c r="BJ21" s="37" t="n">
        <v>6.2</v>
      </c>
      <c r="BK21" s="37" t="n">
        <f aca="false">AVERAGE(BJ21,BL21)</f>
        <v>42.1</v>
      </c>
      <c r="BL21" s="36" t="n">
        <v>78</v>
      </c>
      <c r="BM21" s="34" t="n">
        <v>1.3</v>
      </c>
      <c r="BN21" s="35" t="n">
        <f aca="false">AVERAGEA(BO21, BM21)</f>
        <v>1.55</v>
      </c>
      <c r="BO21" s="34" t="n">
        <v>1.8</v>
      </c>
      <c r="BP21" s="37" t="n">
        <v>60</v>
      </c>
      <c r="BQ21" s="37" t="n">
        <f aca="false">AVERAGEA(BP21,BR21)</f>
        <v>180</v>
      </c>
      <c r="BR21" s="36" t="n">
        <v>300</v>
      </c>
      <c r="BS21" s="34" t="n">
        <v>2</v>
      </c>
      <c r="BT21" s="35" t="n">
        <f aca="false">AVERAGEA(BS21,BU21)</f>
        <v>5</v>
      </c>
      <c r="BU21" s="40" t="n">
        <v>8</v>
      </c>
      <c r="BV21" s="37" t="n">
        <v>4</v>
      </c>
      <c r="BW21" s="37" t="n">
        <f aca="false">AVERAGEA(BV21,BX21)</f>
        <v>8</v>
      </c>
      <c r="BX21" s="36" t="n">
        <v>12</v>
      </c>
      <c r="BY21" s="34"/>
      <c r="BZ21" s="35" t="e">
        <f aca="false">AVERAGEA(BY21,CA21)</f>
        <v>#DIV/0!</v>
      </c>
      <c r="CA21" s="40"/>
      <c r="CB21" s="37"/>
      <c r="CC21" s="37" t="e">
        <f aca="false">AVERAGEA(CB21,CD21)</f>
        <v>#DIV/0!</v>
      </c>
      <c r="CD21" s="36"/>
      <c r="CE21" s="34"/>
      <c r="CF21" s="35" t="e">
        <f aca="false">AVERAGEA(CE21,CG21)</f>
        <v>#DIV/0!</v>
      </c>
      <c r="CG21" s="40"/>
    </row>
    <row r="22" s="18" customFormat="true" ht="28.35" hidden="false" customHeight="false" outlineLevel="0" collapsed="false">
      <c r="B22" s="19"/>
      <c r="C22" s="20"/>
      <c r="D22" s="42"/>
      <c r="E22" s="41"/>
      <c r="F22" s="32" t="s">
        <v>56</v>
      </c>
      <c r="G22" s="33"/>
      <c r="H22" s="24"/>
      <c r="I22" s="24" t="e">
        <f aca="false">AVERAGE(H22,J22)</f>
        <v>#DIV/0!</v>
      </c>
      <c r="J22" s="24"/>
      <c r="K22" s="34" t="s">
        <v>55</v>
      </c>
      <c r="L22" s="35"/>
      <c r="M22" s="34" t="s">
        <v>55</v>
      </c>
      <c r="N22" s="24" t="n">
        <v>35.6593911212695</v>
      </c>
      <c r="O22" s="24" t="n">
        <f aca="false">AVERAGE(N22,P22)</f>
        <v>37.0429138098666</v>
      </c>
      <c r="P22" s="24" t="n">
        <v>38.4264364984637</v>
      </c>
      <c r="Q22" s="34" t="s">
        <v>55</v>
      </c>
      <c r="R22" s="35"/>
      <c r="S22" s="34" t="s">
        <v>55</v>
      </c>
      <c r="T22" s="36" t="s">
        <v>55</v>
      </c>
      <c r="U22" s="37"/>
      <c r="V22" s="36" t="s">
        <v>55</v>
      </c>
      <c r="W22" s="34" t="s">
        <v>55</v>
      </c>
      <c r="X22" s="35"/>
      <c r="Y22" s="34" t="s">
        <v>55</v>
      </c>
      <c r="Z22" s="36" t="s">
        <v>55</v>
      </c>
      <c r="AA22" s="37"/>
      <c r="AB22" s="37" t="s">
        <v>55</v>
      </c>
      <c r="AC22" s="34" t="n">
        <v>82</v>
      </c>
      <c r="AD22" s="35" t="n">
        <f aca="false">AVERAGEA(AE22, AC22)</f>
        <v>86.6</v>
      </c>
      <c r="AE22" s="34" t="n">
        <v>91.2</v>
      </c>
      <c r="AF22" s="37" t="n">
        <v>50</v>
      </c>
      <c r="AG22" s="37" t="n">
        <f aca="false">AVERAGEA(AH22, AF22)</f>
        <v>35</v>
      </c>
      <c r="AH22" s="36" t="n">
        <v>20</v>
      </c>
      <c r="AI22" s="34" t="n">
        <v>0.66</v>
      </c>
      <c r="AJ22" s="35" t="n">
        <f aca="false">AVERAGEA(AK22, AI22)</f>
        <v>4.33</v>
      </c>
      <c r="AK22" s="35" t="n">
        <v>8</v>
      </c>
      <c r="AL22" s="37" t="n">
        <v>0.66</v>
      </c>
      <c r="AM22" s="37" t="n">
        <f aca="false">AVERAGEA(AN22, AL22)</f>
        <v>3.33</v>
      </c>
      <c r="AN22" s="36" t="n">
        <v>6</v>
      </c>
      <c r="AO22" s="34" t="n">
        <v>3</v>
      </c>
      <c r="AP22" s="35" t="n">
        <f aca="false">AVERAGEA(AQ22, AO22)</f>
        <v>6.5</v>
      </c>
      <c r="AQ22" s="34" t="n">
        <v>10</v>
      </c>
      <c r="AR22" s="37" t="n">
        <v>1.5</v>
      </c>
      <c r="AS22" s="37" t="n">
        <f aca="false">AVERAGEA(AT22, AR22)</f>
        <v>2.25</v>
      </c>
      <c r="AT22" s="36" t="n">
        <v>3</v>
      </c>
      <c r="AU22" s="34" t="n">
        <v>715</v>
      </c>
      <c r="AV22" s="35" t="n">
        <f aca="false">AVERAGEA(AW22, AU22)</f>
        <v>1530.5</v>
      </c>
      <c r="AW22" s="34" t="n">
        <v>2346</v>
      </c>
      <c r="AX22" s="37" t="n">
        <v>14.7</v>
      </c>
      <c r="AY22" s="37" t="n">
        <f aca="false">AVERAGEA(AZ22, AX22)</f>
        <v>28.85</v>
      </c>
      <c r="AZ22" s="36" t="n">
        <v>43</v>
      </c>
      <c r="BA22" s="34" t="n">
        <v>2</v>
      </c>
      <c r="BB22" s="35" t="n">
        <f aca="false">AVERAGEA(BC22, BA22)</f>
        <v>4</v>
      </c>
      <c r="BC22" s="34" t="n">
        <v>6</v>
      </c>
      <c r="BD22" s="37" t="n">
        <v>3.56</v>
      </c>
      <c r="BE22" s="37" t="n">
        <f aca="false">AVERAGE(BD22,BF22)</f>
        <v>22.03</v>
      </c>
      <c r="BF22" s="36" t="n">
        <v>40.5</v>
      </c>
      <c r="BG22" s="34" t="n">
        <v>5.7</v>
      </c>
      <c r="BH22" s="35" t="n">
        <f aca="false">AVERAGE(BG22,BI22)</f>
        <v>26.85</v>
      </c>
      <c r="BI22" s="34" t="n">
        <v>48</v>
      </c>
      <c r="BJ22" s="37" t="n">
        <v>6.2</v>
      </c>
      <c r="BK22" s="37" t="n">
        <f aca="false">AVERAGE(BJ22,BL22)</f>
        <v>42.1</v>
      </c>
      <c r="BL22" s="36" t="n">
        <v>78</v>
      </c>
      <c r="BM22" s="34" t="n">
        <v>1.3</v>
      </c>
      <c r="BN22" s="35" t="n">
        <f aca="false">AVERAGEA(BO22, BM22)</f>
        <v>1.55</v>
      </c>
      <c r="BO22" s="34" t="n">
        <v>1.8</v>
      </c>
      <c r="BP22" s="37" t="n">
        <v>60</v>
      </c>
      <c r="BQ22" s="37" t="n">
        <f aca="false">AVERAGEA(BP22,BR22)</f>
        <v>180</v>
      </c>
      <c r="BR22" s="36" t="n">
        <v>300</v>
      </c>
      <c r="BS22" s="34" t="n">
        <v>2</v>
      </c>
      <c r="BT22" s="35" t="n">
        <f aca="false">AVERAGEA(BS22,BU22)</f>
        <v>5</v>
      </c>
      <c r="BU22" s="40" t="n">
        <v>8</v>
      </c>
      <c r="BV22" s="37" t="n">
        <v>4</v>
      </c>
      <c r="BW22" s="37" t="n">
        <f aca="false">AVERAGEA(BV22,BX22)</f>
        <v>8</v>
      </c>
      <c r="BX22" s="36" t="n">
        <v>12</v>
      </c>
      <c r="BY22" s="34"/>
      <c r="BZ22" s="35" t="e">
        <f aca="false">AVERAGEA(BY22,CA22)</f>
        <v>#DIV/0!</v>
      </c>
      <c r="CA22" s="40"/>
      <c r="CB22" s="37"/>
      <c r="CC22" s="37" t="e">
        <f aca="false">AVERAGEA(CB22,CD22)</f>
        <v>#DIV/0!</v>
      </c>
      <c r="CD22" s="36"/>
      <c r="CE22" s="34"/>
      <c r="CF22" s="35" t="e">
        <f aca="false">AVERAGEA(CE22,CG22)</f>
        <v>#DIV/0!</v>
      </c>
      <c r="CG22" s="40"/>
    </row>
    <row r="23" s="18" customFormat="true" ht="28.35" hidden="false" customHeight="false" outlineLevel="0" collapsed="false">
      <c r="B23" s="19"/>
      <c r="C23" s="20"/>
      <c r="D23" s="42"/>
      <c r="E23" s="41"/>
      <c r="F23" s="32" t="s">
        <v>57</v>
      </c>
      <c r="G23" s="33"/>
      <c r="H23" s="24"/>
      <c r="I23" s="24" t="e">
        <f aca="false">AVERAGE(H23,J23)</f>
        <v>#DIV/0!</v>
      </c>
      <c r="J23" s="24"/>
      <c r="K23" s="34" t="s">
        <v>55</v>
      </c>
      <c r="L23" s="35"/>
      <c r="M23" s="34" t="s">
        <v>55</v>
      </c>
      <c r="N23" s="24" t="n">
        <v>27.186421887678</v>
      </c>
      <c r="O23" s="24" t="n">
        <f aca="false">AVERAGE(N23,P23)</f>
        <v>31.4134471159787</v>
      </c>
      <c r="P23" s="24" t="n">
        <v>35.6404723442794</v>
      </c>
      <c r="Q23" s="34" t="s">
        <v>55</v>
      </c>
      <c r="R23" s="35"/>
      <c r="S23" s="34" t="s">
        <v>55</v>
      </c>
      <c r="T23" s="36" t="s">
        <v>55</v>
      </c>
      <c r="U23" s="37"/>
      <c r="V23" s="36" t="s">
        <v>55</v>
      </c>
      <c r="W23" s="34" t="s">
        <v>55</v>
      </c>
      <c r="X23" s="35"/>
      <c r="Y23" s="34" t="s">
        <v>55</v>
      </c>
      <c r="Z23" s="36" t="s">
        <v>55</v>
      </c>
      <c r="AA23" s="37"/>
      <c r="AB23" s="37" t="s">
        <v>55</v>
      </c>
      <c r="AC23" s="34" t="n">
        <v>82</v>
      </c>
      <c r="AD23" s="35" t="n">
        <f aca="false">AVERAGEA(AE23, AC23)</f>
        <v>86.6</v>
      </c>
      <c r="AE23" s="34" t="n">
        <v>91.2</v>
      </c>
      <c r="AF23" s="37" t="n">
        <v>50</v>
      </c>
      <c r="AG23" s="37" t="n">
        <f aca="false">AVERAGEA(AH23, AF23)</f>
        <v>35</v>
      </c>
      <c r="AH23" s="36" t="n">
        <v>20</v>
      </c>
      <c r="AI23" s="34" t="n">
        <v>0.66</v>
      </c>
      <c r="AJ23" s="35" t="n">
        <f aca="false">AVERAGEA(AK23, AI23)</f>
        <v>4.33</v>
      </c>
      <c r="AK23" s="35" t="n">
        <v>8</v>
      </c>
      <c r="AL23" s="37" t="n">
        <v>0.66</v>
      </c>
      <c r="AM23" s="37" t="n">
        <f aca="false">AVERAGEA(AN23, AL23)</f>
        <v>3.33</v>
      </c>
      <c r="AN23" s="36" t="n">
        <v>6</v>
      </c>
      <c r="AO23" s="34" t="n">
        <v>3</v>
      </c>
      <c r="AP23" s="35" t="n">
        <f aca="false">AVERAGEA(AQ23, AO23)</f>
        <v>6.5</v>
      </c>
      <c r="AQ23" s="34" t="n">
        <v>10</v>
      </c>
      <c r="AR23" s="37" t="n">
        <v>1.5</v>
      </c>
      <c r="AS23" s="37" t="n">
        <f aca="false">AVERAGEA(AT23, AR23)</f>
        <v>2.25</v>
      </c>
      <c r="AT23" s="36" t="n">
        <v>3</v>
      </c>
      <c r="AU23" s="34" t="n">
        <v>715</v>
      </c>
      <c r="AV23" s="35" t="n">
        <f aca="false">AVERAGEA(AW23, AU23)</f>
        <v>1530.5</v>
      </c>
      <c r="AW23" s="34" t="n">
        <v>2346</v>
      </c>
      <c r="AX23" s="37" t="n">
        <v>14.7</v>
      </c>
      <c r="AY23" s="37" t="n">
        <f aca="false">AVERAGEA(AZ23, AX23)</f>
        <v>28.85</v>
      </c>
      <c r="AZ23" s="36" t="n">
        <v>43</v>
      </c>
      <c r="BA23" s="34" t="n">
        <v>2</v>
      </c>
      <c r="BB23" s="35" t="n">
        <f aca="false">AVERAGEA(BC23, BA23)</f>
        <v>4</v>
      </c>
      <c r="BC23" s="34" t="n">
        <v>6</v>
      </c>
      <c r="BD23" s="37" t="n">
        <v>3.56</v>
      </c>
      <c r="BE23" s="37" t="n">
        <f aca="false">AVERAGE(BD23,BF23)</f>
        <v>22.03</v>
      </c>
      <c r="BF23" s="36" t="n">
        <v>40.5</v>
      </c>
      <c r="BG23" s="34" t="n">
        <v>5.7</v>
      </c>
      <c r="BH23" s="35" t="n">
        <f aca="false">AVERAGE(BG23,BI23)</f>
        <v>26.85</v>
      </c>
      <c r="BI23" s="34" t="n">
        <v>48</v>
      </c>
      <c r="BJ23" s="37" t="n">
        <v>6.2</v>
      </c>
      <c r="BK23" s="37" t="n">
        <f aca="false">AVERAGE(BJ23,BL23)</f>
        <v>42.1</v>
      </c>
      <c r="BL23" s="36" t="n">
        <v>78</v>
      </c>
      <c r="BM23" s="34" t="n">
        <v>1.3</v>
      </c>
      <c r="BN23" s="35" t="n">
        <f aca="false">AVERAGEA(BO23, BM23)</f>
        <v>1.55</v>
      </c>
      <c r="BO23" s="34" t="n">
        <v>1.8</v>
      </c>
      <c r="BP23" s="37" t="n">
        <v>60</v>
      </c>
      <c r="BQ23" s="37" t="n">
        <f aca="false">AVERAGEA(BP23,BR23)</f>
        <v>180</v>
      </c>
      <c r="BR23" s="36" t="n">
        <v>300</v>
      </c>
      <c r="BS23" s="34" t="n">
        <v>2</v>
      </c>
      <c r="BT23" s="35" t="n">
        <f aca="false">AVERAGEA(BS23,BU23)</f>
        <v>5</v>
      </c>
      <c r="BU23" s="40" t="n">
        <v>8</v>
      </c>
      <c r="BV23" s="37" t="n">
        <v>4</v>
      </c>
      <c r="BW23" s="37" t="n">
        <f aca="false">AVERAGEA(BV23,BX23)</f>
        <v>8</v>
      </c>
      <c r="BX23" s="36" t="n">
        <v>12</v>
      </c>
      <c r="BY23" s="34"/>
      <c r="BZ23" s="35" t="e">
        <f aca="false">AVERAGEA(BY23,CA23)</f>
        <v>#DIV/0!</v>
      </c>
      <c r="CA23" s="40"/>
      <c r="CB23" s="37"/>
      <c r="CC23" s="37" t="e">
        <f aca="false">AVERAGEA(CB23,CD23)</f>
        <v>#DIV/0!</v>
      </c>
      <c r="CD23" s="36"/>
      <c r="CE23" s="34"/>
      <c r="CF23" s="35" t="e">
        <f aca="false">AVERAGEA(CE23,CG23)</f>
        <v>#DIV/0!</v>
      </c>
      <c r="CG23" s="40"/>
    </row>
    <row r="24" s="18" customFormat="true" ht="28.35" hidden="false" customHeight="false" outlineLevel="0" collapsed="false">
      <c r="B24" s="19"/>
      <c r="C24" s="20"/>
      <c r="D24" s="42"/>
      <c r="E24" s="41"/>
      <c r="F24" s="32" t="s">
        <v>58</v>
      </c>
      <c r="G24" s="33"/>
      <c r="H24" s="24"/>
      <c r="I24" s="24" t="e">
        <f aca="false">AVERAGE(H24,J24)</f>
        <v>#DIV/0!</v>
      </c>
      <c r="J24" s="24"/>
      <c r="K24" s="34" t="s">
        <v>55</v>
      </c>
      <c r="L24" s="35"/>
      <c r="M24" s="34" t="s">
        <v>55</v>
      </c>
      <c r="N24" s="24" t="n">
        <v>21.4875777511586</v>
      </c>
      <c r="O24" s="24" t="n">
        <f aca="false">AVERAGE(N24,P24)</f>
        <v>24.3180173423625</v>
      </c>
      <c r="P24" s="24" t="n">
        <v>27.1484569335664</v>
      </c>
      <c r="Q24" s="34" t="s">
        <v>55</v>
      </c>
      <c r="R24" s="35"/>
      <c r="S24" s="34" t="s">
        <v>55</v>
      </c>
      <c r="T24" s="36" t="s">
        <v>55</v>
      </c>
      <c r="U24" s="37"/>
      <c r="V24" s="36" t="s">
        <v>55</v>
      </c>
      <c r="W24" s="34" t="s">
        <v>55</v>
      </c>
      <c r="X24" s="35"/>
      <c r="Y24" s="34" t="s">
        <v>55</v>
      </c>
      <c r="Z24" s="36" t="s">
        <v>55</v>
      </c>
      <c r="AA24" s="37"/>
      <c r="AB24" s="37" t="s">
        <v>55</v>
      </c>
      <c r="AC24" s="34" t="n">
        <v>82</v>
      </c>
      <c r="AD24" s="35" t="n">
        <f aca="false">AVERAGEA(AE24, AC24)</f>
        <v>86.6</v>
      </c>
      <c r="AE24" s="34" t="n">
        <v>91.2</v>
      </c>
      <c r="AF24" s="37" t="n">
        <v>50</v>
      </c>
      <c r="AG24" s="37" t="n">
        <f aca="false">AVERAGEA(AH24, AF24)</f>
        <v>35</v>
      </c>
      <c r="AH24" s="36" t="n">
        <v>20</v>
      </c>
      <c r="AI24" s="34" t="n">
        <v>0.66</v>
      </c>
      <c r="AJ24" s="35" t="n">
        <f aca="false">AVERAGEA(AK24, AI24)</f>
        <v>4.33</v>
      </c>
      <c r="AK24" s="35" t="n">
        <v>8</v>
      </c>
      <c r="AL24" s="37" t="n">
        <v>0.66</v>
      </c>
      <c r="AM24" s="37" t="n">
        <f aca="false">AVERAGEA(AN24, AL24)</f>
        <v>3.33</v>
      </c>
      <c r="AN24" s="36" t="n">
        <v>6</v>
      </c>
      <c r="AO24" s="34" t="n">
        <v>3</v>
      </c>
      <c r="AP24" s="35" t="n">
        <f aca="false">AVERAGEA(AQ24, AO24)</f>
        <v>6.5</v>
      </c>
      <c r="AQ24" s="34" t="n">
        <v>10</v>
      </c>
      <c r="AR24" s="37" t="n">
        <v>1.5</v>
      </c>
      <c r="AS24" s="37" t="n">
        <f aca="false">AVERAGEA(AT24, AR24)</f>
        <v>2.25</v>
      </c>
      <c r="AT24" s="36" t="n">
        <v>3</v>
      </c>
      <c r="AU24" s="34" t="n">
        <v>715</v>
      </c>
      <c r="AV24" s="35" t="n">
        <f aca="false">AVERAGEA(AW24, AU24)</f>
        <v>1530.5</v>
      </c>
      <c r="AW24" s="34" t="n">
        <v>2346</v>
      </c>
      <c r="AX24" s="37" t="n">
        <v>14.7</v>
      </c>
      <c r="AY24" s="37" t="n">
        <f aca="false">AVERAGEA(AZ24, AX24)</f>
        <v>28.85</v>
      </c>
      <c r="AZ24" s="36" t="n">
        <v>43</v>
      </c>
      <c r="BA24" s="34" t="n">
        <v>2</v>
      </c>
      <c r="BB24" s="35" t="n">
        <f aca="false">AVERAGEA(BC24, BA24)</f>
        <v>4</v>
      </c>
      <c r="BC24" s="34" t="n">
        <v>6</v>
      </c>
      <c r="BD24" s="37" t="n">
        <v>3.56</v>
      </c>
      <c r="BE24" s="37" t="n">
        <f aca="false">AVERAGE(BD24,BF24)</f>
        <v>22.03</v>
      </c>
      <c r="BF24" s="36" t="n">
        <v>40.5</v>
      </c>
      <c r="BG24" s="34" t="n">
        <v>5.7</v>
      </c>
      <c r="BH24" s="35" t="n">
        <f aca="false">AVERAGE(BG24,BI24)</f>
        <v>26.85</v>
      </c>
      <c r="BI24" s="34" t="n">
        <v>48</v>
      </c>
      <c r="BJ24" s="37" t="n">
        <v>6.2</v>
      </c>
      <c r="BK24" s="37" t="n">
        <f aca="false">AVERAGE(BJ24,BL24)</f>
        <v>42.1</v>
      </c>
      <c r="BL24" s="36" t="n">
        <v>78</v>
      </c>
      <c r="BM24" s="34" t="n">
        <v>1.3</v>
      </c>
      <c r="BN24" s="35" t="n">
        <f aca="false">AVERAGEA(BO24, BM24)</f>
        <v>1.55</v>
      </c>
      <c r="BO24" s="34" t="n">
        <v>1.8</v>
      </c>
      <c r="BP24" s="37" t="n">
        <v>60</v>
      </c>
      <c r="BQ24" s="37" t="n">
        <f aca="false">AVERAGEA(BP24,BR24)</f>
        <v>180</v>
      </c>
      <c r="BR24" s="36" t="n">
        <v>300</v>
      </c>
      <c r="BS24" s="34" t="n">
        <v>2</v>
      </c>
      <c r="BT24" s="35" t="n">
        <f aca="false">AVERAGEA(BS24,BU24)</f>
        <v>5</v>
      </c>
      <c r="BU24" s="40" t="n">
        <v>8</v>
      </c>
      <c r="BV24" s="37" t="n">
        <v>4</v>
      </c>
      <c r="BW24" s="37" t="n">
        <f aca="false">AVERAGEA(BV24,BX24)</f>
        <v>8</v>
      </c>
      <c r="BX24" s="36" t="n">
        <v>12</v>
      </c>
      <c r="BY24" s="34"/>
      <c r="BZ24" s="35" t="e">
        <f aca="false">AVERAGEA(BY24,CA24)</f>
        <v>#DIV/0!</v>
      </c>
      <c r="CA24" s="40"/>
      <c r="CB24" s="37"/>
      <c r="CC24" s="37" t="e">
        <f aca="false">AVERAGEA(CB24,CD24)</f>
        <v>#DIV/0!</v>
      </c>
      <c r="CD24" s="36"/>
      <c r="CE24" s="34"/>
      <c r="CF24" s="35" t="e">
        <f aca="false">AVERAGEA(CE24,CG24)</f>
        <v>#DIV/0!</v>
      </c>
      <c r="CG24" s="40"/>
    </row>
    <row r="25" s="18" customFormat="true" ht="26.4" hidden="false" customHeight="true" outlineLevel="0" collapsed="false">
      <c r="B25" s="19"/>
      <c r="C25" s="20"/>
      <c r="D25" s="42"/>
      <c r="E25" s="41" t="s">
        <v>60</v>
      </c>
      <c r="F25" s="32" t="s">
        <v>54</v>
      </c>
      <c r="G25" s="33"/>
      <c r="H25" s="24"/>
      <c r="I25" s="24" t="e">
        <f aca="false">AVERAGE(H25,J25)</f>
        <v>#DIV/0!</v>
      </c>
      <c r="J25" s="24"/>
      <c r="K25" s="34" t="s">
        <v>55</v>
      </c>
      <c r="L25" s="35"/>
      <c r="M25" s="34" t="s">
        <v>55</v>
      </c>
      <c r="N25" s="24" t="n">
        <v>36.6053488967538</v>
      </c>
      <c r="O25" s="24" t="n">
        <f aca="false">AVERAGE(N25,P25)</f>
        <v>37.6975951159586</v>
      </c>
      <c r="P25" s="24" t="n">
        <v>38.7898413351634</v>
      </c>
      <c r="Q25" s="34" t="s">
        <v>55</v>
      </c>
      <c r="R25" s="35"/>
      <c r="S25" s="34" t="s">
        <v>55</v>
      </c>
      <c r="T25" s="36" t="s">
        <v>55</v>
      </c>
      <c r="U25" s="37"/>
      <c r="V25" s="36" t="s">
        <v>55</v>
      </c>
      <c r="W25" s="34" t="s">
        <v>55</v>
      </c>
      <c r="X25" s="35"/>
      <c r="Y25" s="34" t="s">
        <v>55</v>
      </c>
      <c r="Z25" s="36" t="s">
        <v>55</v>
      </c>
      <c r="AA25" s="37"/>
      <c r="AB25" s="37" t="s">
        <v>55</v>
      </c>
      <c r="AC25" s="34" t="n">
        <v>82</v>
      </c>
      <c r="AD25" s="35" t="n">
        <f aca="false">AVERAGEA(AE25, AC25)</f>
        <v>86.6</v>
      </c>
      <c r="AE25" s="34" t="n">
        <v>91.2</v>
      </c>
      <c r="AF25" s="37" t="n">
        <v>50</v>
      </c>
      <c r="AG25" s="37" t="n">
        <f aca="false">AVERAGEA(AH25, AF25)</f>
        <v>35</v>
      </c>
      <c r="AH25" s="36" t="n">
        <v>20</v>
      </c>
      <c r="AI25" s="34" t="n">
        <v>0.66</v>
      </c>
      <c r="AJ25" s="35" t="n">
        <f aca="false">AVERAGEA(AK25, AI25)</f>
        <v>4.33</v>
      </c>
      <c r="AK25" s="35" t="n">
        <v>8</v>
      </c>
      <c r="AL25" s="37" t="n">
        <v>0.66</v>
      </c>
      <c r="AM25" s="37" t="n">
        <f aca="false">AVERAGEA(AN25, AL25)</f>
        <v>3.33</v>
      </c>
      <c r="AN25" s="36" t="n">
        <v>6</v>
      </c>
      <c r="AO25" s="34" t="n">
        <v>3</v>
      </c>
      <c r="AP25" s="35" t="n">
        <f aca="false">AVERAGEA(AQ25, AO25)</f>
        <v>6.5</v>
      </c>
      <c r="AQ25" s="34" t="n">
        <v>10</v>
      </c>
      <c r="AR25" s="37" t="n">
        <v>2</v>
      </c>
      <c r="AS25" s="37" t="n">
        <f aca="false">AVERAGEA(AT25, AR25)</f>
        <v>8.5</v>
      </c>
      <c r="AT25" s="36" t="n">
        <v>15</v>
      </c>
      <c r="AU25" s="34" t="n">
        <v>715</v>
      </c>
      <c r="AV25" s="35" t="n">
        <f aca="false">AVERAGEA(AW25, AU25)</f>
        <v>1530.5</v>
      </c>
      <c r="AW25" s="34" t="n">
        <v>2346</v>
      </c>
      <c r="AX25" s="37" t="n">
        <v>14.7</v>
      </c>
      <c r="AY25" s="37" t="n">
        <f aca="false">AVERAGEA(AZ25, AX25)</f>
        <v>28.85</v>
      </c>
      <c r="AZ25" s="36" t="n">
        <v>43</v>
      </c>
      <c r="BA25" s="34" t="n">
        <v>2</v>
      </c>
      <c r="BB25" s="35" t="n">
        <f aca="false">AVERAGEA(BC25, BA25)</f>
        <v>4</v>
      </c>
      <c r="BC25" s="34" t="n">
        <v>6</v>
      </c>
      <c r="BD25" s="37" t="n">
        <v>3.56</v>
      </c>
      <c r="BE25" s="37" t="n">
        <f aca="false">AVERAGE(BD25,BF25)</f>
        <v>22.03</v>
      </c>
      <c r="BF25" s="36" t="n">
        <v>40.5</v>
      </c>
      <c r="BG25" s="34" t="n">
        <v>5.7</v>
      </c>
      <c r="BH25" s="35" t="n">
        <f aca="false">AVERAGE(BG25,BI25)</f>
        <v>26.85</v>
      </c>
      <c r="BI25" s="34" t="n">
        <v>48</v>
      </c>
      <c r="BJ25" s="37" t="n">
        <v>6.2</v>
      </c>
      <c r="BK25" s="37" t="n">
        <f aca="false">AVERAGE(BJ25,BL25)</f>
        <v>42.1</v>
      </c>
      <c r="BL25" s="36" t="n">
        <v>78</v>
      </c>
      <c r="BM25" s="34" t="n">
        <v>1.3</v>
      </c>
      <c r="BN25" s="35" t="n">
        <f aca="false">AVERAGEA(BO25, BM25)</f>
        <v>1.55</v>
      </c>
      <c r="BO25" s="34" t="n">
        <v>1.8</v>
      </c>
      <c r="BP25" s="37" t="n">
        <v>60</v>
      </c>
      <c r="BQ25" s="37" t="n">
        <f aca="false">AVERAGEA(BP25,BR25)</f>
        <v>180</v>
      </c>
      <c r="BR25" s="36" t="n">
        <v>300</v>
      </c>
      <c r="BS25" s="34" t="n">
        <v>2</v>
      </c>
      <c r="BT25" s="35" t="n">
        <f aca="false">AVERAGEA(BS25,BU25)</f>
        <v>5</v>
      </c>
      <c r="BU25" s="40" t="n">
        <v>8</v>
      </c>
      <c r="BV25" s="37" t="n">
        <v>4</v>
      </c>
      <c r="BW25" s="37" t="n">
        <f aca="false">AVERAGEA(BV25,BX25)</f>
        <v>8</v>
      </c>
      <c r="BX25" s="36" t="n">
        <v>12</v>
      </c>
      <c r="BY25" s="34"/>
      <c r="BZ25" s="35" t="e">
        <f aca="false">AVERAGEA(BY25,CA25)</f>
        <v>#DIV/0!</v>
      </c>
      <c r="CA25" s="40"/>
      <c r="CB25" s="37"/>
      <c r="CC25" s="37" t="e">
        <f aca="false">AVERAGEA(CB25,CD25)</f>
        <v>#DIV/0!</v>
      </c>
      <c r="CD25" s="36"/>
      <c r="CE25" s="34"/>
      <c r="CF25" s="35" t="e">
        <f aca="false">AVERAGEA(CE25,CG25)</f>
        <v>#DIV/0!</v>
      </c>
      <c r="CG25" s="40"/>
    </row>
    <row r="26" s="18" customFormat="true" ht="28.35" hidden="false" customHeight="false" outlineLevel="0" collapsed="false">
      <c r="B26" s="19"/>
      <c r="C26" s="20"/>
      <c r="D26" s="42"/>
      <c r="E26" s="41"/>
      <c r="F26" s="32" t="s">
        <v>56</v>
      </c>
      <c r="G26" s="33"/>
      <c r="H26" s="24"/>
      <c r="I26" s="24" t="e">
        <f aca="false">AVERAGE(H26,J26)</f>
        <v>#DIV/0!</v>
      </c>
      <c r="J26" s="24"/>
      <c r="K26" s="34" t="s">
        <v>55</v>
      </c>
      <c r="L26" s="35"/>
      <c r="M26" s="34" t="s">
        <v>55</v>
      </c>
      <c r="N26" s="24" t="n">
        <v>33.9631806266255</v>
      </c>
      <c r="O26" s="24" t="n">
        <f aca="false">AVERAGE(N26,P26)</f>
        <v>35.280893282292</v>
      </c>
      <c r="P26" s="24" t="n">
        <v>36.5986059379585</v>
      </c>
      <c r="Q26" s="34" t="s">
        <v>55</v>
      </c>
      <c r="R26" s="35"/>
      <c r="S26" s="34" t="s">
        <v>55</v>
      </c>
      <c r="T26" s="36" t="s">
        <v>55</v>
      </c>
      <c r="U26" s="37"/>
      <c r="V26" s="36" t="s">
        <v>55</v>
      </c>
      <c r="W26" s="34" t="s">
        <v>55</v>
      </c>
      <c r="X26" s="35"/>
      <c r="Y26" s="34" t="s">
        <v>55</v>
      </c>
      <c r="Z26" s="36" t="s">
        <v>55</v>
      </c>
      <c r="AA26" s="37"/>
      <c r="AB26" s="37" t="s">
        <v>55</v>
      </c>
      <c r="AC26" s="34" t="n">
        <v>82</v>
      </c>
      <c r="AD26" s="35" t="n">
        <f aca="false">AVERAGEA(AE26, AC26)</f>
        <v>86.6</v>
      </c>
      <c r="AE26" s="34" t="n">
        <v>91.2</v>
      </c>
      <c r="AF26" s="37" t="n">
        <v>50</v>
      </c>
      <c r="AG26" s="37" t="n">
        <f aca="false">AVERAGEA(AH26, AF26)</f>
        <v>35</v>
      </c>
      <c r="AH26" s="36" t="n">
        <v>20</v>
      </c>
      <c r="AI26" s="34" t="n">
        <v>0.66</v>
      </c>
      <c r="AJ26" s="35" t="n">
        <f aca="false">AVERAGEA(AK26, AI26)</f>
        <v>4.33</v>
      </c>
      <c r="AK26" s="35" t="n">
        <v>8</v>
      </c>
      <c r="AL26" s="37" t="n">
        <v>0.66</v>
      </c>
      <c r="AM26" s="37" t="n">
        <f aca="false">AVERAGEA(AN26, AL26)</f>
        <v>3.33</v>
      </c>
      <c r="AN26" s="36" t="n">
        <v>6</v>
      </c>
      <c r="AO26" s="34" t="n">
        <v>3</v>
      </c>
      <c r="AP26" s="35" t="n">
        <f aca="false">AVERAGEA(AQ26, AO26)</f>
        <v>6.5</v>
      </c>
      <c r="AQ26" s="34" t="n">
        <v>10</v>
      </c>
      <c r="AR26" s="37" t="n">
        <v>2</v>
      </c>
      <c r="AS26" s="37" t="n">
        <f aca="false">AVERAGEA(AT26, AR26)</f>
        <v>8.5</v>
      </c>
      <c r="AT26" s="36" t="n">
        <v>15</v>
      </c>
      <c r="AU26" s="34" t="n">
        <v>715</v>
      </c>
      <c r="AV26" s="35" t="n">
        <f aca="false">AVERAGEA(AW26, AU26)</f>
        <v>1530.5</v>
      </c>
      <c r="AW26" s="34" t="n">
        <v>2346</v>
      </c>
      <c r="AX26" s="37" t="n">
        <v>14.7</v>
      </c>
      <c r="AY26" s="37" t="n">
        <f aca="false">AVERAGEA(AZ26, AX26)</f>
        <v>28.85</v>
      </c>
      <c r="AZ26" s="36" t="n">
        <v>43</v>
      </c>
      <c r="BA26" s="34" t="n">
        <v>2</v>
      </c>
      <c r="BB26" s="35" t="n">
        <f aca="false">AVERAGEA(BC26, BA26)</f>
        <v>4</v>
      </c>
      <c r="BC26" s="34" t="n">
        <v>6</v>
      </c>
      <c r="BD26" s="37" t="n">
        <v>3.56</v>
      </c>
      <c r="BE26" s="37" t="n">
        <f aca="false">AVERAGE(BD26,BF26)</f>
        <v>22.03</v>
      </c>
      <c r="BF26" s="36" t="n">
        <v>40.5</v>
      </c>
      <c r="BG26" s="34" t="n">
        <v>5.7</v>
      </c>
      <c r="BH26" s="35" t="n">
        <f aca="false">AVERAGE(BG26,BI26)</f>
        <v>26.85</v>
      </c>
      <c r="BI26" s="34" t="n">
        <v>48</v>
      </c>
      <c r="BJ26" s="37" t="n">
        <v>6.2</v>
      </c>
      <c r="BK26" s="37" t="n">
        <f aca="false">AVERAGE(BJ26,BL26)</f>
        <v>42.1</v>
      </c>
      <c r="BL26" s="36" t="n">
        <v>78</v>
      </c>
      <c r="BM26" s="34" t="n">
        <v>1.3</v>
      </c>
      <c r="BN26" s="35" t="n">
        <f aca="false">AVERAGEA(BO26, BM26)</f>
        <v>1.55</v>
      </c>
      <c r="BO26" s="34" t="n">
        <v>1.8</v>
      </c>
      <c r="BP26" s="37" t="n">
        <v>60</v>
      </c>
      <c r="BQ26" s="37" t="n">
        <f aca="false">AVERAGEA(BP26,BR26)</f>
        <v>180</v>
      </c>
      <c r="BR26" s="36" t="n">
        <v>300</v>
      </c>
      <c r="BS26" s="34" t="n">
        <v>2</v>
      </c>
      <c r="BT26" s="35" t="n">
        <f aca="false">AVERAGEA(BS26,BU26)</f>
        <v>5</v>
      </c>
      <c r="BU26" s="40" t="n">
        <v>8</v>
      </c>
      <c r="BV26" s="37" t="n">
        <v>4</v>
      </c>
      <c r="BW26" s="37" t="n">
        <f aca="false">AVERAGEA(BV26,BX26)</f>
        <v>8</v>
      </c>
      <c r="BX26" s="36" t="n">
        <v>12</v>
      </c>
      <c r="BY26" s="34"/>
      <c r="BZ26" s="35" t="e">
        <f aca="false">AVERAGEA(BY26,CA26)</f>
        <v>#DIV/0!</v>
      </c>
      <c r="CA26" s="40"/>
      <c r="CB26" s="37"/>
      <c r="CC26" s="37" t="e">
        <f aca="false">AVERAGEA(CB26,CD26)</f>
        <v>#DIV/0!</v>
      </c>
      <c r="CD26" s="36"/>
      <c r="CE26" s="34"/>
      <c r="CF26" s="35" t="e">
        <f aca="false">AVERAGEA(CE26,CG26)</f>
        <v>#DIV/0!</v>
      </c>
      <c r="CG26" s="40"/>
    </row>
    <row r="27" s="18" customFormat="true" ht="28.35" hidden="false" customHeight="false" outlineLevel="0" collapsed="false">
      <c r="B27" s="19"/>
      <c r="C27" s="20"/>
      <c r="D27" s="42"/>
      <c r="E27" s="41"/>
      <c r="F27" s="32" t="s">
        <v>57</v>
      </c>
      <c r="G27" s="33"/>
      <c r="H27" s="24"/>
      <c r="I27" s="24" t="e">
        <f aca="false">AVERAGE(H27,J27)</f>
        <v>#DIV/0!</v>
      </c>
      <c r="J27" s="24"/>
      <c r="K27" s="34" t="s">
        <v>55</v>
      </c>
      <c r="L27" s="35"/>
      <c r="M27" s="34" t="s">
        <v>55</v>
      </c>
      <c r="N27" s="24" t="n">
        <v>25.8932451769239</v>
      </c>
      <c r="O27" s="24" t="n">
        <f aca="false">AVERAGE(N27,P27)</f>
        <v>29.9192034680751</v>
      </c>
      <c r="P27" s="24" t="n">
        <v>33.9451617592263</v>
      </c>
      <c r="Q27" s="34" t="s">
        <v>55</v>
      </c>
      <c r="R27" s="35"/>
      <c r="S27" s="34" t="s">
        <v>55</v>
      </c>
      <c r="T27" s="36" t="s">
        <v>55</v>
      </c>
      <c r="U27" s="37"/>
      <c r="V27" s="36" t="s">
        <v>55</v>
      </c>
      <c r="W27" s="34" t="s">
        <v>55</v>
      </c>
      <c r="X27" s="35"/>
      <c r="Y27" s="34" t="s">
        <v>55</v>
      </c>
      <c r="Z27" s="36" t="s">
        <v>55</v>
      </c>
      <c r="AA27" s="37"/>
      <c r="AB27" s="37" t="s">
        <v>55</v>
      </c>
      <c r="AC27" s="34" t="n">
        <v>82</v>
      </c>
      <c r="AD27" s="35" t="n">
        <f aca="false">AVERAGEA(AE27, AC27)</f>
        <v>86.6</v>
      </c>
      <c r="AE27" s="34" t="n">
        <v>91.2</v>
      </c>
      <c r="AF27" s="37" t="n">
        <v>50</v>
      </c>
      <c r="AG27" s="37" t="n">
        <f aca="false">AVERAGEA(AH27, AF27)</f>
        <v>35</v>
      </c>
      <c r="AH27" s="36" t="n">
        <v>20</v>
      </c>
      <c r="AI27" s="34" t="n">
        <v>0.66</v>
      </c>
      <c r="AJ27" s="35" t="n">
        <f aca="false">AVERAGEA(AK27, AI27)</f>
        <v>4.33</v>
      </c>
      <c r="AK27" s="35" t="n">
        <v>8</v>
      </c>
      <c r="AL27" s="37" t="n">
        <v>0.66</v>
      </c>
      <c r="AM27" s="37" t="n">
        <f aca="false">AVERAGEA(AN27, AL27)</f>
        <v>3.33</v>
      </c>
      <c r="AN27" s="36" t="n">
        <v>6</v>
      </c>
      <c r="AO27" s="34" t="n">
        <v>3</v>
      </c>
      <c r="AP27" s="35" t="n">
        <f aca="false">AVERAGEA(AQ27, AO27)</f>
        <v>6.5</v>
      </c>
      <c r="AQ27" s="34" t="n">
        <v>10</v>
      </c>
      <c r="AR27" s="37" t="n">
        <v>2</v>
      </c>
      <c r="AS27" s="37" t="n">
        <f aca="false">AVERAGEA(AT27, AR27)</f>
        <v>8.5</v>
      </c>
      <c r="AT27" s="36" t="n">
        <v>15</v>
      </c>
      <c r="AU27" s="34" t="n">
        <v>715</v>
      </c>
      <c r="AV27" s="35" t="n">
        <f aca="false">AVERAGEA(AW27, AU27)</f>
        <v>1530.5</v>
      </c>
      <c r="AW27" s="34" t="n">
        <v>2346</v>
      </c>
      <c r="AX27" s="37" t="n">
        <v>14.7</v>
      </c>
      <c r="AY27" s="37" t="n">
        <f aca="false">AVERAGEA(AZ27, AX27)</f>
        <v>28.85</v>
      </c>
      <c r="AZ27" s="36" t="n">
        <v>43</v>
      </c>
      <c r="BA27" s="34" t="n">
        <v>2</v>
      </c>
      <c r="BB27" s="35" t="n">
        <f aca="false">AVERAGEA(BC27, BA27)</f>
        <v>4</v>
      </c>
      <c r="BC27" s="34" t="n">
        <v>6</v>
      </c>
      <c r="BD27" s="37" t="n">
        <v>3.56</v>
      </c>
      <c r="BE27" s="37" t="n">
        <f aca="false">AVERAGE(BD27,BF27)</f>
        <v>22.03</v>
      </c>
      <c r="BF27" s="36" t="n">
        <v>40.5</v>
      </c>
      <c r="BG27" s="34" t="n">
        <v>5.7</v>
      </c>
      <c r="BH27" s="35" t="n">
        <f aca="false">AVERAGE(BG27,BI27)</f>
        <v>26.85</v>
      </c>
      <c r="BI27" s="34" t="n">
        <v>48</v>
      </c>
      <c r="BJ27" s="37" t="n">
        <v>6.2</v>
      </c>
      <c r="BK27" s="37" t="n">
        <f aca="false">AVERAGE(BJ27,BL27)</f>
        <v>42.1</v>
      </c>
      <c r="BL27" s="36" t="n">
        <v>78</v>
      </c>
      <c r="BM27" s="34" t="n">
        <v>1.3</v>
      </c>
      <c r="BN27" s="35" t="n">
        <f aca="false">AVERAGEA(BO27, BM27)</f>
        <v>1.55</v>
      </c>
      <c r="BO27" s="34" t="n">
        <v>1.8</v>
      </c>
      <c r="BP27" s="37" t="n">
        <v>60</v>
      </c>
      <c r="BQ27" s="37" t="n">
        <f aca="false">AVERAGEA(BP27,BR27)</f>
        <v>180</v>
      </c>
      <c r="BR27" s="36" t="n">
        <v>300</v>
      </c>
      <c r="BS27" s="34" t="n">
        <v>2</v>
      </c>
      <c r="BT27" s="35" t="n">
        <f aca="false">AVERAGEA(BS27,BU27)</f>
        <v>5</v>
      </c>
      <c r="BU27" s="40" t="n">
        <v>8</v>
      </c>
      <c r="BV27" s="37" t="n">
        <v>4</v>
      </c>
      <c r="BW27" s="37" t="n">
        <f aca="false">AVERAGEA(BV27,BX27)</f>
        <v>8</v>
      </c>
      <c r="BX27" s="36" t="n">
        <v>12</v>
      </c>
      <c r="BY27" s="34"/>
      <c r="BZ27" s="35" t="e">
        <f aca="false">AVERAGEA(BY27,CA27)</f>
        <v>#DIV/0!</v>
      </c>
      <c r="CA27" s="40"/>
      <c r="CB27" s="37"/>
      <c r="CC27" s="37" t="e">
        <f aca="false">AVERAGEA(CB27,CD27)</f>
        <v>#DIV/0!</v>
      </c>
      <c r="CD27" s="36"/>
      <c r="CE27" s="34"/>
      <c r="CF27" s="35" t="e">
        <f aca="false">AVERAGEA(CE27,CG27)</f>
        <v>#DIV/0!</v>
      </c>
      <c r="CG27" s="40"/>
    </row>
    <row r="28" s="18" customFormat="true" ht="28.35" hidden="false" customHeight="false" outlineLevel="0" collapsed="false">
      <c r="B28" s="19"/>
      <c r="C28" s="20"/>
      <c r="D28" s="42"/>
      <c r="E28" s="41"/>
      <c r="F28" s="32" t="s">
        <v>58</v>
      </c>
      <c r="G28" s="33"/>
      <c r="H28" s="24"/>
      <c r="I28" s="24" t="e">
        <f aca="false">AVERAGE(H28,J28)</f>
        <v>#DIV/0!</v>
      </c>
      <c r="J28" s="24"/>
      <c r="K28" s="34" t="s">
        <v>55</v>
      </c>
      <c r="L28" s="35"/>
      <c r="M28" s="34" t="s">
        <v>55</v>
      </c>
      <c r="N28" s="24" t="n">
        <v>20.4654779973505</v>
      </c>
      <c r="O28" s="24" t="n">
        <f aca="false">AVERAGE(N28,P28)</f>
        <v>23.1612820496938</v>
      </c>
      <c r="P28" s="24" t="n">
        <v>25.857086102037</v>
      </c>
      <c r="Q28" s="34" t="s">
        <v>55</v>
      </c>
      <c r="R28" s="35"/>
      <c r="S28" s="34" t="s">
        <v>55</v>
      </c>
      <c r="T28" s="36" t="s">
        <v>55</v>
      </c>
      <c r="U28" s="37"/>
      <c r="V28" s="36" t="s">
        <v>55</v>
      </c>
      <c r="W28" s="34" t="s">
        <v>55</v>
      </c>
      <c r="X28" s="35"/>
      <c r="Y28" s="34" t="s">
        <v>55</v>
      </c>
      <c r="Z28" s="36" t="s">
        <v>55</v>
      </c>
      <c r="AA28" s="37"/>
      <c r="AB28" s="37" t="s">
        <v>55</v>
      </c>
      <c r="AC28" s="34" t="n">
        <v>82</v>
      </c>
      <c r="AD28" s="35" t="n">
        <f aca="false">AVERAGEA(AE28, AC28)</f>
        <v>86.6</v>
      </c>
      <c r="AE28" s="34" t="n">
        <v>91.2</v>
      </c>
      <c r="AF28" s="37" t="n">
        <v>50</v>
      </c>
      <c r="AG28" s="37" t="n">
        <f aca="false">AVERAGEA(AH28, AF28)</f>
        <v>35</v>
      </c>
      <c r="AH28" s="36" t="n">
        <v>20</v>
      </c>
      <c r="AI28" s="34" t="n">
        <v>0.66</v>
      </c>
      <c r="AJ28" s="35" t="n">
        <f aca="false">AVERAGEA(AK28, AI28)</f>
        <v>4.33</v>
      </c>
      <c r="AK28" s="35" t="n">
        <v>8</v>
      </c>
      <c r="AL28" s="37" t="n">
        <v>0.66</v>
      </c>
      <c r="AM28" s="37" t="n">
        <f aca="false">AVERAGEA(AN28, AL28)</f>
        <v>3.33</v>
      </c>
      <c r="AN28" s="36" t="n">
        <v>6</v>
      </c>
      <c r="AO28" s="34" t="n">
        <v>3</v>
      </c>
      <c r="AP28" s="35" t="n">
        <f aca="false">AVERAGEA(AQ28, AO28)</f>
        <v>6.5</v>
      </c>
      <c r="AQ28" s="34" t="n">
        <v>10</v>
      </c>
      <c r="AR28" s="37" t="n">
        <v>2</v>
      </c>
      <c r="AS28" s="37" t="n">
        <f aca="false">AVERAGEA(AT28, AR28)</f>
        <v>8.5</v>
      </c>
      <c r="AT28" s="36" t="n">
        <v>15</v>
      </c>
      <c r="AU28" s="34" t="n">
        <v>715</v>
      </c>
      <c r="AV28" s="35" t="n">
        <f aca="false">AVERAGEA(AW28, AU28)</f>
        <v>1530.5</v>
      </c>
      <c r="AW28" s="34" t="n">
        <v>2346</v>
      </c>
      <c r="AX28" s="37" t="n">
        <v>14.7</v>
      </c>
      <c r="AY28" s="37" t="n">
        <f aca="false">AVERAGEA(AZ28, AX28)</f>
        <v>28.85</v>
      </c>
      <c r="AZ28" s="36" t="n">
        <v>43</v>
      </c>
      <c r="BA28" s="34" t="n">
        <v>2</v>
      </c>
      <c r="BB28" s="35" t="n">
        <f aca="false">AVERAGEA(BC28, BA28)</f>
        <v>4</v>
      </c>
      <c r="BC28" s="34" t="n">
        <v>6</v>
      </c>
      <c r="BD28" s="37" t="n">
        <v>3.56</v>
      </c>
      <c r="BE28" s="37" t="n">
        <f aca="false">AVERAGE(BD28,BF28)</f>
        <v>22.03</v>
      </c>
      <c r="BF28" s="36" t="n">
        <v>40.5</v>
      </c>
      <c r="BG28" s="34" t="n">
        <v>5.7</v>
      </c>
      <c r="BH28" s="35" t="n">
        <f aca="false">AVERAGE(BG28,BI28)</f>
        <v>26.85</v>
      </c>
      <c r="BI28" s="34" t="n">
        <v>48</v>
      </c>
      <c r="BJ28" s="37" t="n">
        <v>6.2</v>
      </c>
      <c r="BK28" s="37" t="n">
        <f aca="false">AVERAGE(BJ28,BL28)</f>
        <v>42.1</v>
      </c>
      <c r="BL28" s="36" t="n">
        <v>78</v>
      </c>
      <c r="BM28" s="34" t="n">
        <v>1.3</v>
      </c>
      <c r="BN28" s="35" t="n">
        <f aca="false">AVERAGEA(BO28, BM28)</f>
        <v>1.55</v>
      </c>
      <c r="BO28" s="34" t="n">
        <v>1.8</v>
      </c>
      <c r="BP28" s="37" t="n">
        <v>60</v>
      </c>
      <c r="BQ28" s="37" t="n">
        <f aca="false">AVERAGEA(BP28,BR28)</f>
        <v>180</v>
      </c>
      <c r="BR28" s="36" t="n">
        <v>300</v>
      </c>
      <c r="BS28" s="34" t="n">
        <v>2</v>
      </c>
      <c r="BT28" s="35" t="n">
        <f aca="false">AVERAGEA(BS28,BU28)</f>
        <v>5</v>
      </c>
      <c r="BU28" s="40" t="n">
        <v>8</v>
      </c>
      <c r="BV28" s="37" t="n">
        <v>4</v>
      </c>
      <c r="BW28" s="37" t="n">
        <f aca="false">AVERAGEA(BV28,BX28)</f>
        <v>8</v>
      </c>
      <c r="BX28" s="36" t="n">
        <v>12</v>
      </c>
      <c r="BY28" s="34"/>
      <c r="BZ28" s="35" t="e">
        <f aca="false">AVERAGEA(BY28,CA28)</f>
        <v>#DIV/0!</v>
      </c>
      <c r="CA28" s="40"/>
      <c r="CB28" s="37"/>
      <c r="CC28" s="37" t="e">
        <f aca="false">AVERAGEA(CB28,CD28)</f>
        <v>#DIV/0!</v>
      </c>
      <c r="CD28" s="36"/>
      <c r="CE28" s="34"/>
      <c r="CF28" s="35" t="e">
        <f aca="false">AVERAGEA(CE28,CG28)</f>
        <v>#DIV/0!</v>
      </c>
      <c r="CG28" s="40"/>
    </row>
    <row r="29" s="18" customFormat="true" ht="26.4" hidden="false" customHeight="true" outlineLevel="0" collapsed="false">
      <c r="B29" s="19"/>
      <c r="C29" s="20" t="s">
        <v>61</v>
      </c>
      <c r="D29" s="42" t="s">
        <v>63</v>
      </c>
      <c r="E29" s="41" t="s">
        <v>53</v>
      </c>
      <c r="F29" s="32" t="s">
        <v>54</v>
      </c>
      <c r="G29" s="33"/>
      <c r="H29" s="24"/>
      <c r="I29" s="24" t="e">
        <f aca="false">AVERAGE(H29,J29)</f>
        <v>#DIV/0!</v>
      </c>
      <c r="J29" s="24"/>
      <c r="K29" s="34" t="s">
        <v>55</v>
      </c>
      <c r="L29" s="35"/>
      <c r="M29" s="34" t="s">
        <v>55</v>
      </c>
      <c r="N29" s="24" t="n">
        <v>42.4438920890965</v>
      </c>
      <c r="O29" s="24" t="n">
        <f aca="false">AVERAGE(N29,P29)</f>
        <v>43.7103512831725</v>
      </c>
      <c r="P29" s="24" t="n">
        <v>44.9768104772485</v>
      </c>
      <c r="Q29" s="34" t="s">
        <v>55</v>
      </c>
      <c r="R29" s="35"/>
      <c r="S29" s="34" t="s">
        <v>55</v>
      </c>
      <c r="T29" s="36" t="s">
        <v>55</v>
      </c>
      <c r="U29" s="37"/>
      <c r="V29" s="36" t="s">
        <v>55</v>
      </c>
      <c r="W29" s="34" t="s">
        <v>55</v>
      </c>
      <c r="X29" s="35"/>
      <c r="Y29" s="34" t="s">
        <v>55</v>
      </c>
      <c r="Z29" s="36" t="s">
        <v>55</v>
      </c>
      <c r="AA29" s="37"/>
      <c r="AB29" s="37" t="s">
        <v>55</v>
      </c>
      <c r="AC29" s="34" t="n">
        <v>82</v>
      </c>
      <c r="AD29" s="35" t="n">
        <f aca="false">AVERAGEA(AE29, AC29)</f>
        <v>86.6</v>
      </c>
      <c r="AE29" s="34" t="n">
        <v>91.2</v>
      </c>
      <c r="AF29" s="37" t="n">
        <v>50</v>
      </c>
      <c r="AG29" s="37" t="n">
        <f aca="false">AVERAGEA(AH29, AF29)</f>
        <v>35</v>
      </c>
      <c r="AH29" s="36" t="n">
        <v>20</v>
      </c>
      <c r="AI29" s="34" t="n">
        <v>0.66</v>
      </c>
      <c r="AJ29" s="35" t="n">
        <f aca="false">AVERAGEA(AK29, AI29)</f>
        <v>4.33</v>
      </c>
      <c r="AK29" s="35" t="n">
        <v>8</v>
      </c>
      <c r="AL29" s="37" t="n">
        <v>0.66</v>
      </c>
      <c r="AM29" s="37" t="n">
        <f aca="false">AVERAGEA(AN29, AL29)</f>
        <v>3.33</v>
      </c>
      <c r="AN29" s="36" t="n">
        <v>6</v>
      </c>
      <c r="AO29" s="34" t="n">
        <v>3</v>
      </c>
      <c r="AP29" s="35" t="n">
        <f aca="false">AVERAGEA(AQ29, AO29)</f>
        <v>6.5</v>
      </c>
      <c r="AQ29" s="34" t="n">
        <v>10</v>
      </c>
      <c r="AR29" s="37" t="n">
        <v>1.5</v>
      </c>
      <c r="AS29" s="37" t="n">
        <f aca="false">AVERAGEA(AT29, AR29)</f>
        <v>2.25</v>
      </c>
      <c r="AT29" s="43" t="n">
        <v>3</v>
      </c>
      <c r="AU29" s="34" t="n">
        <v>715</v>
      </c>
      <c r="AV29" s="35" t="n">
        <f aca="false">AVERAGEA(AW29, AU29)</f>
        <v>1530.5</v>
      </c>
      <c r="AW29" s="34" t="n">
        <v>2346</v>
      </c>
      <c r="AX29" s="37" t="n">
        <v>15.4</v>
      </c>
      <c r="AY29" s="37" t="n">
        <f aca="false">AVERAGEA(AZ29, AX29)</f>
        <v>37.2</v>
      </c>
      <c r="AZ29" s="36" t="n">
        <v>59</v>
      </c>
      <c r="BA29" s="34" t="n">
        <v>3</v>
      </c>
      <c r="BB29" s="35" t="n">
        <f aca="false">AVERAGEA(BC29, BA29)</f>
        <v>4.315</v>
      </c>
      <c r="BC29" s="34" t="n">
        <v>5.63</v>
      </c>
      <c r="BD29" s="37" t="n">
        <v>3.56</v>
      </c>
      <c r="BE29" s="37" t="n">
        <f aca="false">AVERAGE(BD29,BF29)</f>
        <v>22.03</v>
      </c>
      <c r="BF29" s="36" t="n">
        <v>40.5</v>
      </c>
      <c r="BG29" s="34" t="n">
        <v>5.7</v>
      </c>
      <c r="BH29" s="35" t="n">
        <f aca="false">AVERAGE(BG29,BI29)</f>
        <v>26.85</v>
      </c>
      <c r="BI29" s="34" t="n">
        <v>48</v>
      </c>
      <c r="BJ29" s="37" t="n">
        <v>6.2</v>
      </c>
      <c r="BK29" s="37" t="n">
        <f aca="false">AVERAGE(BJ29,BL29)</f>
        <v>42.1</v>
      </c>
      <c r="BL29" s="36" t="n">
        <v>78</v>
      </c>
      <c r="BM29" s="34" t="n">
        <v>1.8</v>
      </c>
      <c r="BN29" s="35" t="n">
        <f aca="false">AVERAGEA(BO29, BM29)</f>
        <v>1.8</v>
      </c>
      <c r="BO29" s="34" t="n">
        <v>1.8</v>
      </c>
      <c r="BP29" s="37" t="n">
        <v>60</v>
      </c>
      <c r="BQ29" s="37" t="n">
        <f aca="false">AVERAGEA(BP29,BR29)</f>
        <v>180</v>
      </c>
      <c r="BR29" s="36" t="n">
        <v>300</v>
      </c>
      <c r="BS29" s="34" t="n">
        <v>2</v>
      </c>
      <c r="BT29" s="35" t="n">
        <f aca="false">AVERAGEA(BS29,BU29)</f>
        <v>5</v>
      </c>
      <c r="BU29" s="40" t="n">
        <v>8</v>
      </c>
      <c r="BV29" s="37" t="n">
        <v>4</v>
      </c>
      <c r="BW29" s="37" t="n">
        <f aca="false">AVERAGEA(BV29,BX29)</f>
        <v>8</v>
      </c>
      <c r="BX29" s="36" t="n">
        <v>12</v>
      </c>
      <c r="BY29" s="34"/>
      <c r="BZ29" s="35" t="e">
        <f aca="false">AVERAGEA(BY29,CA29)</f>
        <v>#DIV/0!</v>
      </c>
      <c r="CA29" s="40"/>
      <c r="CB29" s="37"/>
      <c r="CC29" s="37" t="e">
        <f aca="false">AVERAGEA(CB29,CD29)</f>
        <v>#DIV/0!</v>
      </c>
      <c r="CD29" s="36"/>
      <c r="CE29" s="34"/>
      <c r="CF29" s="35" t="e">
        <f aca="false">AVERAGEA(CE29,CG29)</f>
        <v>#DIV/0!</v>
      </c>
      <c r="CG29" s="40"/>
    </row>
    <row r="30" s="18" customFormat="true" ht="28.35" hidden="false" customHeight="false" outlineLevel="0" collapsed="false">
      <c r="B30" s="19"/>
      <c r="C30" s="20"/>
      <c r="D30" s="42"/>
      <c r="E30" s="41"/>
      <c r="F30" s="32" t="s">
        <v>56</v>
      </c>
      <c r="G30" s="33"/>
      <c r="H30" s="24"/>
      <c r="I30" s="24" t="e">
        <f aca="false">AVERAGE(H30,J30)</f>
        <v>#DIV/0!</v>
      </c>
      <c r="J30" s="24"/>
      <c r="K30" s="34" t="s">
        <v>55</v>
      </c>
      <c r="L30" s="35"/>
      <c r="M30" s="34" t="s">
        <v>55</v>
      </c>
      <c r="N30" s="24" t="n">
        <v>39.380298698555</v>
      </c>
      <c r="O30" s="24" t="n">
        <f aca="false">AVERAGE(N30,P30)</f>
        <v>40.9081861643812</v>
      </c>
      <c r="P30" s="24" t="n">
        <v>42.4360736302074</v>
      </c>
      <c r="Q30" s="34" t="s">
        <v>55</v>
      </c>
      <c r="R30" s="35"/>
      <c r="S30" s="34" t="s">
        <v>55</v>
      </c>
      <c r="T30" s="36" t="s">
        <v>55</v>
      </c>
      <c r="U30" s="37"/>
      <c r="V30" s="36" t="s">
        <v>55</v>
      </c>
      <c r="W30" s="34" t="s">
        <v>55</v>
      </c>
      <c r="X30" s="35"/>
      <c r="Y30" s="34" t="s">
        <v>55</v>
      </c>
      <c r="Z30" s="36" t="s">
        <v>55</v>
      </c>
      <c r="AA30" s="37"/>
      <c r="AB30" s="37" t="s">
        <v>55</v>
      </c>
      <c r="AC30" s="34" t="n">
        <v>82</v>
      </c>
      <c r="AD30" s="35" t="n">
        <f aca="false">AVERAGEA(AE30, AC30)</f>
        <v>86.6</v>
      </c>
      <c r="AE30" s="34" t="n">
        <v>91.2</v>
      </c>
      <c r="AF30" s="37" t="n">
        <v>50</v>
      </c>
      <c r="AG30" s="37" t="n">
        <f aca="false">AVERAGEA(AH30, AF30)</f>
        <v>35</v>
      </c>
      <c r="AH30" s="36" t="n">
        <v>20</v>
      </c>
      <c r="AI30" s="34" t="n">
        <v>0.66</v>
      </c>
      <c r="AJ30" s="35" t="n">
        <f aca="false">AVERAGEA(AK30, AI30)</f>
        <v>4.33</v>
      </c>
      <c r="AK30" s="35" t="n">
        <v>8</v>
      </c>
      <c r="AL30" s="37" t="n">
        <v>0.66</v>
      </c>
      <c r="AM30" s="37" t="n">
        <f aca="false">AVERAGEA(AN30, AL30)</f>
        <v>3.33</v>
      </c>
      <c r="AN30" s="36" t="n">
        <v>6</v>
      </c>
      <c r="AO30" s="34" t="n">
        <v>3</v>
      </c>
      <c r="AP30" s="35" t="n">
        <f aca="false">AVERAGEA(AQ30, AO30)</f>
        <v>6.5</v>
      </c>
      <c r="AQ30" s="34" t="n">
        <v>10</v>
      </c>
      <c r="AR30" s="37" t="n">
        <v>1.5</v>
      </c>
      <c r="AS30" s="37" t="n">
        <f aca="false">AVERAGEA(AT30, AR30)</f>
        <v>2.25</v>
      </c>
      <c r="AT30" s="43" t="n">
        <v>3</v>
      </c>
      <c r="AU30" s="34" t="n">
        <v>715</v>
      </c>
      <c r="AV30" s="35" t="n">
        <f aca="false">AVERAGEA(AW30, AU30)</f>
        <v>1530.5</v>
      </c>
      <c r="AW30" s="34" t="n">
        <v>2346</v>
      </c>
      <c r="AX30" s="37" t="n">
        <v>15.4</v>
      </c>
      <c r="AY30" s="37" t="n">
        <f aca="false">AVERAGEA(AZ30, AX30)</f>
        <v>37.2</v>
      </c>
      <c r="AZ30" s="36" t="n">
        <v>59</v>
      </c>
      <c r="BA30" s="34" t="n">
        <v>3</v>
      </c>
      <c r="BB30" s="35" t="n">
        <f aca="false">AVERAGEA(BC30, BA30)</f>
        <v>4.315</v>
      </c>
      <c r="BC30" s="34" t="n">
        <v>5.63</v>
      </c>
      <c r="BD30" s="37" t="n">
        <v>3.56</v>
      </c>
      <c r="BE30" s="37" t="n">
        <f aca="false">AVERAGE(BD30,BF30)</f>
        <v>22.03</v>
      </c>
      <c r="BF30" s="36" t="n">
        <v>40.5</v>
      </c>
      <c r="BG30" s="34" t="n">
        <v>5.7</v>
      </c>
      <c r="BH30" s="35" t="n">
        <f aca="false">AVERAGE(BG30,BI30)</f>
        <v>26.85</v>
      </c>
      <c r="BI30" s="34" t="n">
        <v>48</v>
      </c>
      <c r="BJ30" s="37" t="n">
        <v>6.2</v>
      </c>
      <c r="BK30" s="37" t="n">
        <f aca="false">AVERAGE(BJ30,BL30)</f>
        <v>42.1</v>
      </c>
      <c r="BL30" s="36" t="n">
        <v>78</v>
      </c>
      <c r="BM30" s="34" t="n">
        <v>1.8</v>
      </c>
      <c r="BN30" s="35" t="n">
        <f aca="false">AVERAGEA(BO30, BM30)</f>
        <v>1.8</v>
      </c>
      <c r="BO30" s="34" t="n">
        <v>1.8</v>
      </c>
      <c r="BP30" s="37" t="n">
        <v>60</v>
      </c>
      <c r="BQ30" s="37" t="n">
        <f aca="false">AVERAGEA(BP30,BR30)</f>
        <v>180</v>
      </c>
      <c r="BR30" s="36" t="n">
        <v>300</v>
      </c>
      <c r="BS30" s="34" t="n">
        <v>2</v>
      </c>
      <c r="BT30" s="35" t="n">
        <f aca="false">AVERAGEA(BS30,BU30)</f>
        <v>5</v>
      </c>
      <c r="BU30" s="40" t="n">
        <v>8</v>
      </c>
      <c r="BV30" s="37" t="n">
        <v>4</v>
      </c>
      <c r="BW30" s="37" t="n">
        <f aca="false">AVERAGEA(BV30,BX30)</f>
        <v>8</v>
      </c>
      <c r="BX30" s="36" t="n">
        <v>12</v>
      </c>
      <c r="BY30" s="34"/>
      <c r="BZ30" s="35" t="e">
        <f aca="false">AVERAGEA(BY30,CA30)</f>
        <v>#DIV/0!</v>
      </c>
      <c r="CA30" s="40"/>
      <c r="CB30" s="37"/>
      <c r="CC30" s="37" t="e">
        <f aca="false">AVERAGEA(CB30,CD30)</f>
        <v>#DIV/0!</v>
      </c>
      <c r="CD30" s="36"/>
      <c r="CE30" s="34"/>
      <c r="CF30" s="35" t="e">
        <f aca="false">AVERAGEA(CE30,CG30)</f>
        <v>#DIV/0!</v>
      </c>
      <c r="CG30" s="40"/>
    </row>
    <row r="31" s="18" customFormat="true" ht="28.35" hidden="false" customHeight="false" outlineLevel="0" collapsed="false">
      <c r="B31" s="19"/>
      <c r="C31" s="20"/>
      <c r="D31" s="42"/>
      <c r="E31" s="41"/>
      <c r="F31" s="32" t="s">
        <v>57</v>
      </c>
      <c r="G31" s="33"/>
      <c r="H31" s="24"/>
      <c r="I31" s="24" t="e">
        <f aca="false">AVERAGE(H31,J31)</f>
        <v>#DIV/0!</v>
      </c>
      <c r="J31" s="24"/>
      <c r="K31" s="34" t="s">
        <v>55</v>
      </c>
      <c r="L31" s="35"/>
      <c r="M31" s="34" t="s">
        <v>55</v>
      </c>
      <c r="N31" s="24" t="n">
        <v>30.023210739656</v>
      </c>
      <c r="O31" s="24" t="n">
        <f aca="false">AVERAGE(N31,P31)</f>
        <v>34.6913082831814</v>
      </c>
      <c r="P31" s="24" t="n">
        <v>39.3594058267068</v>
      </c>
      <c r="Q31" s="34" t="s">
        <v>55</v>
      </c>
      <c r="R31" s="35"/>
      <c r="S31" s="34" t="s">
        <v>55</v>
      </c>
      <c r="T31" s="36" t="s">
        <v>55</v>
      </c>
      <c r="U31" s="37"/>
      <c r="V31" s="36" t="s">
        <v>55</v>
      </c>
      <c r="W31" s="34" t="s">
        <v>55</v>
      </c>
      <c r="X31" s="35"/>
      <c r="Y31" s="34" t="s">
        <v>55</v>
      </c>
      <c r="Z31" s="36" t="s">
        <v>55</v>
      </c>
      <c r="AA31" s="37"/>
      <c r="AB31" s="37" t="s">
        <v>55</v>
      </c>
      <c r="AC31" s="34" t="n">
        <v>82</v>
      </c>
      <c r="AD31" s="35" t="n">
        <f aca="false">AVERAGEA(AE31, AC31)</f>
        <v>86.6</v>
      </c>
      <c r="AE31" s="34" t="n">
        <v>91.2</v>
      </c>
      <c r="AF31" s="37" t="n">
        <v>50</v>
      </c>
      <c r="AG31" s="37" t="n">
        <f aca="false">AVERAGEA(AH31, AF31)</f>
        <v>35</v>
      </c>
      <c r="AH31" s="36" t="n">
        <v>20</v>
      </c>
      <c r="AI31" s="34" t="n">
        <v>0.66</v>
      </c>
      <c r="AJ31" s="35" t="n">
        <f aca="false">AVERAGEA(AK31, AI31)</f>
        <v>4.33</v>
      </c>
      <c r="AK31" s="35" t="n">
        <v>8</v>
      </c>
      <c r="AL31" s="37" t="n">
        <v>0.66</v>
      </c>
      <c r="AM31" s="37" t="n">
        <f aca="false">AVERAGEA(AN31, AL31)</f>
        <v>3.33</v>
      </c>
      <c r="AN31" s="36" t="n">
        <v>6</v>
      </c>
      <c r="AO31" s="34" t="n">
        <v>3</v>
      </c>
      <c r="AP31" s="35" t="n">
        <f aca="false">AVERAGEA(AQ31, AO31)</f>
        <v>6.5</v>
      </c>
      <c r="AQ31" s="34" t="n">
        <v>10</v>
      </c>
      <c r="AR31" s="37" t="n">
        <v>1.5</v>
      </c>
      <c r="AS31" s="37" t="n">
        <f aca="false">AVERAGEA(AT31, AR31)</f>
        <v>2.25</v>
      </c>
      <c r="AT31" s="43" t="n">
        <v>3</v>
      </c>
      <c r="AU31" s="34" t="n">
        <v>715</v>
      </c>
      <c r="AV31" s="35" t="n">
        <f aca="false">AVERAGEA(AW31, AU31)</f>
        <v>1530.5</v>
      </c>
      <c r="AW31" s="34" t="n">
        <v>2346</v>
      </c>
      <c r="AX31" s="37" t="n">
        <v>15.4</v>
      </c>
      <c r="AY31" s="37" t="n">
        <f aca="false">AVERAGEA(AZ31, AX31)</f>
        <v>37.2</v>
      </c>
      <c r="AZ31" s="36" t="n">
        <v>59</v>
      </c>
      <c r="BA31" s="34" t="n">
        <v>3</v>
      </c>
      <c r="BB31" s="35" t="n">
        <f aca="false">AVERAGEA(BC31, BA31)</f>
        <v>4.315</v>
      </c>
      <c r="BC31" s="34" t="n">
        <v>5.63</v>
      </c>
      <c r="BD31" s="37" t="n">
        <v>3.56</v>
      </c>
      <c r="BE31" s="37" t="n">
        <f aca="false">AVERAGE(BD31,BF31)</f>
        <v>22.03</v>
      </c>
      <c r="BF31" s="36" t="n">
        <v>40.5</v>
      </c>
      <c r="BG31" s="34" t="n">
        <v>5.7</v>
      </c>
      <c r="BH31" s="35" t="n">
        <f aca="false">AVERAGE(BG31,BI31)</f>
        <v>26.85</v>
      </c>
      <c r="BI31" s="34" t="n">
        <v>48</v>
      </c>
      <c r="BJ31" s="37" t="n">
        <v>6.2</v>
      </c>
      <c r="BK31" s="37" t="n">
        <f aca="false">AVERAGE(BJ31,BL31)</f>
        <v>42.1</v>
      </c>
      <c r="BL31" s="36" t="n">
        <v>78</v>
      </c>
      <c r="BM31" s="34" t="n">
        <v>1.8</v>
      </c>
      <c r="BN31" s="35" t="n">
        <f aca="false">AVERAGEA(BO31, BM31)</f>
        <v>1.8</v>
      </c>
      <c r="BO31" s="34" t="n">
        <v>1.8</v>
      </c>
      <c r="BP31" s="37" t="n">
        <v>60</v>
      </c>
      <c r="BQ31" s="37" t="n">
        <f aca="false">AVERAGEA(BP31,BR31)</f>
        <v>180</v>
      </c>
      <c r="BR31" s="36" t="n">
        <v>300</v>
      </c>
      <c r="BS31" s="34" t="n">
        <v>2</v>
      </c>
      <c r="BT31" s="35" t="n">
        <f aca="false">AVERAGEA(BS31,BU31)</f>
        <v>5</v>
      </c>
      <c r="BU31" s="40" t="n">
        <v>8</v>
      </c>
      <c r="BV31" s="37" t="n">
        <v>4</v>
      </c>
      <c r="BW31" s="37" t="n">
        <f aca="false">AVERAGEA(BV31,BX31)</f>
        <v>8</v>
      </c>
      <c r="BX31" s="36" t="n">
        <v>12</v>
      </c>
      <c r="BY31" s="34"/>
      <c r="BZ31" s="35" t="e">
        <f aca="false">AVERAGEA(BY31,CA31)</f>
        <v>#DIV/0!</v>
      </c>
      <c r="CA31" s="40"/>
      <c r="CB31" s="37"/>
      <c r="CC31" s="37" t="e">
        <f aca="false">AVERAGEA(CB31,CD31)</f>
        <v>#DIV/0!</v>
      </c>
      <c r="CD31" s="36"/>
      <c r="CE31" s="34"/>
      <c r="CF31" s="35" t="e">
        <f aca="false">AVERAGEA(CE31,CG31)</f>
        <v>#DIV/0!</v>
      </c>
      <c r="CG31" s="40"/>
    </row>
    <row r="32" s="18" customFormat="true" ht="28.35" hidden="false" customHeight="false" outlineLevel="0" collapsed="false">
      <c r="B32" s="19"/>
      <c r="C32" s="20"/>
      <c r="D32" s="42"/>
      <c r="E32" s="41"/>
      <c r="F32" s="32" t="s">
        <v>58</v>
      </c>
      <c r="G32" s="33"/>
      <c r="H32" s="24"/>
      <c r="I32" s="24" t="e">
        <f aca="false">AVERAGE(H32,J32)</f>
        <v>#DIV/0!</v>
      </c>
      <c r="J32" s="24"/>
      <c r="K32" s="34" t="s">
        <v>55</v>
      </c>
      <c r="L32" s="35"/>
      <c r="M32" s="34" t="s">
        <v>55</v>
      </c>
      <c r="N32" s="24" t="n">
        <v>23.7297161712986</v>
      </c>
      <c r="O32" s="24" t="n">
        <f aca="false">AVERAGE(N32,P32)</f>
        <v>26.8555002367293</v>
      </c>
      <c r="P32" s="24" t="n">
        <v>29.98128430216</v>
      </c>
      <c r="Q32" s="34" t="s">
        <v>55</v>
      </c>
      <c r="R32" s="35"/>
      <c r="S32" s="34" t="s">
        <v>55</v>
      </c>
      <c r="T32" s="36" t="s">
        <v>55</v>
      </c>
      <c r="U32" s="37"/>
      <c r="V32" s="36" t="s">
        <v>55</v>
      </c>
      <c r="W32" s="34" t="s">
        <v>55</v>
      </c>
      <c r="X32" s="35"/>
      <c r="Y32" s="34" t="s">
        <v>55</v>
      </c>
      <c r="Z32" s="36" t="s">
        <v>55</v>
      </c>
      <c r="AA32" s="37"/>
      <c r="AB32" s="37" t="s">
        <v>55</v>
      </c>
      <c r="AC32" s="34" t="n">
        <v>82</v>
      </c>
      <c r="AD32" s="35" t="n">
        <f aca="false">AVERAGEA(AE32, AC32)</f>
        <v>86.6</v>
      </c>
      <c r="AE32" s="34" t="n">
        <v>91.2</v>
      </c>
      <c r="AF32" s="37" t="n">
        <v>50</v>
      </c>
      <c r="AG32" s="37" t="n">
        <f aca="false">AVERAGEA(AH32, AF32)</f>
        <v>35</v>
      </c>
      <c r="AH32" s="36" t="n">
        <v>20</v>
      </c>
      <c r="AI32" s="34" t="n">
        <v>0.66</v>
      </c>
      <c r="AJ32" s="35" t="n">
        <f aca="false">AVERAGEA(AK32, AI32)</f>
        <v>4.33</v>
      </c>
      <c r="AK32" s="35" t="n">
        <v>8</v>
      </c>
      <c r="AL32" s="37" t="n">
        <v>0.66</v>
      </c>
      <c r="AM32" s="37" t="n">
        <f aca="false">AVERAGEA(AN32, AL32)</f>
        <v>3.33</v>
      </c>
      <c r="AN32" s="36" t="n">
        <v>6</v>
      </c>
      <c r="AO32" s="34" t="n">
        <v>3</v>
      </c>
      <c r="AP32" s="35" t="n">
        <f aca="false">AVERAGEA(AQ32, AO32)</f>
        <v>6.5</v>
      </c>
      <c r="AQ32" s="34" t="n">
        <v>10</v>
      </c>
      <c r="AR32" s="37" t="n">
        <v>1.5</v>
      </c>
      <c r="AS32" s="37" t="n">
        <f aca="false">AVERAGEA(AT32, AR32)</f>
        <v>2.25</v>
      </c>
      <c r="AT32" s="43" t="n">
        <v>3</v>
      </c>
      <c r="AU32" s="34" t="n">
        <v>715</v>
      </c>
      <c r="AV32" s="35" t="n">
        <f aca="false">AVERAGEA(AW32, AU32)</f>
        <v>1530.5</v>
      </c>
      <c r="AW32" s="34" t="n">
        <v>2346</v>
      </c>
      <c r="AX32" s="37" t="n">
        <v>15.4</v>
      </c>
      <c r="AY32" s="37" t="n">
        <f aca="false">AVERAGEA(AZ32, AX32)</f>
        <v>37.2</v>
      </c>
      <c r="AZ32" s="36" t="n">
        <v>59</v>
      </c>
      <c r="BA32" s="34" t="n">
        <v>3</v>
      </c>
      <c r="BB32" s="35" t="n">
        <f aca="false">AVERAGEA(BC32, BA32)</f>
        <v>4.315</v>
      </c>
      <c r="BC32" s="34" t="n">
        <v>5.63</v>
      </c>
      <c r="BD32" s="37" t="n">
        <v>3.56</v>
      </c>
      <c r="BE32" s="37" t="n">
        <f aca="false">AVERAGE(BD32,BF32)</f>
        <v>22.03</v>
      </c>
      <c r="BF32" s="36" t="n">
        <v>40.5</v>
      </c>
      <c r="BG32" s="34" t="n">
        <v>5.7</v>
      </c>
      <c r="BH32" s="35" t="n">
        <f aca="false">AVERAGE(BG32,BI32)</f>
        <v>26.85</v>
      </c>
      <c r="BI32" s="34" t="n">
        <v>48</v>
      </c>
      <c r="BJ32" s="37" t="n">
        <v>6.2</v>
      </c>
      <c r="BK32" s="37" t="n">
        <f aca="false">AVERAGE(BJ32,BL32)</f>
        <v>42.1</v>
      </c>
      <c r="BL32" s="36" t="n">
        <v>78</v>
      </c>
      <c r="BM32" s="34" t="n">
        <v>1.8</v>
      </c>
      <c r="BN32" s="35" t="n">
        <f aca="false">AVERAGEA(BO32, BM32)</f>
        <v>1.8</v>
      </c>
      <c r="BO32" s="34" t="n">
        <v>1.8</v>
      </c>
      <c r="BP32" s="37" t="n">
        <v>60</v>
      </c>
      <c r="BQ32" s="37" t="n">
        <f aca="false">AVERAGEA(BP32,BR32)</f>
        <v>180</v>
      </c>
      <c r="BR32" s="36" t="n">
        <v>300</v>
      </c>
      <c r="BS32" s="34" t="n">
        <v>2</v>
      </c>
      <c r="BT32" s="35" t="n">
        <f aca="false">AVERAGEA(BS32,BU32)</f>
        <v>5</v>
      </c>
      <c r="BU32" s="40" t="n">
        <v>8</v>
      </c>
      <c r="BV32" s="37" t="n">
        <v>4</v>
      </c>
      <c r="BW32" s="37" t="n">
        <f aca="false">AVERAGEA(BV32,BX32)</f>
        <v>8</v>
      </c>
      <c r="BX32" s="36" t="n">
        <v>12</v>
      </c>
      <c r="BY32" s="34"/>
      <c r="BZ32" s="35" t="e">
        <f aca="false">AVERAGEA(BY32,CA32)</f>
        <v>#DIV/0!</v>
      </c>
      <c r="CA32" s="40"/>
      <c r="CB32" s="37"/>
      <c r="CC32" s="37" t="e">
        <f aca="false">AVERAGEA(CB32,CD32)</f>
        <v>#DIV/0!</v>
      </c>
      <c r="CD32" s="36"/>
      <c r="CE32" s="34"/>
      <c r="CF32" s="35" t="e">
        <f aca="false">AVERAGEA(CE32,CG32)</f>
        <v>#DIV/0!</v>
      </c>
      <c r="CG32" s="40"/>
    </row>
    <row r="33" s="18" customFormat="true" ht="26.4" hidden="false" customHeight="true" outlineLevel="0" collapsed="false">
      <c r="B33" s="19"/>
      <c r="C33" s="20"/>
      <c r="D33" s="42"/>
      <c r="E33" s="41" t="s">
        <v>64</v>
      </c>
      <c r="F33" s="32" t="s">
        <v>54</v>
      </c>
      <c r="G33" s="33"/>
      <c r="H33" s="24"/>
      <c r="I33" s="24" t="e">
        <f aca="false">AVERAGE(H33,J33)</f>
        <v>#DIV/0!</v>
      </c>
      <c r="J33" s="24"/>
      <c r="K33" s="34" t="s">
        <v>55</v>
      </c>
      <c r="L33" s="35"/>
      <c r="M33" s="34" t="s">
        <v>55</v>
      </c>
      <c r="N33" s="24" t="n">
        <v>41.9217691924903</v>
      </c>
      <c r="O33" s="24" t="n">
        <f aca="false">AVERAGE(N33,P33)</f>
        <v>43.1726490579445</v>
      </c>
      <c r="P33" s="24" t="n">
        <v>44.4235289233987</v>
      </c>
      <c r="Q33" s="34" t="s">
        <v>55</v>
      </c>
      <c r="R33" s="35"/>
      <c r="S33" s="34" t="s">
        <v>55</v>
      </c>
      <c r="T33" s="36" t="s">
        <v>55</v>
      </c>
      <c r="U33" s="37"/>
      <c r="V33" s="36" t="s">
        <v>55</v>
      </c>
      <c r="W33" s="34" t="s">
        <v>55</v>
      </c>
      <c r="X33" s="35"/>
      <c r="Y33" s="34" t="s">
        <v>55</v>
      </c>
      <c r="Z33" s="36" t="s">
        <v>55</v>
      </c>
      <c r="AA33" s="37"/>
      <c r="AB33" s="37" t="s">
        <v>55</v>
      </c>
      <c r="AC33" s="34" t="n">
        <v>82</v>
      </c>
      <c r="AD33" s="35" t="n">
        <f aca="false">AVERAGEA(AE33, AC33)</f>
        <v>86.6</v>
      </c>
      <c r="AE33" s="34" t="n">
        <v>91.2</v>
      </c>
      <c r="AF33" s="37" t="n">
        <v>50</v>
      </c>
      <c r="AG33" s="37" t="n">
        <f aca="false">AVERAGEA(AH33, AF33)</f>
        <v>35</v>
      </c>
      <c r="AH33" s="36" t="n">
        <v>20</v>
      </c>
      <c r="AI33" s="34" t="n">
        <v>0.66</v>
      </c>
      <c r="AJ33" s="35" t="n">
        <f aca="false">AVERAGEA(AK33, AI33)</f>
        <v>4.33</v>
      </c>
      <c r="AK33" s="35" t="n">
        <v>8</v>
      </c>
      <c r="AL33" s="37" t="n">
        <v>0.66</v>
      </c>
      <c r="AM33" s="37" t="n">
        <f aca="false">AVERAGEA(AN33, AL33)</f>
        <v>3.33</v>
      </c>
      <c r="AN33" s="36" t="n">
        <v>6</v>
      </c>
      <c r="AO33" s="34" t="n">
        <v>3</v>
      </c>
      <c r="AP33" s="35" t="n">
        <f aca="false">AVERAGEA(AQ33, AO33)</f>
        <v>6.5</v>
      </c>
      <c r="AQ33" s="34" t="n">
        <v>10</v>
      </c>
      <c r="AR33" s="37" t="n">
        <v>1.5</v>
      </c>
      <c r="AS33" s="37" t="n">
        <f aca="false">AVERAGEA(AT33, AR33)</f>
        <v>2.25</v>
      </c>
      <c r="AT33" s="43" t="n">
        <v>3</v>
      </c>
      <c r="AU33" s="34" t="n">
        <v>715</v>
      </c>
      <c r="AV33" s="35" t="n">
        <f aca="false">AVERAGEA(AW33, AU33)</f>
        <v>1530.5</v>
      </c>
      <c r="AW33" s="34" t="n">
        <v>2346</v>
      </c>
      <c r="AX33" s="37" t="n">
        <v>15.4</v>
      </c>
      <c r="AY33" s="37" t="n">
        <f aca="false">AVERAGEA(AZ33, AX33)</f>
        <v>37.2</v>
      </c>
      <c r="AZ33" s="36" t="n">
        <v>59</v>
      </c>
      <c r="BA33" s="34" t="n">
        <v>3</v>
      </c>
      <c r="BB33" s="35" t="n">
        <f aca="false">AVERAGEA(BC33, BA33)</f>
        <v>4.315</v>
      </c>
      <c r="BC33" s="34" t="n">
        <v>5.63</v>
      </c>
      <c r="BD33" s="37" t="n">
        <v>3.56</v>
      </c>
      <c r="BE33" s="37" t="n">
        <f aca="false">AVERAGE(BD33,BF33)</f>
        <v>22.03</v>
      </c>
      <c r="BF33" s="36" t="n">
        <v>40.5</v>
      </c>
      <c r="BG33" s="34" t="n">
        <v>5.7</v>
      </c>
      <c r="BH33" s="35" t="n">
        <f aca="false">AVERAGE(BG33,BI33)</f>
        <v>26.85</v>
      </c>
      <c r="BI33" s="34" t="n">
        <v>48</v>
      </c>
      <c r="BJ33" s="37" t="n">
        <v>6.2</v>
      </c>
      <c r="BK33" s="37" t="n">
        <f aca="false">AVERAGE(BJ33,BL33)</f>
        <v>42.1</v>
      </c>
      <c r="BL33" s="36" t="n">
        <v>78</v>
      </c>
      <c r="BM33" s="34" t="n">
        <v>1.8</v>
      </c>
      <c r="BN33" s="35" t="n">
        <f aca="false">AVERAGEA(BO33, BM33)</f>
        <v>1.8</v>
      </c>
      <c r="BO33" s="34" t="n">
        <v>1.8</v>
      </c>
      <c r="BP33" s="37" t="n">
        <v>60</v>
      </c>
      <c r="BQ33" s="37" t="n">
        <f aca="false">AVERAGEA(BP33,BR33)</f>
        <v>180</v>
      </c>
      <c r="BR33" s="36" t="n">
        <v>300</v>
      </c>
      <c r="BS33" s="34" t="n">
        <v>2</v>
      </c>
      <c r="BT33" s="35" t="n">
        <f aca="false">AVERAGEA(BS33,BU33)</f>
        <v>5</v>
      </c>
      <c r="BU33" s="40" t="n">
        <v>8</v>
      </c>
      <c r="BV33" s="37" t="n">
        <v>4</v>
      </c>
      <c r="BW33" s="37" t="n">
        <f aca="false">AVERAGEA(BV33,BX33)</f>
        <v>8</v>
      </c>
      <c r="BX33" s="36" t="n">
        <v>12</v>
      </c>
      <c r="BY33" s="34"/>
      <c r="BZ33" s="35" t="e">
        <f aca="false">AVERAGEA(BY33,CA33)</f>
        <v>#DIV/0!</v>
      </c>
      <c r="CA33" s="40"/>
      <c r="CB33" s="37"/>
      <c r="CC33" s="37" t="e">
        <f aca="false">AVERAGEA(CB33,CD33)</f>
        <v>#DIV/0!</v>
      </c>
      <c r="CD33" s="36"/>
      <c r="CE33" s="34"/>
      <c r="CF33" s="35" t="e">
        <f aca="false">AVERAGEA(CE33,CG33)</f>
        <v>#DIV/0!</v>
      </c>
      <c r="CG33" s="40"/>
    </row>
    <row r="34" s="18" customFormat="true" ht="28.35" hidden="false" customHeight="false" outlineLevel="0" collapsed="false">
      <c r="B34" s="19"/>
      <c r="C34" s="20"/>
      <c r="D34" s="42"/>
      <c r="E34" s="41"/>
      <c r="F34" s="32" t="s">
        <v>56</v>
      </c>
      <c r="G34" s="33"/>
      <c r="H34" s="24"/>
      <c r="I34" s="24" t="e">
        <f aca="false">AVERAGE(H34,J34)</f>
        <v>#DIV/0!</v>
      </c>
      <c r="J34" s="24"/>
      <c r="K34" s="34" t="s">
        <v>55</v>
      </c>
      <c r="L34" s="35"/>
      <c r="M34" s="34" t="s">
        <v>55</v>
      </c>
      <c r="N34" s="24" t="n">
        <v>38.8958625497083</v>
      </c>
      <c r="O34" s="24" t="n">
        <f aca="false">AVERAGE(N34,P34)</f>
        <v>40.4049547309817</v>
      </c>
      <c r="P34" s="24" t="n">
        <v>41.914046912255</v>
      </c>
      <c r="Q34" s="34" t="s">
        <v>55</v>
      </c>
      <c r="R34" s="35"/>
      <c r="S34" s="34" t="s">
        <v>55</v>
      </c>
      <c r="T34" s="36" t="s">
        <v>55</v>
      </c>
      <c r="U34" s="37"/>
      <c r="V34" s="36" t="s">
        <v>55</v>
      </c>
      <c r="W34" s="34" t="s">
        <v>55</v>
      </c>
      <c r="X34" s="35"/>
      <c r="Y34" s="34" t="s">
        <v>55</v>
      </c>
      <c r="Z34" s="36" t="s">
        <v>55</v>
      </c>
      <c r="AA34" s="37"/>
      <c r="AB34" s="37" t="s">
        <v>55</v>
      </c>
      <c r="AC34" s="34" t="n">
        <v>82</v>
      </c>
      <c r="AD34" s="35" t="n">
        <f aca="false">AVERAGEA(AE34, AC34)</f>
        <v>86.6</v>
      </c>
      <c r="AE34" s="34" t="n">
        <v>91.2</v>
      </c>
      <c r="AF34" s="37" t="n">
        <v>50</v>
      </c>
      <c r="AG34" s="37" t="n">
        <f aca="false">AVERAGEA(AH34, AF34)</f>
        <v>35</v>
      </c>
      <c r="AH34" s="36" t="n">
        <v>20</v>
      </c>
      <c r="AI34" s="34" t="n">
        <v>0.66</v>
      </c>
      <c r="AJ34" s="35" t="n">
        <f aca="false">AVERAGEA(AK34, AI34)</f>
        <v>4.33</v>
      </c>
      <c r="AK34" s="35" t="n">
        <v>8</v>
      </c>
      <c r="AL34" s="37" t="n">
        <v>0.66</v>
      </c>
      <c r="AM34" s="37" t="n">
        <f aca="false">AVERAGEA(AN34, AL34)</f>
        <v>3.33</v>
      </c>
      <c r="AN34" s="36" t="n">
        <v>6</v>
      </c>
      <c r="AO34" s="34" t="n">
        <v>3</v>
      </c>
      <c r="AP34" s="35" t="n">
        <f aca="false">AVERAGEA(AQ34, AO34)</f>
        <v>6.5</v>
      </c>
      <c r="AQ34" s="34" t="n">
        <v>10</v>
      </c>
      <c r="AR34" s="37" t="n">
        <v>1.5</v>
      </c>
      <c r="AS34" s="37" t="n">
        <f aca="false">AVERAGEA(AT34, AR34)</f>
        <v>2.25</v>
      </c>
      <c r="AT34" s="43" t="n">
        <v>3</v>
      </c>
      <c r="AU34" s="34" t="n">
        <v>715</v>
      </c>
      <c r="AV34" s="35" t="n">
        <f aca="false">AVERAGEA(AW34, AU34)</f>
        <v>1530.5</v>
      </c>
      <c r="AW34" s="34" t="n">
        <v>2346</v>
      </c>
      <c r="AX34" s="37" t="n">
        <v>15.4</v>
      </c>
      <c r="AY34" s="37" t="n">
        <f aca="false">AVERAGEA(AZ34, AX34)</f>
        <v>37.2</v>
      </c>
      <c r="AZ34" s="36" t="n">
        <v>59</v>
      </c>
      <c r="BA34" s="34" t="n">
        <v>3</v>
      </c>
      <c r="BB34" s="35" t="n">
        <f aca="false">AVERAGEA(BC34, BA34)</f>
        <v>4.315</v>
      </c>
      <c r="BC34" s="34" t="n">
        <v>5.63</v>
      </c>
      <c r="BD34" s="37" t="n">
        <v>3.56</v>
      </c>
      <c r="BE34" s="37" t="n">
        <f aca="false">AVERAGE(BD34,BF34)</f>
        <v>22.03</v>
      </c>
      <c r="BF34" s="36" t="n">
        <v>40.5</v>
      </c>
      <c r="BG34" s="34" t="n">
        <v>5.7</v>
      </c>
      <c r="BH34" s="35" t="n">
        <f aca="false">AVERAGE(BG34,BI34)</f>
        <v>26.85</v>
      </c>
      <c r="BI34" s="34" t="n">
        <v>48</v>
      </c>
      <c r="BJ34" s="37" t="n">
        <v>6.2</v>
      </c>
      <c r="BK34" s="37" t="n">
        <f aca="false">AVERAGE(BJ34,BL34)</f>
        <v>42.1</v>
      </c>
      <c r="BL34" s="36" t="n">
        <v>78</v>
      </c>
      <c r="BM34" s="34" t="n">
        <v>1.8</v>
      </c>
      <c r="BN34" s="35" t="n">
        <f aca="false">AVERAGEA(BO34, BM34)</f>
        <v>1.8</v>
      </c>
      <c r="BO34" s="34" t="n">
        <v>1.8</v>
      </c>
      <c r="BP34" s="37" t="n">
        <v>60</v>
      </c>
      <c r="BQ34" s="37" t="n">
        <f aca="false">AVERAGEA(BP34,BR34)</f>
        <v>180</v>
      </c>
      <c r="BR34" s="36" t="n">
        <v>300</v>
      </c>
      <c r="BS34" s="34" t="n">
        <v>2</v>
      </c>
      <c r="BT34" s="35" t="n">
        <f aca="false">AVERAGEA(BS34,BU34)</f>
        <v>5</v>
      </c>
      <c r="BU34" s="40" t="n">
        <v>8</v>
      </c>
      <c r="BV34" s="37" t="n">
        <v>4</v>
      </c>
      <c r="BW34" s="37" t="n">
        <f aca="false">AVERAGEA(BV34,BX34)</f>
        <v>8</v>
      </c>
      <c r="BX34" s="36" t="n">
        <v>12</v>
      </c>
      <c r="BY34" s="34"/>
      <c r="BZ34" s="35" t="e">
        <f aca="false">AVERAGEA(BY34,CA34)</f>
        <v>#DIV/0!</v>
      </c>
      <c r="CA34" s="40"/>
      <c r="CB34" s="37"/>
      <c r="CC34" s="37" t="e">
        <f aca="false">AVERAGEA(CB34,CD34)</f>
        <v>#DIV/0!</v>
      </c>
      <c r="CD34" s="36"/>
      <c r="CE34" s="34"/>
      <c r="CF34" s="35" t="e">
        <f aca="false">AVERAGEA(CE34,CG34)</f>
        <v>#DIV/0!</v>
      </c>
      <c r="CG34" s="40"/>
    </row>
    <row r="35" s="18" customFormat="true" ht="28.35" hidden="false" customHeight="false" outlineLevel="0" collapsed="false">
      <c r="B35" s="19"/>
      <c r="C35" s="20"/>
      <c r="D35" s="42"/>
      <c r="E35" s="41"/>
      <c r="F35" s="32" t="s">
        <v>57</v>
      </c>
      <c r="G35" s="33"/>
      <c r="H35" s="24"/>
      <c r="I35" s="24" t="e">
        <f aca="false">AVERAGE(H35,J35)</f>
        <v>#DIV/0!</v>
      </c>
      <c r="J35" s="24"/>
      <c r="K35" s="34" t="s">
        <v>55</v>
      </c>
      <c r="L35" s="35"/>
      <c r="M35" s="34" t="s">
        <v>55</v>
      </c>
      <c r="N35" s="24" t="n">
        <v>29.6538806668177</v>
      </c>
      <c r="O35" s="24" t="n">
        <f aca="false">AVERAGE(N35,P35)</f>
        <v>34.2645536790124</v>
      </c>
      <c r="P35" s="24" t="n">
        <v>38.8752266912071</v>
      </c>
      <c r="Q35" s="34" t="s">
        <v>55</v>
      </c>
      <c r="R35" s="35"/>
      <c r="S35" s="34" t="s">
        <v>55</v>
      </c>
      <c r="T35" s="36" t="s">
        <v>55</v>
      </c>
      <c r="U35" s="37"/>
      <c r="V35" s="36" t="s">
        <v>55</v>
      </c>
      <c r="W35" s="34" t="s">
        <v>55</v>
      </c>
      <c r="X35" s="35"/>
      <c r="Y35" s="34" t="s">
        <v>55</v>
      </c>
      <c r="Z35" s="36" t="s">
        <v>55</v>
      </c>
      <c r="AA35" s="37"/>
      <c r="AB35" s="37" t="s">
        <v>55</v>
      </c>
      <c r="AC35" s="34" t="n">
        <v>82</v>
      </c>
      <c r="AD35" s="35" t="n">
        <f aca="false">AVERAGEA(AE35, AC35)</f>
        <v>86.6</v>
      </c>
      <c r="AE35" s="34" t="n">
        <v>91.2</v>
      </c>
      <c r="AF35" s="37" t="n">
        <v>50</v>
      </c>
      <c r="AG35" s="37" t="n">
        <f aca="false">AVERAGEA(AH35, AF35)</f>
        <v>35</v>
      </c>
      <c r="AH35" s="36" t="n">
        <v>20</v>
      </c>
      <c r="AI35" s="34" t="n">
        <v>0.66</v>
      </c>
      <c r="AJ35" s="35" t="n">
        <f aca="false">AVERAGEA(AK35, AI35)</f>
        <v>4.33</v>
      </c>
      <c r="AK35" s="35" t="n">
        <v>8</v>
      </c>
      <c r="AL35" s="37" t="n">
        <v>0.66</v>
      </c>
      <c r="AM35" s="37" t="n">
        <f aca="false">AVERAGEA(AN35, AL35)</f>
        <v>3.33</v>
      </c>
      <c r="AN35" s="36" t="n">
        <v>6</v>
      </c>
      <c r="AO35" s="34" t="n">
        <v>3</v>
      </c>
      <c r="AP35" s="35" t="n">
        <f aca="false">AVERAGEA(AQ35, AO35)</f>
        <v>6.5</v>
      </c>
      <c r="AQ35" s="34" t="n">
        <v>10</v>
      </c>
      <c r="AR35" s="37" t="n">
        <v>1.5</v>
      </c>
      <c r="AS35" s="37" t="n">
        <f aca="false">AVERAGEA(AT35, AR35)</f>
        <v>2.25</v>
      </c>
      <c r="AT35" s="43" t="n">
        <v>3</v>
      </c>
      <c r="AU35" s="34" t="n">
        <v>715</v>
      </c>
      <c r="AV35" s="35" t="n">
        <f aca="false">AVERAGEA(AW35, AU35)</f>
        <v>1530.5</v>
      </c>
      <c r="AW35" s="34" t="n">
        <v>2346</v>
      </c>
      <c r="AX35" s="37" t="n">
        <v>15.4</v>
      </c>
      <c r="AY35" s="37" t="n">
        <f aca="false">AVERAGEA(AZ35, AX35)</f>
        <v>37.2</v>
      </c>
      <c r="AZ35" s="36" t="n">
        <v>59</v>
      </c>
      <c r="BA35" s="34" t="n">
        <v>3</v>
      </c>
      <c r="BB35" s="35" t="n">
        <f aca="false">AVERAGEA(BC35, BA35)</f>
        <v>4.315</v>
      </c>
      <c r="BC35" s="34" t="n">
        <v>5.63</v>
      </c>
      <c r="BD35" s="37" t="n">
        <v>3.56</v>
      </c>
      <c r="BE35" s="37" t="n">
        <f aca="false">AVERAGE(BD35,BF35)</f>
        <v>22.03</v>
      </c>
      <c r="BF35" s="36" t="n">
        <v>40.5</v>
      </c>
      <c r="BG35" s="34" t="n">
        <v>5.7</v>
      </c>
      <c r="BH35" s="35" t="n">
        <f aca="false">AVERAGE(BG35,BI35)</f>
        <v>26.85</v>
      </c>
      <c r="BI35" s="34" t="n">
        <v>48</v>
      </c>
      <c r="BJ35" s="37" t="n">
        <v>6.2</v>
      </c>
      <c r="BK35" s="37" t="n">
        <f aca="false">AVERAGE(BJ35,BL35)</f>
        <v>42.1</v>
      </c>
      <c r="BL35" s="36" t="n">
        <v>78</v>
      </c>
      <c r="BM35" s="34" t="n">
        <v>1.8</v>
      </c>
      <c r="BN35" s="35" t="n">
        <f aca="false">AVERAGEA(BO35, BM35)</f>
        <v>1.8</v>
      </c>
      <c r="BO35" s="34" t="n">
        <v>1.8</v>
      </c>
      <c r="BP35" s="37" t="n">
        <v>60</v>
      </c>
      <c r="BQ35" s="37" t="n">
        <f aca="false">AVERAGEA(BP35,BR35)</f>
        <v>180</v>
      </c>
      <c r="BR35" s="36" t="n">
        <v>300</v>
      </c>
      <c r="BS35" s="34" t="n">
        <v>2</v>
      </c>
      <c r="BT35" s="35" t="n">
        <f aca="false">AVERAGEA(BS35,BU35)</f>
        <v>5</v>
      </c>
      <c r="BU35" s="40" t="n">
        <v>8</v>
      </c>
      <c r="BV35" s="37" t="n">
        <v>4</v>
      </c>
      <c r="BW35" s="37" t="n">
        <f aca="false">AVERAGEA(BV35,BX35)</f>
        <v>8</v>
      </c>
      <c r="BX35" s="36" t="n">
        <v>12</v>
      </c>
      <c r="BY35" s="34"/>
      <c r="BZ35" s="35" t="e">
        <f aca="false">AVERAGEA(BY35,CA35)</f>
        <v>#DIV/0!</v>
      </c>
      <c r="CA35" s="40"/>
      <c r="CB35" s="37"/>
      <c r="CC35" s="37" t="e">
        <f aca="false">AVERAGEA(CB35,CD35)</f>
        <v>#DIV/0!</v>
      </c>
      <c r="CD35" s="36"/>
      <c r="CE35" s="34"/>
      <c r="CF35" s="35" t="e">
        <f aca="false">AVERAGEA(CE35,CG35)</f>
        <v>#DIV/0!</v>
      </c>
      <c r="CG35" s="40"/>
    </row>
    <row r="36" s="18" customFormat="true" ht="28.35" hidden="false" customHeight="false" outlineLevel="0" collapsed="false">
      <c r="B36" s="19"/>
      <c r="C36" s="20"/>
      <c r="D36" s="42"/>
      <c r="E36" s="41"/>
      <c r="F36" s="32" t="s">
        <v>58</v>
      </c>
      <c r="G36" s="33"/>
      <c r="H36" s="24"/>
      <c r="I36" s="24" t="e">
        <f aca="false">AVERAGE(H36,J36)</f>
        <v>#DIV/0!</v>
      </c>
      <c r="J36" s="24"/>
      <c r="K36" s="34" t="s">
        <v>55</v>
      </c>
      <c r="L36" s="35"/>
      <c r="M36" s="34" t="s">
        <v>55</v>
      </c>
      <c r="N36" s="24" t="n">
        <v>23.4378054267092</v>
      </c>
      <c r="O36" s="24" t="n">
        <f aca="false">AVERAGE(N36,P36)</f>
        <v>26.5251377067338</v>
      </c>
      <c r="P36" s="24" t="n">
        <v>29.6124699867585</v>
      </c>
      <c r="Q36" s="34" t="s">
        <v>55</v>
      </c>
      <c r="R36" s="35"/>
      <c r="S36" s="34" t="s">
        <v>55</v>
      </c>
      <c r="T36" s="36" t="s">
        <v>55</v>
      </c>
      <c r="U36" s="37"/>
      <c r="V36" s="36" t="s">
        <v>55</v>
      </c>
      <c r="W36" s="34" t="s">
        <v>55</v>
      </c>
      <c r="X36" s="35"/>
      <c r="Y36" s="34" t="s">
        <v>55</v>
      </c>
      <c r="Z36" s="36" t="s">
        <v>55</v>
      </c>
      <c r="AA36" s="37"/>
      <c r="AB36" s="37" t="s">
        <v>55</v>
      </c>
      <c r="AC36" s="34" t="n">
        <v>82</v>
      </c>
      <c r="AD36" s="35" t="n">
        <f aca="false">AVERAGEA(AE36, AC36)</f>
        <v>86.6</v>
      </c>
      <c r="AE36" s="34" t="n">
        <v>91.2</v>
      </c>
      <c r="AF36" s="37" t="n">
        <v>50</v>
      </c>
      <c r="AG36" s="37" t="n">
        <f aca="false">AVERAGEA(AH36, AF36)</f>
        <v>35</v>
      </c>
      <c r="AH36" s="36" t="n">
        <v>20</v>
      </c>
      <c r="AI36" s="34" t="n">
        <v>0.66</v>
      </c>
      <c r="AJ36" s="35" t="n">
        <f aca="false">AVERAGEA(AK36, AI36)</f>
        <v>4.33</v>
      </c>
      <c r="AK36" s="35" t="n">
        <v>8</v>
      </c>
      <c r="AL36" s="37" t="n">
        <v>0.66</v>
      </c>
      <c r="AM36" s="37" t="n">
        <f aca="false">AVERAGEA(AN36, AL36)</f>
        <v>3.33</v>
      </c>
      <c r="AN36" s="36" t="n">
        <v>6</v>
      </c>
      <c r="AO36" s="34" t="n">
        <v>3</v>
      </c>
      <c r="AP36" s="35" t="n">
        <f aca="false">AVERAGEA(AQ36, AO36)</f>
        <v>6.5</v>
      </c>
      <c r="AQ36" s="34" t="n">
        <v>10</v>
      </c>
      <c r="AR36" s="37" t="n">
        <v>1.5</v>
      </c>
      <c r="AS36" s="37" t="n">
        <f aca="false">AVERAGEA(AT36, AR36)</f>
        <v>2.25</v>
      </c>
      <c r="AT36" s="43" t="n">
        <v>3</v>
      </c>
      <c r="AU36" s="34" t="n">
        <v>715</v>
      </c>
      <c r="AV36" s="35" t="n">
        <f aca="false">AVERAGEA(AW36, AU36)</f>
        <v>1530.5</v>
      </c>
      <c r="AW36" s="34" t="n">
        <v>2346</v>
      </c>
      <c r="AX36" s="37" t="n">
        <v>15.4</v>
      </c>
      <c r="AY36" s="37" t="n">
        <f aca="false">AVERAGEA(AZ36, AX36)</f>
        <v>37.2</v>
      </c>
      <c r="AZ36" s="36" t="n">
        <v>59</v>
      </c>
      <c r="BA36" s="34" t="n">
        <v>3</v>
      </c>
      <c r="BB36" s="35" t="n">
        <f aca="false">AVERAGEA(BC36, BA36)</f>
        <v>4.315</v>
      </c>
      <c r="BC36" s="34" t="n">
        <v>5.63</v>
      </c>
      <c r="BD36" s="37" t="n">
        <v>3.56</v>
      </c>
      <c r="BE36" s="37" t="n">
        <f aca="false">AVERAGE(BD36,BF36)</f>
        <v>22.03</v>
      </c>
      <c r="BF36" s="36" t="n">
        <v>40.5</v>
      </c>
      <c r="BG36" s="34" t="n">
        <v>5.7</v>
      </c>
      <c r="BH36" s="35" t="n">
        <f aca="false">AVERAGE(BG36,BI36)</f>
        <v>26.85</v>
      </c>
      <c r="BI36" s="34" t="n">
        <v>48</v>
      </c>
      <c r="BJ36" s="37" t="n">
        <v>6.2</v>
      </c>
      <c r="BK36" s="37" t="n">
        <f aca="false">AVERAGE(BJ36,BL36)</f>
        <v>42.1</v>
      </c>
      <c r="BL36" s="36" t="n">
        <v>78</v>
      </c>
      <c r="BM36" s="34" t="n">
        <v>1.8</v>
      </c>
      <c r="BN36" s="35" t="n">
        <f aca="false">AVERAGEA(BO36, BM36)</f>
        <v>1.8</v>
      </c>
      <c r="BO36" s="34" t="n">
        <v>1.8</v>
      </c>
      <c r="BP36" s="37" t="n">
        <v>60</v>
      </c>
      <c r="BQ36" s="37" t="n">
        <f aca="false">AVERAGEA(BP36,BR36)</f>
        <v>180</v>
      </c>
      <c r="BR36" s="36" t="n">
        <v>300</v>
      </c>
      <c r="BS36" s="34" t="n">
        <v>2</v>
      </c>
      <c r="BT36" s="35" t="n">
        <f aca="false">AVERAGEA(BS36,BU36)</f>
        <v>5</v>
      </c>
      <c r="BU36" s="40" t="n">
        <v>8</v>
      </c>
      <c r="BV36" s="37" t="n">
        <v>4</v>
      </c>
      <c r="BW36" s="37" t="n">
        <f aca="false">AVERAGEA(BV36,BX36)</f>
        <v>8</v>
      </c>
      <c r="BX36" s="36" t="n">
        <v>12</v>
      </c>
      <c r="BY36" s="34"/>
      <c r="BZ36" s="35" t="e">
        <f aca="false">AVERAGEA(BY36,CA36)</f>
        <v>#DIV/0!</v>
      </c>
      <c r="CA36" s="40"/>
      <c r="CB36" s="37"/>
      <c r="CC36" s="37" t="e">
        <f aca="false">AVERAGEA(CB36,CD36)</f>
        <v>#DIV/0!</v>
      </c>
      <c r="CD36" s="36"/>
      <c r="CE36" s="34"/>
      <c r="CF36" s="35" t="e">
        <f aca="false">AVERAGEA(CE36,CG36)</f>
        <v>#DIV/0!</v>
      </c>
      <c r="CG36" s="40"/>
    </row>
    <row r="37" s="18" customFormat="true" ht="26.4" hidden="false" customHeight="true" outlineLevel="0" collapsed="false">
      <c r="B37" s="19"/>
      <c r="C37" s="32" t="s">
        <v>65</v>
      </c>
      <c r="D37" s="42" t="s">
        <v>52</v>
      </c>
      <c r="E37" s="41" t="s">
        <v>53</v>
      </c>
      <c r="F37" s="32" t="s">
        <v>54</v>
      </c>
      <c r="G37" s="33"/>
      <c r="H37" s="24"/>
      <c r="I37" s="24" t="e">
        <f aca="false">AVERAGE(H37,J37)</f>
        <v>#DIV/0!</v>
      </c>
      <c r="J37" s="24"/>
      <c r="K37" s="34" t="s">
        <v>55</v>
      </c>
      <c r="L37" s="35"/>
      <c r="M37" s="34" t="s">
        <v>55</v>
      </c>
      <c r="N37" s="24" t="n">
        <v>38.569821615199</v>
      </c>
      <c r="O37" s="24" t="n">
        <f aca="false">AVERAGE(N37,P37)</f>
        <v>39.7206846203141</v>
      </c>
      <c r="P37" s="24" t="n">
        <v>40.8715476254292</v>
      </c>
      <c r="Q37" s="34" t="s">
        <v>55</v>
      </c>
      <c r="R37" s="35"/>
      <c r="S37" s="34" t="s">
        <v>55</v>
      </c>
      <c r="T37" s="36" t="s">
        <v>55</v>
      </c>
      <c r="U37" s="37"/>
      <c r="V37" s="36" t="s">
        <v>55</v>
      </c>
      <c r="W37" s="34" t="s">
        <v>55</v>
      </c>
      <c r="X37" s="35"/>
      <c r="Y37" s="34" t="s">
        <v>55</v>
      </c>
      <c r="Z37" s="36" t="s">
        <v>55</v>
      </c>
      <c r="AA37" s="37"/>
      <c r="AB37" s="37" t="s">
        <v>55</v>
      </c>
      <c r="AC37" s="34" t="n">
        <v>85</v>
      </c>
      <c r="AD37" s="35" t="n">
        <f aca="false">AVERAGEA(AE37, AC37)</f>
        <v>85.65</v>
      </c>
      <c r="AE37" s="34" t="n">
        <v>86.3</v>
      </c>
      <c r="AF37" s="37" t="n">
        <v>60</v>
      </c>
      <c r="AG37" s="37" t="n">
        <f aca="false">AVERAGEA(AH37, AF37)</f>
        <v>40</v>
      </c>
      <c r="AH37" s="36" t="n">
        <v>20</v>
      </c>
      <c r="AI37" s="34" t="n">
        <v>0.58</v>
      </c>
      <c r="AJ37" s="35" t="n">
        <f aca="false">AVERAGEA(AK37, AI37)</f>
        <v>4.29</v>
      </c>
      <c r="AK37" s="34" t="n">
        <v>8</v>
      </c>
      <c r="AL37" s="37" t="n">
        <v>0.58</v>
      </c>
      <c r="AM37" s="37" t="n">
        <f aca="false">AVERAGEA(AN37, AL37)</f>
        <v>4.29</v>
      </c>
      <c r="AN37" s="36" t="n">
        <v>8</v>
      </c>
      <c r="AO37" s="34" t="n">
        <v>3</v>
      </c>
      <c r="AP37" s="35" t="n">
        <f aca="false">AVERAGEA(AQ37, AO37)</f>
        <v>13.5</v>
      </c>
      <c r="AQ37" s="34" t="n">
        <v>24</v>
      </c>
      <c r="AR37" s="37" t="n">
        <v>1.5</v>
      </c>
      <c r="AS37" s="37" t="n">
        <f aca="false">AVERAGEA(AT37, AR37)</f>
        <v>2.25</v>
      </c>
      <c r="AT37" s="36" t="n">
        <v>3</v>
      </c>
      <c r="AU37" s="34" t="n">
        <v>1400</v>
      </c>
      <c r="AV37" s="35" t="n">
        <f aca="false">AVERAGEA(AW37, AU37)</f>
        <v>1680.5</v>
      </c>
      <c r="AW37" s="34" t="n">
        <v>1961</v>
      </c>
      <c r="AX37" s="37" t="n">
        <v>31.1</v>
      </c>
      <c r="AY37" s="37" t="n">
        <f aca="false">AVERAGEA(AZ37, AX37)</f>
        <v>34.05</v>
      </c>
      <c r="AZ37" s="36" t="n">
        <v>37</v>
      </c>
      <c r="BA37" s="34" t="n">
        <v>2.6</v>
      </c>
      <c r="BB37" s="35" t="n">
        <f aca="false">AVERAGEA(BC37, BA37)</f>
        <v>6.55</v>
      </c>
      <c r="BC37" s="34" t="n">
        <v>10.5</v>
      </c>
      <c r="BD37" s="37" t="n">
        <v>8.4</v>
      </c>
      <c r="BE37" s="37" t="n">
        <f aca="false">AVERAGE(BD37,BF37)</f>
        <v>39.45</v>
      </c>
      <c r="BF37" s="36" t="n">
        <v>70.5</v>
      </c>
      <c r="BG37" s="34" t="n">
        <v>46</v>
      </c>
      <c r="BH37" s="35" t="n">
        <f aca="false">AVERAGE(BG37,BI37)</f>
        <v>81.5</v>
      </c>
      <c r="BI37" s="34" t="n">
        <v>117</v>
      </c>
      <c r="BJ37" s="37" t="n">
        <v>67</v>
      </c>
      <c r="BK37" s="37" t="n">
        <f aca="false">AVERAGE(BJ37,BL37)</f>
        <v>88.5</v>
      </c>
      <c r="BL37" s="36" t="n">
        <v>110</v>
      </c>
      <c r="BM37" s="34" t="n">
        <v>1.8</v>
      </c>
      <c r="BN37" s="35" t="n">
        <f aca="false">AVERAGEA(BO37, BM37)</f>
        <v>1.8</v>
      </c>
      <c r="BO37" s="34" t="n">
        <v>1.8</v>
      </c>
      <c r="BP37" s="37" t="n">
        <v>120</v>
      </c>
      <c r="BQ37" s="37" t="n">
        <f aca="false">AVERAGEA(BP37,BR37)</f>
        <v>240</v>
      </c>
      <c r="BR37" s="36" t="n">
        <v>360</v>
      </c>
      <c r="BS37" s="34" t="n">
        <v>4</v>
      </c>
      <c r="BT37" s="35" t="n">
        <f aca="false">AVERAGEA(BS37,BU37)</f>
        <v>5.5</v>
      </c>
      <c r="BU37" s="40" t="n">
        <v>7</v>
      </c>
      <c r="BV37" s="37" t="n">
        <v>5</v>
      </c>
      <c r="BW37" s="37" t="n">
        <f aca="false">AVERAGEA(BV37,BX37)</f>
        <v>8.9</v>
      </c>
      <c r="BX37" s="36" t="n">
        <v>12.8</v>
      </c>
      <c r="BY37" s="34"/>
      <c r="BZ37" s="35" t="e">
        <f aca="false">AVERAGEA(BY37,CA37)</f>
        <v>#DIV/0!</v>
      </c>
      <c r="CA37" s="40"/>
      <c r="CB37" s="37"/>
      <c r="CC37" s="37" t="e">
        <f aca="false">AVERAGEA(CB37,CD37)</f>
        <v>#DIV/0!</v>
      </c>
      <c r="CD37" s="36"/>
      <c r="CE37" s="34"/>
      <c r="CF37" s="35" t="e">
        <f aca="false">AVERAGEA(CE37,CG37)</f>
        <v>#DIV/0!</v>
      </c>
      <c r="CG37" s="40"/>
    </row>
    <row r="38" s="18" customFormat="true" ht="28.35" hidden="false" customHeight="false" outlineLevel="0" collapsed="false">
      <c r="B38" s="19"/>
      <c r="C38" s="32"/>
      <c r="D38" s="42"/>
      <c r="E38" s="41"/>
      <c r="F38" s="32" t="s">
        <v>56</v>
      </c>
      <c r="G38" s="33"/>
      <c r="H38" s="24"/>
      <c r="I38" s="24" t="e">
        <f aca="false">AVERAGE(H38,J38)</f>
        <v>#DIV/0!</v>
      </c>
      <c r="J38" s="24"/>
      <c r="K38" s="34" t="s">
        <v>55</v>
      </c>
      <c r="L38" s="35"/>
      <c r="M38" s="34" t="s">
        <v>55</v>
      </c>
      <c r="N38" s="24" t="n">
        <v>35.7858580162282</v>
      </c>
      <c r="O38" s="24" t="n">
        <f aca="false">AVERAGE(N38,P38)</f>
        <v>37.1742874015756</v>
      </c>
      <c r="P38" s="24" t="n">
        <v>38.562716786923</v>
      </c>
      <c r="Q38" s="34" t="s">
        <v>55</v>
      </c>
      <c r="R38" s="35"/>
      <c r="S38" s="34" t="s">
        <v>55</v>
      </c>
      <c r="T38" s="36" t="s">
        <v>55</v>
      </c>
      <c r="U38" s="37"/>
      <c r="V38" s="36" t="s">
        <v>55</v>
      </c>
      <c r="W38" s="34" t="s">
        <v>55</v>
      </c>
      <c r="X38" s="35"/>
      <c r="Y38" s="34" t="s">
        <v>55</v>
      </c>
      <c r="Z38" s="36" t="s">
        <v>55</v>
      </c>
      <c r="AA38" s="37"/>
      <c r="AB38" s="37" t="s">
        <v>55</v>
      </c>
      <c r="AC38" s="34" t="n">
        <v>85</v>
      </c>
      <c r="AD38" s="35" t="n">
        <f aca="false">AVERAGEA(AE38, AC38)</f>
        <v>85.65</v>
      </c>
      <c r="AE38" s="34" t="n">
        <v>86.3</v>
      </c>
      <c r="AF38" s="37" t="n">
        <v>60</v>
      </c>
      <c r="AG38" s="37" t="n">
        <f aca="false">AVERAGEA(AH38, AF38)</f>
        <v>40</v>
      </c>
      <c r="AH38" s="36" t="n">
        <v>20</v>
      </c>
      <c r="AI38" s="34" t="n">
        <v>0.58</v>
      </c>
      <c r="AJ38" s="35" t="n">
        <f aca="false">AVERAGEA(AK38, AI38)</f>
        <v>4.29</v>
      </c>
      <c r="AK38" s="34" t="n">
        <v>8</v>
      </c>
      <c r="AL38" s="37" t="n">
        <v>0.58</v>
      </c>
      <c r="AM38" s="37" t="n">
        <f aca="false">AVERAGEA(AN38, AL38)</f>
        <v>4.29</v>
      </c>
      <c r="AN38" s="36" t="n">
        <v>8</v>
      </c>
      <c r="AO38" s="34" t="n">
        <v>3</v>
      </c>
      <c r="AP38" s="35" t="n">
        <f aca="false">AVERAGEA(AQ38, AO38)</f>
        <v>13.5</v>
      </c>
      <c r="AQ38" s="34" t="n">
        <v>24</v>
      </c>
      <c r="AR38" s="37" t="n">
        <v>1.5</v>
      </c>
      <c r="AS38" s="37" t="n">
        <f aca="false">AVERAGEA(AT38, AR38)</f>
        <v>2.25</v>
      </c>
      <c r="AT38" s="36" t="n">
        <v>3</v>
      </c>
      <c r="AU38" s="34" t="n">
        <v>1400</v>
      </c>
      <c r="AV38" s="35" t="n">
        <f aca="false">AVERAGEA(AW38, AU38)</f>
        <v>1680.5</v>
      </c>
      <c r="AW38" s="34" t="n">
        <v>1961</v>
      </c>
      <c r="AX38" s="37" t="n">
        <v>31.1</v>
      </c>
      <c r="AY38" s="37" t="n">
        <f aca="false">AVERAGEA(AZ38, AX38)</f>
        <v>34.05</v>
      </c>
      <c r="AZ38" s="36" t="n">
        <v>37</v>
      </c>
      <c r="BA38" s="34" t="n">
        <v>2.6</v>
      </c>
      <c r="BB38" s="35" t="n">
        <f aca="false">AVERAGEA(BC38, BA38)</f>
        <v>6.55</v>
      </c>
      <c r="BC38" s="34" t="n">
        <v>10.5</v>
      </c>
      <c r="BD38" s="37" t="n">
        <v>8.4</v>
      </c>
      <c r="BE38" s="37" t="n">
        <f aca="false">AVERAGE(BD38,BF38)</f>
        <v>39.45</v>
      </c>
      <c r="BF38" s="36" t="n">
        <v>70.5</v>
      </c>
      <c r="BG38" s="34" t="n">
        <v>46</v>
      </c>
      <c r="BH38" s="35" t="n">
        <f aca="false">AVERAGE(BG38,BI38)</f>
        <v>81.5</v>
      </c>
      <c r="BI38" s="34" t="n">
        <v>117</v>
      </c>
      <c r="BJ38" s="37" t="n">
        <v>67</v>
      </c>
      <c r="BK38" s="37" t="n">
        <f aca="false">AVERAGE(BJ38,BL38)</f>
        <v>88.5</v>
      </c>
      <c r="BL38" s="36" t="n">
        <v>110</v>
      </c>
      <c r="BM38" s="34" t="n">
        <v>1.8</v>
      </c>
      <c r="BN38" s="35" t="n">
        <f aca="false">AVERAGEA(BO38, BM38)</f>
        <v>1.8</v>
      </c>
      <c r="BO38" s="34" t="n">
        <v>1.8</v>
      </c>
      <c r="BP38" s="37" t="n">
        <v>120</v>
      </c>
      <c r="BQ38" s="37" t="n">
        <f aca="false">AVERAGEA(BP38,BR38)</f>
        <v>240</v>
      </c>
      <c r="BR38" s="36" t="n">
        <v>360</v>
      </c>
      <c r="BS38" s="34" t="n">
        <v>4</v>
      </c>
      <c r="BT38" s="35" t="n">
        <f aca="false">AVERAGEA(BS38,BU38)</f>
        <v>5.5</v>
      </c>
      <c r="BU38" s="40" t="n">
        <v>7</v>
      </c>
      <c r="BV38" s="37" t="n">
        <v>5</v>
      </c>
      <c r="BW38" s="37" t="n">
        <f aca="false">AVERAGEA(BV38,BX38)</f>
        <v>8.9</v>
      </c>
      <c r="BX38" s="36" t="n">
        <v>12.8</v>
      </c>
      <c r="BY38" s="34"/>
      <c r="BZ38" s="35" t="e">
        <f aca="false">AVERAGEA(BY38,CA38)</f>
        <v>#DIV/0!</v>
      </c>
      <c r="CA38" s="40"/>
      <c r="CB38" s="37"/>
      <c r="CC38" s="37" t="e">
        <f aca="false">AVERAGEA(CB38,CD38)</f>
        <v>#DIV/0!</v>
      </c>
      <c r="CD38" s="36"/>
      <c r="CE38" s="34"/>
      <c r="CF38" s="35" t="e">
        <f aca="false">AVERAGEA(CE38,CG38)</f>
        <v>#DIV/0!</v>
      </c>
      <c r="CG38" s="40"/>
    </row>
    <row r="39" s="18" customFormat="true" ht="28.35" hidden="false" customHeight="false" outlineLevel="0" collapsed="false">
      <c r="B39" s="19"/>
      <c r="C39" s="32"/>
      <c r="D39" s="42"/>
      <c r="E39" s="41"/>
      <c r="F39" s="32" t="s">
        <v>57</v>
      </c>
      <c r="G39" s="33"/>
      <c r="H39" s="24"/>
      <c r="I39" s="24" t="e">
        <f aca="false">AVERAGE(H39,J39)</f>
        <v>#DIV/0!</v>
      </c>
      <c r="J39" s="24"/>
      <c r="K39" s="34" t="s">
        <v>55</v>
      </c>
      <c r="L39" s="35"/>
      <c r="M39" s="34" t="s">
        <v>55</v>
      </c>
      <c r="N39" s="24" t="n">
        <v>27.2828391918737</v>
      </c>
      <c r="O39" s="24" t="n">
        <f aca="false">AVERAGE(N39,P39)</f>
        <v>31.5248556676053</v>
      </c>
      <c r="P39" s="24" t="n">
        <v>35.7668721433369</v>
      </c>
      <c r="Q39" s="34" t="s">
        <v>55</v>
      </c>
      <c r="R39" s="35"/>
      <c r="S39" s="34" t="s">
        <v>55</v>
      </c>
      <c r="T39" s="36" t="s">
        <v>55</v>
      </c>
      <c r="U39" s="37"/>
      <c r="V39" s="36" t="s">
        <v>55</v>
      </c>
      <c r="W39" s="34" t="s">
        <v>55</v>
      </c>
      <c r="X39" s="35"/>
      <c r="Y39" s="34" t="s">
        <v>55</v>
      </c>
      <c r="Z39" s="36" t="s">
        <v>55</v>
      </c>
      <c r="AA39" s="37"/>
      <c r="AB39" s="37" t="s">
        <v>55</v>
      </c>
      <c r="AC39" s="34" t="n">
        <v>85</v>
      </c>
      <c r="AD39" s="35" t="n">
        <f aca="false">AVERAGEA(AE39, AC39)</f>
        <v>85.65</v>
      </c>
      <c r="AE39" s="34" t="n">
        <v>86.3</v>
      </c>
      <c r="AF39" s="37" t="n">
        <v>60</v>
      </c>
      <c r="AG39" s="37" t="n">
        <f aca="false">AVERAGEA(AH39, AF39)</f>
        <v>40</v>
      </c>
      <c r="AH39" s="36" t="n">
        <v>20</v>
      </c>
      <c r="AI39" s="34" t="n">
        <v>0.58</v>
      </c>
      <c r="AJ39" s="35" t="n">
        <f aca="false">AVERAGEA(AK39, AI39)</f>
        <v>4.29</v>
      </c>
      <c r="AK39" s="34" t="n">
        <v>8</v>
      </c>
      <c r="AL39" s="37" t="n">
        <v>0.58</v>
      </c>
      <c r="AM39" s="37" t="n">
        <f aca="false">AVERAGEA(AN39, AL39)</f>
        <v>4.29</v>
      </c>
      <c r="AN39" s="36" t="n">
        <v>8</v>
      </c>
      <c r="AO39" s="34" t="n">
        <v>3</v>
      </c>
      <c r="AP39" s="35" t="n">
        <f aca="false">AVERAGEA(AQ39, AO39)</f>
        <v>13.5</v>
      </c>
      <c r="AQ39" s="34" t="n">
        <v>24</v>
      </c>
      <c r="AR39" s="37" t="n">
        <v>1.5</v>
      </c>
      <c r="AS39" s="37" t="n">
        <f aca="false">AVERAGEA(AT39, AR39)</f>
        <v>2.25</v>
      </c>
      <c r="AT39" s="36" t="n">
        <v>3</v>
      </c>
      <c r="AU39" s="34" t="n">
        <v>1400</v>
      </c>
      <c r="AV39" s="35" t="n">
        <f aca="false">AVERAGEA(AW39, AU39)</f>
        <v>1680.5</v>
      </c>
      <c r="AW39" s="34" t="n">
        <v>1961</v>
      </c>
      <c r="AX39" s="37" t="n">
        <v>31.1</v>
      </c>
      <c r="AY39" s="37" t="n">
        <f aca="false">AVERAGEA(AZ39, AX39)</f>
        <v>34.05</v>
      </c>
      <c r="AZ39" s="36" t="n">
        <v>37</v>
      </c>
      <c r="BA39" s="34" t="n">
        <v>2.6</v>
      </c>
      <c r="BB39" s="35" t="n">
        <f aca="false">AVERAGEA(BC39, BA39)</f>
        <v>6.55</v>
      </c>
      <c r="BC39" s="34" t="n">
        <v>10.5</v>
      </c>
      <c r="BD39" s="37" t="n">
        <v>8.4</v>
      </c>
      <c r="BE39" s="37" t="n">
        <f aca="false">AVERAGE(BD39,BF39)</f>
        <v>39.45</v>
      </c>
      <c r="BF39" s="36" t="n">
        <v>70.5</v>
      </c>
      <c r="BG39" s="34" t="n">
        <v>46</v>
      </c>
      <c r="BH39" s="35" t="n">
        <f aca="false">AVERAGE(BG39,BI39)</f>
        <v>81.5</v>
      </c>
      <c r="BI39" s="34" t="n">
        <v>117</v>
      </c>
      <c r="BJ39" s="37" t="n">
        <v>67</v>
      </c>
      <c r="BK39" s="37" t="n">
        <f aca="false">AVERAGE(BJ39,BL39)</f>
        <v>88.5</v>
      </c>
      <c r="BL39" s="36" t="n">
        <v>110</v>
      </c>
      <c r="BM39" s="34" t="n">
        <v>1.8</v>
      </c>
      <c r="BN39" s="35" t="n">
        <f aca="false">AVERAGEA(BO39, BM39)</f>
        <v>1.8</v>
      </c>
      <c r="BO39" s="34" t="n">
        <v>1.8</v>
      </c>
      <c r="BP39" s="37" t="n">
        <v>120</v>
      </c>
      <c r="BQ39" s="37" t="n">
        <f aca="false">AVERAGEA(BP39,BR39)</f>
        <v>240</v>
      </c>
      <c r="BR39" s="36" t="n">
        <v>360</v>
      </c>
      <c r="BS39" s="34" t="n">
        <v>4</v>
      </c>
      <c r="BT39" s="35" t="n">
        <f aca="false">AVERAGEA(BS39,BU39)</f>
        <v>5.5</v>
      </c>
      <c r="BU39" s="40" t="n">
        <v>7</v>
      </c>
      <c r="BV39" s="37" t="n">
        <v>5</v>
      </c>
      <c r="BW39" s="37" t="n">
        <f aca="false">AVERAGEA(BV39,BX39)</f>
        <v>8.9</v>
      </c>
      <c r="BX39" s="36" t="n">
        <v>12.8</v>
      </c>
      <c r="BY39" s="34"/>
      <c r="BZ39" s="35" t="e">
        <f aca="false">AVERAGEA(BY39,CA39)</f>
        <v>#DIV/0!</v>
      </c>
      <c r="CA39" s="40"/>
      <c r="CB39" s="37"/>
      <c r="CC39" s="37" t="e">
        <f aca="false">AVERAGEA(CB39,CD39)</f>
        <v>#DIV/0!</v>
      </c>
      <c r="CD39" s="36"/>
      <c r="CE39" s="34"/>
      <c r="CF39" s="35" t="e">
        <f aca="false">AVERAGEA(CE39,CG39)</f>
        <v>#DIV/0!</v>
      </c>
      <c r="CG39" s="40"/>
    </row>
    <row r="40" s="18" customFormat="true" ht="28.35" hidden="false" customHeight="false" outlineLevel="0" collapsed="false">
      <c r="B40" s="19"/>
      <c r="C40" s="32"/>
      <c r="D40" s="42"/>
      <c r="E40" s="41"/>
      <c r="F40" s="32" t="s">
        <v>58</v>
      </c>
      <c r="G40" s="33"/>
      <c r="H40" s="24"/>
      <c r="I40" s="24" t="e">
        <f aca="false">AVERAGE(H40,J40)</f>
        <v>#DIV/0!</v>
      </c>
      <c r="J40" s="24"/>
      <c r="K40" s="34" t="s">
        <v>55</v>
      </c>
      <c r="L40" s="35"/>
      <c r="M40" s="34" t="s">
        <v>55</v>
      </c>
      <c r="N40" s="24" t="n">
        <v>21.56378396649</v>
      </c>
      <c r="O40" s="24" t="n">
        <f aca="false">AVERAGE(N40,P40)</f>
        <v>24.404261780311</v>
      </c>
      <c r="P40" s="24" t="n">
        <v>27.2447395941321</v>
      </c>
      <c r="Q40" s="34" t="s">
        <v>55</v>
      </c>
      <c r="R40" s="35"/>
      <c r="S40" s="34" t="s">
        <v>55</v>
      </c>
      <c r="T40" s="36" t="s">
        <v>55</v>
      </c>
      <c r="U40" s="37"/>
      <c r="V40" s="36" t="s">
        <v>55</v>
      </c>
      <c r="W40" s="34" t="s">
        <v>55</v>
      </c>
      <c r="X40" s="35"/>
      <c r="Y40" s="34" t="s">
        <v>55</v>
      </c>
      <c r="Z40" s="36" t="s">
        <v>55</v>
      </c>
      <c r="AA40" s="37"/>
      <c r="AB40" s="37" t="s">
        <v>55</v>
      </c>
      <c r="AC40" s="34" t="n">
        <v>85</v>
      </c>
      <c r="AD40" s="35" t="n">
        <f aca="false">AVERAGEA(AE40, AC40)</f>
        <v>85.65</v>
      </c>
      <c r="AE40" s="34" t="n">
        <v>86.3</v>
      </c>
      <c r="AF40" s="37" t="n">
        <v>60</v>
      </c>
      <c r="AG40" s="37" t="n">
        <f aca="false">AVERAGEA(AH40, AF40)</f>
        <v>40</v>
      </c>
      <c r="AH40" s="36" t="n">
        <v>20</v>
      </c>
      <c r="AI40" s="34" t="n">
        <v>0.58</v>
      </c>
      <c r="AJ40" s="35" t="n">
        <f aca="false">AVERAGEA(AK40, AI40)</f>
        <v>4.29</v>
      </c>
      <c r="AK40" s="34" t="n">
        <v>8</v>
      </c>
      <c r="AL40" s="37" t="n">
        <v>0.58</v>
      </c>
      <c r="AM40" s="37" t="n">
        <f aca="false">AVERAGEA(AN40, AL40)</f>
        <v>4.29</v>
      </c>
      <c r="AN40" s="36" t="n">
        <v>8</v>
      </c>
      <c r="AO40" s="34" t="n">
        <v>3</v>
      </c>
      <c r="AP40" s="35" t="n">
        <f aca="false">AVERAGEA(AQ40, AO40)</f>
        <v>13.5</v>
      </c>
      <c r="AQ40" s="34" t="n">
        <v>24</v>
      </c>
      <c r="AR40" s="37" t="n">
        <v>1.5</v>
      </c>
      <c r="AS40" s="37" t="n">
        <f aca="false">AVERAGEA(AT40, AR40)</f>
        <v>2.25</v>
      </c>
      <c r="AT40" s="36" t="n">
        <v>3</v>
      </c>
      <c r="AU40" s="34" t="n">
        <v>1400</v>
      </c>
      <c r="AV40" s="35" t="n">
        <f aca="false">AVERAGEA(AW40, AU40)</f>
        <v>1680.5</v>
      </c>
      <c r="AW40" s="34" t="n">
        <v>1961</v>
      </c>
      <c r="AX40" s="37" t="n">
        <v>31.1</v>
      </c>
      <c r="AY40" s="37" t="n">
        <f aca="false">AVERAGEA(AZ40, AX40)</f>
        <v>34.05</v>
      </c>
      <c r="AZ40" s="36" t="n">
        <v>37</v>
      </c>
      <c r="BA40" s="34" t="n">
        <v>2.6</v>
      </c>
      <c r="BB40" s="35" t="n">
        <f aca="false">AVERAGEA(BC40, BA40)</f>
        <v>6.55</v>
      </c>
      <c r="BC40" s="34" t="n">
        <v>10.5</v>
      </c>
      <c r="BD40" s="37" t="n">
        <v>8.4</v>
      </c>
      <c r="BE40" s="37" t="n">
        <f aca="false">AVERAGE(BD40,BF40)</f>
        <v>39.45</v>
      </c>
      <c r="BF40" s="36" t="n">
        <v>70.5</v>
      </c>
      <c r="BG40" s="34" t="n">
        <v>46</v>
      </c>
      <c r="BH40" s="35" t="n">
        <f aca="false">AVERAGE(BG40,BI40)</f>
        <v>81.5</v>
      </c>
      <c r="BI40" s="34" t="n">
        <v>117</v>
      </c>
      <c r="BJ40" s="37" t="n">
        <v>67</v>
      </c>
      <c r="BK40" s="37" t="n">
        <f aca="false">AVERAGE(BJ40,BL40)</f>
        <v>88.5</v>
      </c>
      <c r="BL40" s="36" t="n">
        <v>110</v>
      </c>
      <c r="BM40" s="34" t="n">
        <v>1.8</v>
      </c>
      <c r="BN40" s="35" t="n">
        <f aca="false">AVERAGEA(BO40, BM40)</f>
        <v>1.8</v>
      </c>
      <c r="BO40" s="34" t="n">
        <v>1.8</v>
      </c>
      <c r="BP40" s="37" t="n">
        <v>120</v>
      </c>
      <c r="BQ40" s="37" t="n">
        <f aca="false">AVERAGEA(BP40,BR40)</f>
        <v>240</v>
      </c>
      <c r="BR40" s="36" t="n">
        <v>360</v>
      </c>
      <c r="BS40" s="34" t="n">
        <v>4</v>
      </c>
      <c r="BT40" s="35" t="n">
        <f aca="false">AVERAGEA(BS40,BU40)</f>
        <v>5.5</v>
      </c>
      <c r="BU40" s="40" t="n">
        <v>7</v>
      </c>
      <c r="BV40" s="37" t="n">
        <v>5</v>
      </c>
      <c r="BW40" s="37" t="n">
        <f aca="false">AVERAGEA(BV40,BX40)</f>
        <v>8.9</v>
      </c>
      <c r="BX40" s="36" t="n">
        <v>12.8</v>
      </c>
      <c r="BY40" s="34"/>
      <c r="BZ40" s="35" t="e">
        <f aca="false">AVERAGEA(BY40,CA40)</f>
        <v>#DIV/0!</v>
      </c>
      <c r="CA40" s="40"/>
      <c r="CB40" s="37"/>
      <c r="CC40" s="37" t="e">
        <f aca="false">AVERAGEA(CB40,CD40)</f>
        <v>#DIV/0!</v>
      </c>
      <c r="CD40" s="36"/>
      <c r="CE40" s="34"/>
      <c r="CF40" s="35" t="e">
        <f aca="false">AVERAGEA(CE40,CG40)</f>
        <v>#DIV/0!</v>
      </c>
      <c r="CG40" s="40"/>
    </row>
    <row r="41" s="18" customFormat="true" ht="26.4" hidden="false" customHeight="true" outlineLevel="0" collapsed="false">
      <c r="B41" s="19"/>
      <c r="C41" s="32"/>
      <c r="D41" s="42"/>
      <c r="E41" s="41" t="s">
        <v>59</v>
      </c>
      <c r="F41" s="32" t="s">
        <v>54</v>
      </c>
      <c r="G41" s="33"/>
      <c r="H41" s="24"/>
      <c r="I41" s="24" t="e">
        <f aca="false">AVERAGE(H41,J41)</f>
        <v>#DIV/0!</v>
      </c>
      <c r="J41" s="24"/>
      <c r="K41" s="34" t="s">
        <v>55</v>
      </c>
      <c r="L41" s="35"/>
      <c r="M41" s="34" t="s">
        <v>55</v>
      </c>
      <c r="N41" s="24" t="n">
        <v>37.8243623384122</v>
      </c>
      <c r="O41" s="24" t="n">
        <f aca="false">AVERAGE(N41,P41)</f>
        <v>38.95298200748</v>
      </c>
      <c r="P41" s="24" t="n">
        <v>40.0816016765477</v>
      </c>
      <c r="Q41" s="34" t="s">
        <v>55</v>
      </c>
      <c r="R41" s="35"/>
      <c r="S41" s="34" t="s">
        <v>55</v>
      </c>
      <c r="T41" s="36" t="s">
        <v>55</v>
      </c>
      <c r="U41" s="37"/>
      <c r="V41" s="36" t="s">
        <v>55</v>
      </c>
      <c r="W41" s="34" t="s">
        <v>55</v>
      </c>
      <c r="X41" s="35"/>
      <c r="Y41" s="34" t="s">
        <v>55</v>
      </c>
      <c r="Z41" s="36" t="s">
        <v>55</v>
      </c>
      <c r="AA41" s="37"/>
      <c r="AB41" s="37" t="s">
        <v>55</v>
      </c>
      <c r="AC41" s="34" t="n">
        <v>85</v>
      </c>
      <c r="AD41" s="35" t="n">
        <f aca="false">AVERAGEA(AE41, AC41)</f>
        <v>85.65</v>
      </c>
      <c r="AE41" s="34" t="n">
        <v>86.3</v>
      </c>
      <c r="AF41" s="37" t="n">
        <v>60</v>
      </c>
      <c r="AG41" s="37" t="n">
        <f aca="false">AVERAGEA(AH41, AF41)</f>
        <v>40</v>
      </c>
      <c r="AH41" s="36" t="n">
        <v>20</v>
      </c>
      <c r="AI41" s="34" t="n">
        <v>0.58</v>
      </c>
      <c r="AJ41" s="35" t="n">
        <f aca="false">AVERAGEA(AK41, AI41)</f>
        <v>4.29</v>
      </c>
      <c r="AK41" s="34" t="n">
        <v>8</v>
      </c>
      <c r="AL41" s="37" t="n">
        <v>0.58</v>
      </c>
      <c r="AM41" s="37" t="n">
        <f aca="false">AVERAGEA(AN41, AL41)</f>
        <v>4.29</v>
      </c>
      <c r="AN41" s="36" t="n">
        <v>8</v>
      </c>
      <c r="AO41" s="34" t="n">
        <v>3</v>
      </c>
      <c r="AP41" s="35" t="n">
        <f aca="false">AVERAGEA(AQ41, AO41)</f>
        <v>13.5</v>
      </c>
      <c r="AQ41" s="34" t="n">
        <v>24</v>
      </c>
      <c r="AR41" s="37" t="n">
        <v>6</v>
      </c>
      <c r="AS41" s="37" t="n">
        <f aca="false">AVERAGEA(AT41, AR41)</f>
        <v>8</v>
      </c>
      <c r="AT41" s="36" t="n">
        <v>10</v>
      </c>
      <c r="AU41" s="34" t="n">
        <v>1400</v>
      </c>
      <c r="AV41" s="35" t="n">
        <f aca="false">AVERAGEA(AW41, AU41)</f>
        <v>1680.5</v>
      </c>
      <c r="AW41" s="34" t="n">
        <v>1961</v>
      </c>
      <c r="AX41" s="37" t="n">
        <v>31.1</v>
      </c>
      <c r="AY41" s="37" t="n">
        <f aca="false">AVERAGEA(AZ41, AX41)</f>
        <v>34.05</v>
      </c>
      <c r="AZ41" s="36" t="n">
        <v>37</v>
      </c>
      <c r="BA41" s="34" t="n">
        <v>2.6</v>
      </c>
      <c r="BB41" s="35" t="n">
        <f aca="false">AVERAGEA(BC41, BA41)</f>
        <v>6.55</v>
      </c>
      <c r="BC41" s="34" t="n">
        <v>10.5</v>
      </c>
      <c r="BD41" s="37" t="n">
        <v>8.4</v>
      </c>
      <c r="BE41" s="37" t="n">
        <f aca="false">AVERAGE(BD41,BF41)</f>
        <v>39.45</v>
      </c>
      <c r="BF41" s="36" t="n">
        <v>70.5</v>
      </c>
      <c r="BG41" s="34" t="n">
        <v>46</v>
      </c>
      <c r="BH41" s="35" t="n">
        <f aca="false">AVERAGE(BG41,BI41)</f>
        <v>81.5</v>
      </c>
      <c r="BI41" s="34" t="n">
        <v>117</v>
      </c>
      <c r="BJ41" s="37" t="n">
        <v>67</v>
      </c>
      <c r="BK41" s="37" t="n">
        <f aca="false">AVERAGE(BJ41,BL41)</f>
        <v>88.5</v>
      </c>
      <c r="BL41" s="36" t="n">
        <v>110</v>
      </c>
      <c r="BM41" s="34" t="n">
        <v>1.8</v>
      </c>
      <c r="BN41" s="35" t="n">
        <f aca="false">AVERAGEA(BO41, BM41)</f>
        <v>1.8</v>
      </c>
      <c r="BO41" s="34" t="n">
        <v>1.8</v>
      </c>
      <c r="BP41" s="37" t="n">
        <v>120</v>
      </c>
      <c r="BQ41" s="37" t="n">
        <f aca="false">AVERAGEA(BP41,BR41)</f>
        <v>240</v>
      </c>
      <c r="BR41" s="36" t="n">
        <v>360</v>
      </c>
      <c r="BS41" s="34" t="n">
        <v>4</v>
      </c>
      <c r="BT41" s="35" t="n">
        <f aca="false">AVERAGEA(BS41,BU41)</f>
        <v>5.5</v>
      </c>
      <c r="BU41" s="40" t="n">
        <v>7</v>
      </c>
      <c r="BV41" s="37" t="n">
        <v>5</v>
      </c>
      <c r="BW41" s="37" t="n">
        <f aca="false">AVERAGEA(BV41,BX41)</f>
        <v>8.9</v>
      </c>
      <c r="BX41" s="36" t="n">
        <v>12.8</v>
      </c>
      <c r="BY41" s="34"/>
      <c r="BZ41" s="35" t="e">
        <f aca="false">AVERAGEA(BY41,CA41)</f>
        <v>#DIV/0!</v>
      </c>
      <c r="CA41" s="40"/>
      <c r="CB41" s="37"/>
      <c r="CC41" s="37" t="e">
        <f aca="false">AVERAGEA(CB41,CD41)</f>
        <v>#DIV/0!</v>
      </c>
      <c r="CD41" s="36"/>
      <c r="CE41" s="34"/>
      <c r="CF41" s="35" t="e">
        <f aca="false">AVERAGEA(CE41,CG41)</f>
        <v>#DIV/0!</v>
      </c>
      <c r="CG41" s="40"/>
    </row>
    <row r="42" s="18" customFormat="true" ht="28.35" hidden="false" customHeight="false" outlineLevel="0" collapsed="false">
      <c r="B42" s="19"/>
      <c r="C42" s="32"/>
      <c r="D42" s="42"/>
      <c r="E42" s="41"/>
      <c r="F42" s="32" t="s">
        <v>56</v>
      </c>
      <c r="G42" s="33"/>
      <c r="H42" s="24"/>
      <c r="I42" s="24" t="e">
        <f aca="false">AVERAGE(H42,J42)</f>
        <v>#DIV/0!</v>
      </c>
      <c r="J42" s="24"/>
      <c r="K42" s="34" t="s">
        <v>55</v>
      </c>
      <c r="L42" s="35"/>
      <c r="M42" s="34" t="s">
        <v>55</v>
      </c>
      <c r="N42" s="24" t="n">
        <v>35.0942058716547</v>
      </c>
      <c r="O42" s="24" t="n">
        <f aca="false">AVERAGE(N42,P42)</f>
        <v>36.4558003502764</v>
      </c>
      <c r="P42" s="24" t="n">
        <v>37.8173948288981</v>
      </c>
      <c r="Q42" s="34" t="s">
        <v>55</v>
      </c>
      <c r="R42" s="35"/>
      <c r="S42" s="34" t="s">
        <v>55</v>
      </c>
      <c r="T42" s="36" t="s">
        <v>55</v>
      </c>
      <c r="U42" s="37"/>
      <c r="V42" s="36" t="s">
        <v>55</v>
      </c>
      <c r="W42" s="34" t="s">
        <v>55</v>
      </c>
      <c r="X42" s="35"/>
      <c r="Y42" s="34" t="s">
        <v>55</v>
      </c>
      <c r="Z42" s="36" t="s">
        <v>55</v>
      </c>
      <c r="AA42" s="37"/>
      <c r="AB42" s="37" t="s">
        <v>55</v>
      </c>
      <c r="AC42" s="34" t="n">
        <v>85</v>
      </c>
      <c r="AD42" s="35" t="n">
        <f aca="false">AVERAGEA(AE42, AC42)</f>
        <v>85.65</v>
      </c>
      <c r="AE42" s="34" t="n">
        <v>86.3</v>
      </c>
      <c r="AF42" s="37" t="n">
        <v>60</v>
      </c>
      <c r="AG42" s="37" t="n">
        <f aca="false">AVERAGEA(AH42, AF42)</f>
        <v>40</v>
      </c>
      <c r="AH42" s="36" t="n">
        <v>20</v>
      </c>
      <c r="AI42" s="34" t="n">
        <v>0.58</v>
      </c>
      <c r="AJ42" s="39" t="n">
        <f aca="false">AVERAGEA(AK42, AI42)</f>
        <v>4.29</v>
      </c>
      <c r="AK42" s="34" t="n">
        <v>8</v>
      </c>
      <c r="AL42" s="37" t="n">
        <v>0.58</v>
      </c>
      <c r="AM42" s="37" t="n">
        <f aca="false">AVERAGEA(AN42, AL42)</f>
        <v>4.29</v>
      </c>
      <c r="AN42" s="37" t="n">
        <v>8</v>
      </c>
      <c r="AO42" s="35" t="n">
        <v>3</v>
      </c>
      <c r="AP42" s="35" t="n">
        <f aca="false">AVERAGEA(AQ42, AO42)</f>
        <v>13.5</v>
      </c>
      <c r="AQ42" s="35" t="n">
        <v>24</v>
      </c>
      <c r="AR42" s="37" t="n">
        <v>6</v>
      </c>
      <c r="AS42" s="38" t="n">
        <f aca="false">AVERAGEA(AT42, AR42)</f>
        <v>8</v>
      </c>
      <c r="AT42" s="36" t="n">
        <v>10</v>
      </c>
      <c r="AU42" s="34" t="n">
        <v>1400</v>
      </c>
      <c r="AV42" s="35" t="n">
        <f aca="false">AVERAGEA(AW42, AU42)</f>
        <v>1680.5</v>
      </c>
      <c r="AW42" s="34" t="n">
        <v>1961</v>
      </c>
      <c r="AX42" s="37" t="n">
        <v>31.1</v>
      </c>
      <c r="AY42" s="37" t="n">
        <f aca="false">AVERAGEA(AZ42, AX42)</f>
        <v>34.05</v>
      </c>
      <c r="AZ42" s="36" t="n">
        <v>37</v>
      </c>
      <c r="BA42" s="34" t="n">
        <v>2.6</v>
      </c>
      <c r="BB42" s="35" t="n">
        <f aca="false">AVERAGEA(BC42, BA42)</f>
        <v>6.55</v>
      </c>
      <c r="BC42" s="34" t="n">
        <v>10.5</v>
      </c>
      <c r="BD42" s="37" t="n">
        <v>8.4</v>
      </c>
      <c r="BE42" s="37" t="n">
        <f aca="false">AVERAGE(BD42,BF42)</f>
        <v>39.45</v>
      </c>
      <c r="BF42" s="36" t="n">
        <v>70.5</v>
      </c>
      <c r="BG42" s="34" t="n">
        <v>46</v>
      </c>
      <c r="BH42" s="35" t="n">
        <f aca="false">AVERAGE(BG42,BI42)</f>
        <v>81.5</v>
      </c>
      <c r="BI42" s="34" t="n">
        <v>117</v>
      </c>
      <c r="BJ42" s="37" t="n">
        <v>67</v>
      </c>
      <c r="BK42" s="37" t="n">
        <f aca="false">AVERAGE(BJ42,BL42)</f>
        <v>88.5</v>
      </c>
      <c r="BL42" s="36" t="n">
        <v>110</v>
      </c>
      <c r="BM42" s="34" t="n">
        <v>1.8</v>
      </c>
      <c r="BN42" s="35" t="n">
        <f aca="false">AVERAGEA(BO42, BM42)</f>
        <v>1.8</v>
      </c>
      <c r="BO42" s="34" t="n">
        <v>1.8</v>
      </c>
      <c r="BP42" s="37" t="n">
        <v>120</v>
      </c>
      <c r="BQ42" s="37" t="n">
        <f aca="false">AVERAGEA(BP42,BR42)</f>
        <v>240</v>
      </c>
      <c r="BR42" s="36" t="n">
        <v>360</v>
      </c>
      <c r="BS42" s="34" t="n">
        <v>4</v>
      </c>
      <c r="BT42" s="35" t="n">
        <f aca="false">AVERAGEA(BS42,BU42)</f>
        <v>5.5</v>
      </c>
      <c r="BU42" s="40" t="n">
        <v>7</v>
      </c>
      <c r="BV42" s="37" t="n">
        <v>5</v>
      </c>
      <c r="BW42" s="37" t="n">
        <f aca="false">AVERAGEA(BV42,BX42)</f>
        <v>8.9</v>
      </c>
      <c r="BX42" s="36" t="n">
        <v>12.8</v>
      </c>
      <c r="BY42" s="34"/>
      <c r="BZ42" s="35" t="e">
        <f aca="false">AVERAGEA(BY42,CA42)</f>
        <v>#DIV/0!</v>
      </c>
      <c r="CA42" s="40"/>
      <c r="CB42" s="37"/>
      <c r="CC42" s="37" t="e">
        <f aca="false">AVERAGEA(CB42,CD42)</f>
        <v>#DIV/0!</v>
      </c>
      <c r="CD42" s="36"/>
      <c r="CE42" s="34"/>
      <c r="CF42" s="35" t="e">
        <f aca="false">AVERAGEA(CE42,CG42)</f>
        <v>#DIV/0!</v>
      </c>
      <c r="CG42" s="40"/>
    </row>
    <row r="43" s="18" customFormat="true" ht="28.35" hidden="false" customHeight="false" outlineLevel="0" collapsed="false">
      <c r="B43" s="19"/>
      <c r="C43" s="32"/>
      <c r="D43" s="42"/>
      <c r="E43" s="41"/>
      <c r="F43" s="32" t="s">
        <v>57</v>
      </c>
      <c r="G43" s="33"/>
      <c r="H43" s="24"/>
      <c r="I43" s="24" t="e">
        <f aca="false">AVERAGE(H43,J43)</f>
        <v>#DIV/0!</v>
      </c>
      <c r="J43" s="24"/>
      <c r="K43" s="34" t="s">
        <v>55</v>
      </c>
      <c r="L43" s="35"/>
      <c r="M43" s="34" t="s">
        <v>55</v>
      </c>
      <c r="N43" s="24" t="n">
        <v>26.7555293750025</v>
      </c>
      <c r="O43" s="24" t="n">
        <f aca="false">AVERAGE(N43,P43)</f>
        <v>30.9155581618704</v>
      </c>
      <c r="P43" s="24" t="n">
        <v>35.0755869487383</v>
      </c>
      <c r="Q43" s="34" t="s">
        <v>55</v>
      </c>
      <c r="R43" s="35"/>
      <c r="S43" s="34" t="s">
        <v>55</v>
      </c>
      <c r="T43" s="36" t="s">
        <v>55</v>
      </c>
      <c r="U43" s="37"/>
      <c r="V43" s="36" t="s">
        <v>55</v>
      </c>
      <c r="W43" s="34" t="s">
        <v>55</v>
      </c>
      <c r="X43" s="35"/>
      <c r="Y43" s="34" t="s">
        <v>55</v>
      </c>
      <c r="Z43" s="36" t="s">
        <v>55</v>
      </c>
      <c r="AA43" s="37"/>
      <c r="AB43" s="37" t="s">
        <v>55</v>
      </c>
      <c r="AC43" s="34" t="n">
        <v>85</v>
      </c>
      <c r="AD43" s="35" t="n">
        <f aca="false">AVERAGEA(AE43, AC43)</f>
        <v>85.65</v>
      </c>
      <c r="AE43" s="34" t="n">
        <v>86.3</v>
      </c>
      <c r="AF43" s="37" t="n">
        <v>60</v>
      </c>
      <c r="AG43" s="37" t="n">
        <f aca="false">AVERAGEA(AH43, AF43)</f>
        <v>40</v>
      </c>
      <c r="AH43" s="36" t="n">
        <v>20</v>
      </c>
      <c r="AI43" s="34" t="n">
        <v>0.58</v>
      </c>
      <c r="AJ43" s="39" t="n">
        <f aca="false">AVERAGEA(AK43, AI43)</f>
        <v>4.29</v>
      </c>
      <c r="AK43" s="34" t="n">
        <v>8</v>
      </c>
      <c r="AL43" s="37" t="n">
        <v>0.58</v>
      </c>
      <c r="AM43" s="37" t="n">
        <f aca="false">AVERAGEA(AN43, AL43)</f>
        <v>4.29</v>
      </c>
      <c r="AN43" s="37" t="n">
        <v>8</v>
      </c>
      <c r="AO43" s="35" t="n">
        <v>3</v>
      </c>
      <c r="AP43" s="35" t="n">
        <f aca="false">AVERAGEA(AQ43, AO43)</f>
        <v>13.5</v>
      </c>
      <c r="AQ43" s="35" t="n">
        <v>24</v>
      </c>
      <c r="AR43" s="37" t="n">
        <v>6</v>
      </c>
      <c r="AS43" s="38" t="n">
        <f aca="false">AVERAGEA(AT43, AR43)</f>
        <v>8</v>
      </c>
      <c r="AT43" s="36" t="n">
        <v>10</v>
      </c>
      <c r="AU43" s="34" t="n">
        <v>1400</v>
      </c>
      <c r="AV43" s="35" t="n">
        <f aca="false">AVERAGEA(AW43, AU43)</f>
        <v>1680.5</v>
      </c>
      <c r="AW43" s="34" t="n">
        <v>1961</v>
      </c>
      <c r="AX43" s="37" t="n">
        <v>31.1</v>
      </c>
      <c r="AY43" s="37" t="n">
        <f aca="false">AVERAGEA(AZ43, AX43)</f>
        <v>34.05</v>
      </c>
      <c r="AZ43" s="36" t="n">
        <v>37</v>
      </c>
      <c r="BA43" s="34" t="n">
        <v>2.6</v>
      </c>
      <c r="BB43" s="35" t="n">
        <f aca="false">AVERAGEA(BC43, BA43)</f>
        <v>6.55</v>
      </c>
      <c r="BC43" s="34" t="n">
        <v>10.5</v>
      </c>
      <c r="BD43" s="37" t="n">
        <v>8.4</v>
      </c>
      <c r="BE43" s="37" t="n">
        <f aca="false">AVERAGE(BD43,BF43)</f>
        <v>39.45</v>
      </c>
      <c r="BF43" s="36" t="n">
        <v>70.5</v>
      </c>
      <c r="BG43" s="34" t="n">
        <v>46</v>
      </c>
      <c r="BH43" s="35" t="n">
        <f aca="false">AVERAGE(BG43,BI43)</f>
        <v>81.5</v>
      </c>
      <c r="BI43" s="34" t="n">
        <v>117</v>
      </c>
      <c r="BJ43" s="37" t="n">
        <v>67</v>
      </c>
      <c r="BK43" s="37" t="n">
        <f aca="false">AVERAGE(BJ43,BL43)</f>
        <v>88.5</v>
      </c>
      <c r="BL43" s="36" t="n">
        <v>110</v>
      </c>
      <c r="BM43" s="34" t="n">
        <v>1.8</v>
      </c>
      <c r="BN43" s="35" t="n">
        <f aca="false">AVERAGEA(BO43, BM43)</f>
        <v>1.8</v>
      </c>
      <c r="BO43" s="34" t="n">
        <v>1.8</v>
      </c>
      <c r="BP43" s="37" t="n">
        <v>120</v>
      </c>
      <c r="BQ43" s="37" t="n">
        <f aca="false">AVERAGEA(BP43,BR43)</f>
        <v>240</v>
      </c>
      <c r="BR43" s="36" t="n">
        <v>360</v>
      </c>
      <c r="BS43" s="34" t="n">
        <v>4</v>
      </c>
      <c r="BT43" s="35" t="n">
        <f aca="false">AVERAGEA(BS43,BU43)</f>
        <v>5.5</v>
      </c>
      <c r="BU43" s="40" t="n">
        <v>7</v>
      </c>
      <c r="BV43" s="37" t="n">
        <v>5</v>
      </c>
      <c r="BW43" s="37" t="n">
        <f aca="false">AVERAGEA(BV43,BX43)</f>
        <v>8.9</v>
      </c>
      <c r="BX43" s="36" t="n">
        <v>12.8</v>
      </c>
      <c r="BY43" s="34"/>
      <c r="BZ43" s="35" t="e">
        <f aca="false">AVERAGEA(BY43,CA43)</f>
        <v>#DIV/0!</v>
      </c>
      <c r="CA43" s="40"/>
      <c r="CB43" s="37"/>
      <c r="CC43" s="37" t="e">
        <f aca="false">AVERAGEA(CB43,CD43)</f>
        <v>#DIV/0!</v>
      </c>
      <c r="CD43" s="36"/>
      <c r="CE43" s="34"/>
      <c r="CF43" s="35" t="e">
        <f aca="false">AVERAGEA(CE43,CG43)</f>
        <v>#DIV/0!</v>
      </c>
      <c r="CG43" s="40"/>
    </row>
    <row r="44" s="18" customFormat="true" ht="28.35" hidden="false" customHeight="false" outlineLevel="0" collapsed="false">
      <c r="B44" s="19"/>
      <c r="C44" s="32"/>
      <c r="D44" s="42"/>
      <c r="E44" s="41"/>
      <c r="F44" s="32" t="s">
        <v>58</v>
      </c>
      <c r="G44" s="33"/>
      <c r="H44" s="24"/>
      <c r="I44" s="24" t="e">
        <f aca="false">AVERAGE(H44,J44)</f>
        <v>#DIV/0!</v>
      </c>
      <c r="J44" s="24"/>
      <c r="K44" s="34" t="s">
        <v>55</v>
      </c>
      <c r="L44" s="35"/>
      <c r="M44" s="34" t="s">
        <v>55</v>
      </c>
      <c r="N44" s="24" t="n">
        <v>21.147009345108</v>
      </c>
      <c r="O44" s="24" t="n">
        <f aca="false">AVERAGE(N44,P44)</f>
        <v>23.9325877466905</v>
      </c>
      <c r="P44" s="24" t="n">
        <v>26.718166148273</v>
      </c>
      <c r="Q44" s="34" t="s">
        <v>55</v>
      </c>
      <c r="R44" s="35"/>
      <c r="S44" s="34" t="s">
        <v>55</v>
      </c>
      <c r="T44" s="36" t="s">
        <v>55</v>
      </c>
      <c r="U44" s="37"/>
      <c r="V44" s="36" t="s">
        <v>55</v>
      </c>
      <c r="W44" s="34" t="s">
        <v>55</v>
      </c>
      <c r="X44" s="35"/>
      <c r="Y44" s="34" t="s">
        <v>55</v>
      </c>
      <c r="Z44" s="36" t="s">
        <v>55</v>
      </c>
      <c r="AA44" s="37"/>
      <c r="AB44" s="37" t="s">
        <v>55</v>
      </c>
      <c r="AC44" s="34" t="n">
        <v>85</v>
      </c>
      <c r="AD44" s="35" t="n">
        <f aca="false">AVERAGEA(AE44, AC44)</f>
        <v>85.65</v>
      </c>
      <c r="AE44" s="34" t="n">
        <v>86.3</v>
      </c>
      <c r="AF44" s="37" t="n">
        <v>60</v>
      </c>
      <c r="AG44" s="37" t="n">
        <f aca="false">AVERAGEA(AH44, AF44)</f>
        <v>40</v>
      </c>
      <c r="AH44" s="36" t="n">
        <v>20</v>
      </c>
      <c r="AI44" s="34" t="n">
        <v>0.58</v>
      </c>
      <c r="AJ44" s="39" t="n">
        <f aca="false">AVERAGEA(AK44, AI44)</f>
        <v>4.29</v>
      </c>
      <c r="AK44" s="34" t="n">
        <v>8</v>
      </c>
      <c r="AL44" s="37" t="n">
        <v>0.58</v>
      </c>
      <c r="AM44" s="37" t="n">
        <f aca="false">AVERAGEA(AN44, AL44)</f>
        <v>4.29</v>
      </c>
      <c r="AN44" s="37" t="n">
        <v>8</v>
      </c>
      <c r="AO44" s="35" t="n">
        <v>3</v>
      </c>
      <c r="AP44" s="35" t="n">
        <f aca="false">AVERAGEA(AQ44, AO44)</f>
        <v>13.5</v>
      </c>
      <c r="AQ44" s="35" t="n">
        <v>24</v>
      </c>
      <c r="AR44" s="37" t="n">
        <v>6</v>
      </c>
      <c r="AS44" s="38" t="n">
        <f aca="false">AVERAGEA(AT44, AR44)</f>
        <v>8</v>
      </c>
      <c r="AT44" s="36" t="n">
        <v>10</v>
      </c>
      <c r="AU44" s="34" t="n">
        <v>1400</v>
      </c>
      <c r="AV44" s="35" t="n">
        <f aca="false">AVERAGEA(AW44, AU44)</f>
        <v>1680.5</v>
      </c>
      <c r="AW44" s="34" t="n">
        <v>1961</v>
      </c>
      <c r="AX44" s="37" t="n">
        <v>31.1</v>
      </c>
      <c r="AY44" s="37" t="n">
        <f aca="false">AVERAGEA(AZ44, AX44)</f>
        <v>34.05</v>
      </c>
      <c r="AZ44" s="36" t="n">
        <v>37</v>
      </c>
      <c r="BA44" s="34" t="n">
        <v>2.6</v>
      </c>
      <c r="BB44" s="35" t="n">
        <f aca="false">AVERAGEA(BC44, BA44)</f>
        <v>6.55</v>
      </c>
      <c r="BC44" s="34" t="n">
        <v>10.5</v>
      </c>
      <c r="BD44" s="37" t="n">
        <v>8.4</v>
      </c>
      <c r="BE44" s="37" t="n">
        <f aca="false">AVERAGE(BD44,BF44)</f>
        <v>39.45</v>
      </c>
      <c r="BF44" s="36" t="n">
        <v>70.5</v>
      </c>
      <c r="BG44" s="34" t="n">
        <v>46</v>
      </c>
      <c r="BH44" s="35" t="n">
        <f aca="false">AVERAGE(BG44,BI44)</f>
        <v>81.5</v>
      </c>
      <c r="BI44" s="34" t="n">
        <v>117</v>
      </c>
      <c r="BJ44" s="37" t="n">
        <v>67</v>
      </c>
      <c r="BK44" s="37" t="n">
        <f aca="false">AVERAGE(BJ44,BL44)</f>
        <v>88.5</v>
      </c>
      <c r="BL44" s="36" t="n">
        <v>110</v>
      </c>
      <c r="BM44" s="34" t="n">
        <v>1.8</v>
      </c>
      <c r="BN44" s="35" t="n">
        <f aca="false">AVERAGEA(BO44, BM44)</f>
        <v>1.8</v>
      </c>
      <c r="BO44" s="34" t="n">
        <v>1.8</v>
      </c>
      <c r="BP44" s="37" t="n">
        <v>120</v>
      </c>
      <c r="BQ44" s="37" t="n">
        <f aca="false">AVERAGEA(BP44,BR44)</f>
        <v>240</v>
      </c>
      <c r="BR44" s="36" t="n">
        <v>360</v>
      </c>
      <c r="BS44" s="34" t="n">
        <v>4</v>
      </c>
      <c r="BT44" s="35" t="n">
        <f aca="false">AVERAGEA(BS44,BU44)</f>
        <v>5.5</v>
      </c>
      <c r="BU44" s="40" t="n">
        <v>7</v>
      </c>
      <c r="BV44" s="37" t="n">
        <v>5</v>
      </c>
      <c r="BW44" s="37" t="n">
        <f aca="false">AVERAGEA(BV44,BX44)</f>
        <v>8.9</v>
      </c>
      <c r="BX44" s="36" t="n">
        <v>12.8</v>
      </c>
      <c r="BY44" s="34"/>
      <c r="BZ44" s="35" t="e">
        <f aca="false">AVERAGEA(BY44,CA44)</f>
        <v>#DIV/0!</v>
      </c>
      <c r="CA44" s="40"/>
      <c r="CB44" s="37"/>
      <c r="CC44" s="37" t="e">
        <f aca="false">AVERAGEA(CB44,CD44)</f>
        <v>#DIV/0!</v>
      </c>
      <c r="CD44" s="36"/>
      <c r="CE44" s="34"/>
      <c r="CF44" s="35" t="e">
        <f aca="false">AVERAGEA(CE44,CG44)</f>
        <v>#DIV/0!</v>
      </c>
      <c r="CG44" s="40"/>
    </row>
    <row r="45" s="18" customFormat="true" ht="26.4" hidden="false" customHeight="true" outlineLevel="0" collapsed="false">
      <c r="B45" s="19"/>
      <c r="C45" s="32"/>
      <c r="D45" s="42"/>
      <c r="E45" s="41" t="s">
        <v>60</v>
      </c>
      <c r="F45" s="32" t="s">
        <v>54</v>
      </c>
      <c r="G45" s="33"/>
      <c r="H45" s="24"/>
      <c r="I45" s="24" t="e">
        <f aca="false">AVERAGE(H45,J45)</f>
        <v>#DIV/0!</v>
      </c>
      <c r="J45" s="24"/>
      <c r="K45" s="34" t="s">
        <v>55</v>
      </c>
      <c r="L45" s="35"/>
      <c r="M45" s="34" t="s">
        <v>55</v>
      </c>
      <c r="N45" s="24" t="n">
        <v>36.6053488967538</v>
      </c>
      <c r="O45" s="24" t="n">
        <f aca="false">AVERAGE(N45,P45)</f>
        <v>37.6975951159586</v>
      </c>
      <c r="P45" s="24" t="n">
        <v>38.7898413351634</v>
      </c>
      <c r="Q45" s="34" t="s">
        <v>55</v>
      </c>
      <c r="R45" s="35"/>
      <c r="S45" s="34" t="s">
        <v>55</v>
      </c>
      <c r="T45" s="36" t="s">
        <v>55</v>
      </c>
      <c r="U45" s="37"/>
      <c r="V45" s="36" t="s">
        <v>55</v>
      </c>
      <c r="W45" s="34" t="s">
        <v>55</v>
      </c>
      <c r="X45" s="35"/>
      <c r="Y45" s="34" t="s">
        <v>55</v>
      </c>
      <c r="Z45" s="36" t="s">
        <v>55</v>
      </c>
      <c r="AA45" s="37"/>
      <c r="AB45" s="37" t="s">
        <v>55</v>
      </c>
      <c r="AC45" s="34" t="n">
        <v>85</v>
      </c>
      <c r="AD45" s="35" t="n">
        <f aca="false">AVERAGEA(AE45, AC45)</f>
        <v>85.65</v>
      </c>
      <c r="AE45" s="34" t="n">
        <v>86.3</v>
      </c>
      <c r="AF45" s="37" t="n">
        <v>60</v>
      </c>
      <c r="AG45" s="37" t="n">
        <f aca="false">AVERAGEA(AH45, AF45)</f>
        <v>40</v>
      </c>
      <c r="AH45" s="36" t="n">
        <v>20</v>
      </c>
      <c r="AI45" s="34" t="n">
        <v>0.58</v>
      </c>
      <c r="AJ45" s="39" t="n">
        <f aca="false">AVERAGEA(AK45, AI45)</f>
        <v>4.29</v>
      </c>
      <c r="AK45" s="34" t="n">
        <v>8</v>
      </c>
      <c r="AL45" s="37" t="n">
        <v>0.58</v>
      </c>
      <c r="AM45" s="37" t="n">
        <f aca="false">AVERAGEA(AN45, AL45)</f>
        <v>4.29</v>
      </c>
      <c r="AN45" s="37" t="n">
        <v>8</v>
      </c>
      <c r="AO45" s="35" t="n">
        <v>3</v>
      </c>
      <c r="AP45" s="35" t="n">
        <f aca="false">AVERAGEA(AQ45, AO45)</f>
        <v>13.5</v>
      </c>
      <c r="AQ45" s="35" t="n">
        <v>24</v>
      </c>
      <c r="AR45" s="37" t="n">
        <v>6</v>
      </c>
      <c r="AS45" s="38" t="n">
        <f aca="false">AVERAGEA(AT45, AR45)</f>
        <v>8</v>
      </c>
      <c r="AT45" s="36" t="n">
        <v>10</v>
      </c>
      <c r="AU45" s="34" t="n">
        <v>1400</v>
      </c>
      <c r="AV45" s="35" t="n">
        <f aca="false">AVERAGEA(AW45, AU45)</f>
        <v>1680.5</v>
      </c>
      <c r="AW45" s="34" t="n">
        <v>1961</v>
      </c>
      <c r="AX45" s="37" t="n">
        <v>31.1</v>
      </c>
      <c r="AY45" s="37" t="n">
        <f aca="false">AVERAGEA(AZ45, AX45)</f>
        <v>34.05</v>
      </c>
      <c r="AZ45" s="36" t="n">
        <v>37</v>
      </c>
      <c r="BA45" s="34" t="n">
        <v>2.6</v>
      </c>
      <c r="BB45" s="35" t="n">
        <f aca="false">AVERAGEA(BC45, BA45)</f>
        <v>6.55</v>
      </c>
      <c r="BC45" s="34" t="n">
        <v>10.5</v>
      </c>
      <c r="BD45" s="37" t="n">
        <v>8.4</v>
      </c>
      <c r="BE45" s="37" t="n">
        <f aca="false">AVERAGE(BD45,BF45)</f>
        <v>39.45</v>
      </c>
      <c r="BF45" s="36" t="n">
        <v>70.5</v>
      </c>
      <c r="BG45" s="34" t="n">
        <v>46</v>
      </c>
      <c r="BH45" s="35" t="n">
        <f aca="false">AVERAGE(BG45,BI45)</f>
        <v>81.5</v>
      </c>
      <c r="BI45" s="34" t="n">
        <v>117</v>
      </c>
      <c r="BJ45" s="37" t="n">
        <v>67</v>
      </c>
      <c r="BK45" s="37" t="n">
        <f aca="false">AVERAGE(BJ45,BL45)</f>
        <v>88.5</v>
      </c>
      <c r="BL45" s="36" t="n">
        <v>110</v>
      </c>
      <c r="BM45" s="34" t="n">
        <v>1.8</v>
      </c>
      <c r="BN45" s="35" t="n">
        <f aca="false">AVERAGEA(BO45, BM45)</f>
        <v>1.8</v>
      </c>
      <c r="BO45" s="34" t="n">
        <v>1.8</v>
      </c>
      <c r="BP45" s="37" t="n">
        <v>120</v>
      </c>
      <c r="BQ45" s="37" t="n">
        <f aca="false">AVERAGEA(BP45,BR45)</f>
        <v>240</v>
      </c>
      <c r="BR45" s="36" t="n">
        <v>360</v>
      </c>
      <c r="BS45" s="34" t="n">
        <v>4</v>
      </c>
      <c r="BT45" s="35" t="n">
        <f aca="false">AVERAGEA(BS45,BU45)</f>
        <v>5.5</v>
      </c>
      <c r="BU45" s="40" t="n">
        <v>7</v>
      </c>
      <c r="BV45" s="37" t="n">
        <v>5</v>
      </c>
      <c r="BW45" s="37" t="n">
        <f aca="false">AVERAGEA(BV45,BX45)</f>
        <v>8.9</v>
      </c>
      <c r="BX45" s="36" t="n">
        <v>12.8</v>
      </c>
      <c r="BY45" s="34"/>
      <c r="BZ45" s="35" t="e">
        <f aca="false">AVERAGEA(BY45,CA45)</f>
        <v>#DIV/0!</v>
      </c>
      <c r="CA45" s="40"/>
      <c r="CB45" s="37"/>
      <c r="CC45" s="37" t="e">
        <f aca="false">AVERAGEA(CB45,CD45)</f>
        <v>#DIV/0!</v>
      </c>
      <c r="CD45" s="36"/>
      <c r="CE45" s="34"/>
      <c r="CF45" s="35" t="e">
        <f aca="false">AVERAGEA(CE45,CG45)</f>
        <v>#DIV/0!</v>
      </c>
      <c r="CG45" s="40"/>
    </row>
    <row r="46" s="18" customFormat="true" ht="28.35" hidden="false" customHeight="false" outlineLevel="0" collapsed="false">
      <c r="B46" s="19"/>
      <c r="C46" s="32"/>
      <c r="D46" s="42"/>
      <c r="E46" s="41"/>
      <c r="F46" s="32" t="s">
        <v>56</v>
      </c>
      <c r="G46" s="33"/>
      <c r="H46" s="24"/>
      <c r="I46" s="24" t="e">
        <f aca="false">AVERAGE(H46,J46)</f>
        <v>#DIV/0!</v>
      </c>
      <c r="J46" s="24"/>
      <c r="K46" s="34" t="s">
        <v>55</v>
      </c>
      <c r="L46" s="35"/>
      <c r="M46" s="34" t="s">
        <v>55</v>
      </c>
      <c r="N46" s="24" t="n">
        <v>33.9631806266255</v>
      </c>
      <c r="O46" s="24" t="n">
        <f aca="false">AVERAGE(N46,P46)</f>
        <v>35.280893282292</v>
      </c>
      <c r="P46" s="24" t="n">
        <v>36.5986059379585</v>
      </c>
      <c r="Q46" s="34" t="s">
        <v>55</v>
      </c>
      <c r="R46" s="35"/>
      <c r="S46" s="34" t="s">
        <v>55</v>
      </c>
      <c r="T46" s="36" t="s">
        <v>55</v>
      </c>
      <c r="U46" s="37"/>
      <c r="V46" s="36" t="s">
        <v>55</v>
      </c>
      <c r="W46" s="34" t="s">
        <v>55</v>
      </c>
      <c r="X46" s="35"/>
      <c r="Y46" s="34" t="s">
        <v>55</v>
      </c>
      <c r="Z46" s="36" t="s">
        <v>55</v>
      </c>
      <c r="AA46" s="37"/>
      <c r="AB46" s="37" t="s">
        <v>55</v>
      </c>
      <c r="AC46" s="34" t="n">
        <v>85</v>
      </c>
      <c r="AD46" s="35" t="n">
        <f aca="false">AVERAGEA(AE46, AC46)</f>
        <v>85.65</v>
      </c>
      <c r="AE46" s="34" t="n">
        <v>86.3</v>
      </c>
      <c r="AF46" s="37" t="n">
        <v>60</v>
      </c>
      <c r="AG46" s="37" t="n">
        <f aca="false">AVERAGEA(AH46, AF46)</f>
        <v>40</v>
      </c>
      <c r="AH46" s="36" t="n">
        <v>20</v>
      </c>
      <c r="AI46" s="34" t="n">
        <v>0.58</v>
      </c>
      <c r="AJ46" s="39" t="n">
        <f aca="false">AVERAGEA(AK46, AI46)</f>
        <v>4.29</v>
      </c>
      <c r="AK46" s="34" t="n">
        <v>8</v>
      </c>
      <c r="AL46" s="37" t="n">
        <v>0.58</v>
      </c>
      <c r="AM46" s="37" t="n">
        <f aca="false">AVERAGEA(AN46, AL46)</f>
        <v>4.29</v>
      </c>
      <c r="AN46" s="37" t="n">
        <v>8</v>
      </c>
      <c r="AO46" s="35" t="n">
        <v>3</v>
      </c>
      <c r="AP46" s="35" t="n">
        <f aca="false">AVERAGEA(AQ46, AO46)</f>
        <v>13.5</v>
      </c>
      <c r="AQ46" s="35" t="n">
        <v>24</v>
      </c>
      <c r="AR46" s="37" t="n">
        <v>6</v>
      </c>
      <c r="AS46" s="38" t="n">
        <f aca="false">AVERAGEA(AT46, AR46)</f>
        <v>8</v>
      </c>
      <c r="AT46" s="36" t="n">
        <v>10</v>
      </c>
      <c r="AU46" s="34" t="n">
        <v>1400</v>
      </c>
      <c r="AV46" s="35" t="n">
        <f aca="false">AVERAGEA(AW46, AU46)</f>
        <v>1680.5</v>
      </c>
      <c r="AW46" s="34" t="n">
        <v>1961</v>
      </c>
      <c r="AX46" s="37" t="n">
        <v>31.1</v>
      </c>
      <c r="AY46" s="37" t="n">
        <f aca="false">AVERAGEA(AZ46, AX46)</f>
        <v>34.05</v>
      </c>
      <c r="AZ46" s="36" t="n">
        <v>37</v>
      </c>
      <c r="BA46" s="34" t="n">
        <v>2.6</v>
      </c>
      <c r="BB46" s="35" t="n">
        <f aca="false">AVERAGEA(BC46, BA46)</f>
        <v>6.55</v>
      </c>
      <c r="BC46" s="34" t="n">
        <v>10.5</v>
      </c>
      <c r="BD46" s="37" t="n">
        <v>8.4</v>
      </c>
      <c r="BE46" s="37" t="n">
        <f aca="false">AVERAGE(BD46,BF46)</f>
        <v>39.45</v>
      </c>
      <c r="BF46" s="36" t="n">
        <v>70.5</v>
      </c>
      <c r="BG46" s="34" t="n">
        <v>46</v>
      </c>
      <c r="BH46" s="35" t="n">
        <f aca="false">AVERAGE(BG46,BI46)</f>
        <v>81.5</v>
      </c>
      <c r="BI46" s="34" t="n">
        <v>117</v>
      </c>
      <c r="BJ46" s="37" t="n">
        <v>67</v>
      </c>
      <c r="BK46" s="37" t="n">
        <f aca="false">AVERAGE(BJ46,BL46)</f>
        <v>88.5</v>
      </c>
      <c r="BL46" s="36" t="n">
        <v>110</v>
      </c>
      <c r="BM46" s="34" t="n">
        <v>1.8</v>
      </c>
      <c r="BN46" s="35" t="n">
        <f aca="false">AVERAGEA(BO46, BM46)</f>
        <v>1.8</v>
      </c>
      <c r="BO46" s="34" t="n">
        <v>1.8</v>
      </c>
      <c r="BP46" s="37" t="n">
        <v>120</v>
      </c>
      <c r="BQ46" s="37" t="n">
        <f aca="false">AVERAGEA(BP46,BR46)</f>
        <v>240</v>
      </c>
      <c r="BR46" s="36" t="n">
        <v>360</v>
      </c>
      <c r="BS46" s="34" t="n">
        <v>4</v>
      </c>
      <c r="BT46" s="35" t="n">
        <f aca="false">AVERAGEA(BS46,BU46)</f>
        <v>5.5</v>
      </c>
      <c r="BU46" s="40" t="n">
        <v>7</v>
      </c>
      <c r="BV46" s="37" t="n">
        <v>5</v>
      </c>
      <c r="BW46" s="37" t="n">
        <f aca="false">AVERAGEA(BV46,BX46)</f>
        <v>8.9</v>
      </c>
      <c r="BX46" s="36" t="n">
        <v>12.8</v>
      </c>
      <c r="BY46" s="34"/>
      <c r="BZ46" s="35" t="e">
        <f aca="false">AVERAGEA(BY46,CA46)</f>
        <v>#DIV/0!</v>
      </c>
      <c r="CA46" s="40"/>
      <c r="CB46" s="37"/>
      <c r="CC46" s="37" t="e">
        <f aca="false">AVERAGEA(CB46,CD46)</f>
        <v>#DIV/0!</v>
      </c>
      <c r="CD46" s="36"/>
      <c r="CE46" s="34"/>
      <c r="CF46" s="35" t="e">
        <f aca="false">AVERAGEA(CE46,CG46)</f>
        <v>#DIV/0!</v>
      </c>
      <c r="CG46" s="40"/>
    </row>
    <row r="47" s="18" customFormat="true" ht="28.35" hidden="false" customHeight="false" outlineLevel="0" collapsed="false">
      <c r="B47" s="19"/>
      <c r="C47" s="32"/>
      <c r="D47" s="42"/>
      <c r="E47" s="41"/>
      <c r="F47" s="32" t="s">
        <v>57</v>
      </c>
      <c r="G47" s="33"/>
      <c r="H47" s="24"/>
      <c r="I47" s="24" t="e">
        <f aca="false">AVERAGE(H47,J47)</f>
        <v>#DIV/0!</v>
      </c>
      <c r="J47" s="24"/>
      <c r="K47" s="34" t="s">
        <v>55</v>
      </c>
      <c r="L47" s="35"/>
      <c r="M47" s="34" t="s">
        <v>55</v>
      </c>
      <c r="N47" s="24" t="n">
        <v>25.8932451769239</v>
      </c>
      <c r="O47" s="24" t="n">
        <f aca="false">AVERAGE(N47,P47)</f>
        <v>29.9192034680751</v>
      </c>
      <c r="P47" s="24" t="n">
        <v>33.9451617592263</v>
      </c>
      <c r="Q47" s="34" t="s">
        <v>55</v>
      </c>
      <c r="R47" s="35"/>
      <c r="S47" s="34" t="s">
        <v>55</v>
      </c>
      <c r="T47" s="36" t="s">
        <v>55</v>
      </c>
      <c r="U47" s="37"/>
      <c r="V47" s="36" t="s">
        <v>55</v>
      </c>
      <c r="W47" s="34" t="s">
        <v>55</v>
      </c>
      <c r="X47" s="35"/>
      <c r="Y47" s="34" t="s">
        <v>55</v>
      </c>
      <c r="Z47" s="36" t="s">
        <v>55</v>
      </c>
      <c r="AA47" s="37"/>
      <c r="AB47" s="37" t="s">
        <v>55</v>
      </c>
      <c r="AC47" s="34" t="n">
        <v>85</v>
      </c>
      <c r="AD47" s="35" t="n">
        <f aca="false">AVERAGEA(AE47, AC47)</f>
        <v>85.65</v>
      </c>
      <c r="AE47" s="34" t="n">
        <v>86.3</v>
      </c>
      <c r="AF47" s="37" t="n">
        <v>60</v>
      </c>
      <c r="AG47" s="37" t="n">
        <f aca="false">AVERAGEA(AH47, AF47)</f>
        <v>40</v>
      </c>
      <c r="AH47" s="36" t="n">
        <v>20</v>
      </c>
      <c r="AI47" s="34" t="n">
        <v>0.58</v>
      </c>
      <c r="AJ47" s="39" t="n">
        <f aca="false">AVERAGEA(AK47, AI47)</f>
        <v>4.29</v>
      </c>
      <c r="AK47" s="34" t="n">
        <v>8</v>
      </c>
      <c r="AL47" s="37" t="n">
        <v>0.58</v>
      </c>
      <c r="AM47" s="37" t="n">
        <f aca="false">AVERAGEA(AN47, AL47)</f>
        <v>4.29</v>
      </c>
      <c r="AN47" s="37" t="n">
        <v>8</v>
      </c>
      <c r="AO47" s="35" t="n">
        <v>3</v>
      </c>
      <c r="AP47" s="35" t="n">
        <f aca="false">AVERAGEA(AQ47, AO47)</f>
        <v>13.5</v>
      </c>
      <c r="AQ47" s="35" t="n">
        <v>24</v>
      </c>
      <c r="AR47" s="37" t="n">
        <v>6</v>
      </c>
      <c r="AS47" s="38" t="n">
        <f aca="false">AVERAGEA(AT47, AR47)</f>
        <v>8</v>
      </c>
      <c r="AT47" s="36" t="n">
        <v>10</v>
      </c>
      <c r="AU47" s="34" t="n">
        <v>1400</v>
      </c>
      <c r="AV47" s="35" t="n">
        <f aca="false">AVERAGEA(AW47, AU47)</f>
        <v>1680.5</v>
      </c>
      <c r="AW47" s="34" t="n">
        <v>1961</v>
      </c>
      <c r="AX47" s="37" t="n">
        <v>31.1</v>
      </c>
      <c r="AY47" s="37" t="n">
        <f aca="false">AVERAGEA(AZ47, AX47)</f>
        <v>34.05</v>
      </c>
      <c r="AZ47" s="36" t="n">
        <v>37</v>
      </c>
      <c r="BA47" s="34" t="n">
        <v>2.6</v>
      </c>
      <c r="BB47" s="35" t="n">
        <f aca="false">AVERAGEA(BC47, BA47)</f>
        <v>6.55</v>
      </c>
      <c r="BC47" s="34" t="n">
        <v>10.5</v>
      </c>
      <c r="BD47" s="37" t="n">
        <v>8.4</v>
      </c>
      <c r="BE47" s="37" t="n">
        <f aca="false">AVERAGE(BD47,BF47)</f>
        <v>39.45</v>
      </c>
      <c r="BF47" s="36" t="n">
        <v>70.5</v>
      </c>
      <c r="BG47" s="34" t="n">
        <v>46</v>
      </c>
      <c r="BH47" s="35" t="n">
        <f aca="false">AVERAGE(BG47,BI47)</f>
        <v>81.5</v>
      </c>
      <c r="BI47" s="34" t="n">
        <v>117</v>
      </c>
      <c r="BJ47" s="37" t="n">
        <v>67</v>
      </c>
      <c r="BK47" s="37" t="n">
        <f aca="false">AVERAGE(BJ47,BL47)</f>
        <v>88.5</v>
      </c>
      <c r="BL47" s="36" t="n">
        <v>110</v>
      </c>
      <c r="BM47" s="34" t="n">
        <v>1.8</v>
      </c>
      <c r="BN47" s="35" t="n">
        <f aca="false">AVERAGEA(BO47, BM47)</f>
        <v>1.8</v>
      </c>
      <c r="BO47" s="34" t="n">
        <v>1.8</v>
      </c>
      <c r="BP47" s="37" t="n">
        <v>120</v>
      </c>
      <c r="BQ47" s="37" t="n">
        <f aca="false">AVERAGEA(BP47,BR47)</f>
        <v>240</v>
      </c>
      <c r="BR47" s="36" t="n">
        <v>360</v>
      </c>
      <c r="BS47" s="34" t="n">
        <v>4</v>
      </c>
      <c r="BT47" s="35" t="n">
        <f aca="false">AVERAGEA(BS47,BU47)</f>
        <v>5.5</v>
      </c>
      <c r="BU47" s="40" t="n">
        <v>7</v>
      </c>
      <c r="BV47" s="37" t="n">
        <v>5</v>
      </c>
      <c r="BW47" s="37" t="n">
        <f aca="false">AVERAGEA(BV47,BX47)</f>
        <v>8.9</v>
      </c>
      <c r="BX47" s="36" t="n">
        <v>12.8</v>
      </c>
      <c r="BY47" s="34"/>
      <c r="BZ47" s="35" t="e">
        <f aca="false">AVERAGEA(BY47,CA47)</f>
        <v>#DIV/0!</v>
      </c>
      <c r="CA47" s="40"/>
      <c r="CB47" s="37"/>
      <c r="CC47" s="37" t="e">
        <f aca="false">AVERAGEA(CB47,CD47)</f>
        <v>#DIV/0!</v>
      </c>
      <c r="CD47" s="36"/>
      <c r="CE47" s="34"/>
      <c r="CF47" s="35" t="e">
        <f aca="false">AVERAGEA(CE47,CG47)</f>
        <v>#DIV/0!</v>
      </c>
      <c r="CG47" s="40"/>
    </row>
    <row r="48" s="18" customFormat="true" ht="28.35" hidden="false" customHeight="false" outlineLevel="0" collapsed="false">
      <c r="B48" s="19"/>
      <c r="C48" s="32"/>
      <c r="D48" s="42"/>
      <c r="E48" s="41"/>
      <c r="F48" s="32" t="s">
        <v>58</v>
      </c>
      <c r="G48" s="33"/>
      <c r="H48" s="24"/>
      <c r="I48" s="24" t="e">
        <f aca="false">AVERAGE(H48,J48)</f>
        <v>#DIV/0!</v>
      </c>
      <c r="J48" s="24"/>
      <c r="K48" s="34" t="s">
        <v>55</v>
      </c>
      <c r="L48" s="35"/>
      <c r="M48" s="34" t="s">
        <v>55</v>
      </c>
      <c r="N48" s="24" t="n">
        <v>20.4654779973505</v>
      </c>
      <c r="O48" s="24" t="n">
        <f aca="false">AVERAGE(N48,P48)</f>
        <v>23.1612820496938</v>
      </c>
      <c r="P48" s="24" t="n">
        <v>25.857086102037</v>
      </c>
      <c r="Q48" s="34" t="s">
        <v>55</v>
      </c>
      <c r="R48" s="35"/>
      <c r="S48" s="34" t="s">
        <v>55</v>
      </c>
      <c r="T48" s="36" t="s">
        <v>55</v>
      </c>
      <c r="U48" s="37"/>
      <c r="V48" s="36" t="s">
        <v>55</v>
      </c>
      <c r="W48" s="34" t="s">
        <v>55</v>
      </c>
      <c r="X48" s="35"/>
      <c r="Y48" s="34" t="s">
        <v>55</v>
      </c>
      <c r="Z48" s="36" t="s">
        <v>55</v>
      </c>
      <c r="AA48" s="37"/>
      <c r="AB48" s="37" t="s">
        <v>55</v>
      </c>
      <c r="AC48" s="34" t="n">
        <v>85</v>
      </c>
      <c r="AD48" s="35" t="n">
        <f aca="false">AVERAGEA(AE48, AC48)</f>
        <v>85.65</v>
      </c>
      <c r="AE48" s="34" t="n">
        <v>86.3</v>
      </c>
      <c r="AF48" s="37" t="n">
        <v>60</v>
      </c>
      <c r="AG48" s="37" t="n">
        <f aca="false">AVERAGEA(AH48, AF48)</f>
        <v>40</v>
      </c>
      <c r="AH48" s="36" t="n">
        <v>20</v>
      </c>
      <c r="AI48" s="34" t="n">
        <v>0.58</v>
      </c>
      <c r="AJ48" s="39" t="n">
        <f aca="false">AVERAGEA(AK48, AI48)</f>
        <v>4.29</v>
      </c>
      <c r="AK48" s="34" t="n">
        <v>8</v>
      </c>
      <c r="AL48" s="37" t="n">
        <v>0.58</v>
      </c>
      <c r="AM48" s="37" t="n">
        <f aca="false">AVERAGEA(AN48, AL48)</f>
        <v>4.29</v>
      </c>
      <c r="AN48" s="37" t="n">
        <v>8</v>
      </c>
      <c r="AO48" s="35" t="n">
        <v>3</v>
      </c>
      <c r="AP48" s="35" t="n">
        <f aca="false">AVERAGEA(AQ48, AO48)</f>
        <v>13.5</v>
      </c>
      <c r="AQ48" s="35" t="n">
        <v>24</v>
      </c>
      <c r="AR48" s="37" t="n">
        <v>6</v>
      </c>
      <c r="AS48" s="38" t="n">
        <f aca="false">AVERAGEA(AT48, AR48)</f>
        <v>8</v>
      </c>
      <c r="AT48" s="36" t="n">
        <v>10</v>
      </c>
      <c r="AU48" s="34" t="n">
        <v>1400</v>
      </c>
      <c r="AV48" s="35" t="n">
        <f aca="false">AVERAGEA(AW48, AU48)</f>
        <v>1680.5</v>
      </c>
      <c r="AW48" s="34" t="n">
        <v>1961</v>
      </c>
      <c r="AX48" s="37" t="n">
        <v>31.1</v>
      </c>
      <c r="AY48" s="37" t="n">
        <f aca="false">AVERAGEA(AZ48, AX48)</f>
        <v>34.05</v>
      </c>
      <c r="AZ48" s="36" t="n">
        <v>37</v>
      </c>
      <c r="BA48" s="34" t="n">
        <v>2.6</v>
      </c>
      <c r="BB48" s="35" t="n">
        <f aca="false">AVERAGEA(BC48, BA48)</f>
        <v>6.55</v>
      </c>
      <c r="BC48" s="34" t="n">
        <v>10.5</v>
      </c>
      <c r="BD48" s="37" t="n">
        <v>8.4</v>
      </c>
      <c r="BE48" s="37" t="n">
        <f aca="false">AVERAGE(BD48,BF48)</f>
        <v>39.45</v>
      </c>
      <c r="BF48" s="36" t="n">
        <v>70.5</v>
      </c>
      <c r="BG48" s="34" t="n">
        <v>46</v>
      </c>
      <c r="BH48" s="35" t="n">
        <f aca="false">AVERAGE(BG48,BI48)</f>
        <v>81.5</v>
      </c>
      <c r="BI48" s="34" t="n">
        <v>117</v>
      </c>
      <c r="BJ48" s="37" t="n">
        <v>67</v>
      </c>
      <c r="BK48" s="37" t="n">
        <f aca="false">AVERAGE(BJ48,BL48)</f>
        <v>88.5</v>
      </c>
      <c r="BL48" s="36" t="n">
        <v>110</v>
      </c>
      <c r="BM48" s="34" t="n">
        <v>1.8</v>
      </c>
      <c r="BN48" s="35" t="n">
        <f aca="false">AVERAGEA(BO48, BM48)</f>
        <v>1.8</v>
      </c>
      <c r="BO48" s="34" t="n">
        <v>1.8</v>
      </c>
      <c r="BP48" s="37" t="n">
        <v>120</v>
      </c>
      <c r="BQ48" s="37" t="n">
        <f aca="false">AVERAGEA(BP48,BR48)</f>
        <v>240</v>
      </c>
      <c r="BR48" s="36" t="n">
        <v>360</v>
      </c>
      <c r="BS48" s="34" t="n">
        <v>4</v>
      </c>
      <c r="BT48" s="35" t="n">
        <f aca="false">AVERAGEA(BS48,BU48)</f>
        <v>5.5</v>
      </c>
      <c r="BU48" s="40" t="n">
        <v>7</v>
      </c>
      <c r="BV48" s="37" t="n">
        <v>5</v>
      </c>
      <c r="BW48" s="37" t="n">
        <f aca="false">AVERAGEA(BV48,BX48)</f>
        <v>8.9</v>
      </c>
      <c r="BX48" s="36" t="n">
        <v>12.8</v>
      </c>
      <c r="BY48" s="34"/>
      <c r="BZ48" s="35" t="e">
        <f aca="false">AVERAGEA(BY48,CA48)</f>
        <v>#DIV/0!</v>
      </c>
      <c r="CA48" s="40"/>
      <c r="CB48" s="37"/>
      <c r="CC48" s="37" t="e">
        <f aca="false">AVERAGEA(CB48,CD48)</f>
        <v>#DIV/0!</v>
      </c>
      <c r="CD48" s="36"/>
      <c r="CE48" s="34"/>
      <c r="CF48" s="35" t="e">
        <f aca="false">AVERAGEA(CE48,CG48)</f>
        <v>#DIV/0!</v>
      </c>
      <c r="CG48" s="40"/>
    </row>
    <row r="49" s="18" customFormat="true" ht="26.4" hidden="false" customHeight="true" outlineLevel="0" collapsed="false">
      <c r="B49" s="19"/>
      <c r="C49" s="32" t="s">
        <v>66</v>
      </c>
      <c r="D49" s="42" t="s">
        <v>62</v>
      </c>
      <c r="E49" s="41" t="s">
        <v>53</v>
      </c>
      <c r="F49" s="32" t="s">
        <v>54</v>
      </c>
      <c r="G49" s="33"/>
      <c r="H49" s="24"/>
      <c r="I49" s="24" t="e">
        <f aca="false">AVERAGE(H49,J49)</f>
        <v>#DIV/0!</v>
      </c>
      <c r="J49" s="24"/>
      <c r="K49" s="34" t="s">
        <v>55</v>
      </c>
      <c r="L49" s="35"/>
      <c r="M49" s="34" t="s">
        <v>55</v>
      </c>
      <c r="N49" s="24" t="n">
        <v>40.0313244395166</v>
      </c>
      <c r="O49" s="24" t="n">
        <f aca="false">AVERAGE(N49,P49)</f>
        <v>41.2257963974851</v>
      </c>
      <c r="P49" s="24" t="n">
        <v>42.4202683554535</v>
      </c>
      <c r="Q49" s="34" t="s">
        <v>55</v>
      </c>
      <c r="R49" s="35"/>
      <c r="S49" s="34" t="s">
        <v>55</v>
      </c>
      <c r="T49" s="36" t="s">
        <v>55</v>
      </c>
      <c r="U49" s="37"/>
      <c r="V49" s="36" t="s">
        <v>55</v>
      </c>
      <c r="W49" s="34" t="s">
        <v>55</v>
      </c>
      <c r="X49" s="35"/>
      <c r="Y49" s="34" t="s">
        <v>55</v>
      </c>
      <c r="Z49" s="36" t="s">
        <v>55</v>
      </c>
      <c r="AA49" s="37"/>
      <c r="AB49" s="37" t="s">
        <v>55</v>
      </c>
      <c r="AC49" s="34" t="n">
        <v>85</v>
      </c>
      <c r="AD49" s="35" t="n">
        <f aca="false">AVERAGEA(AE49, AC49)</f>
        <v>90.15</v>
      </c>
      <c r="AE49" s="34" t="n">
        <v>95.3</v>
      </c>
      <c r="AF49" s="37" t="n">
        <v>60</v>
      </c>
      <c r="AG49" s="38" t="n">
        <f aca="false">AVERAGEA(AH49, AF49)</f>
        <v>40</v>
      </c>
      <c r="AH49" s="36" t="n">
        <v>20</v>
      </c>
      <c r="AI49" s="34" t="n">
        <v>0.58</v>
      </c>
      <c r="AJ49" s="39" t="n">
        <f aca="false">AVERAGEA(AK49, AI49)</f>
        <v>3.29</v>
      </c>
      <c r="AK49" s="35" t="n">
        <v>6</v>
      </c>
      <c r="AL49" s="37" t="n">
        <v>0.58</v>
      </c>
      <c r="AM49" s="38" t="n">
        <f aca="false">AVERAGEA(AN49, AL49)</f>
        <v>3.29</v>
      </c>
      <c r="AN49" s="37" t="n">
        <v>6</v>
      </c>
      <c r="AO49" s="35" t="n">
        <v>3</v>
      </c>
      <c r="AP49" s="35" t="n">
        <f aca="false">AVERAGEA(AQ49, AO49)</f>
        <v>6.5</v>
      </c>
      <c r="AQ49" s="35" t="n">
        <v>10</v>
      </c>
      <c r="AR49" s="37" t="n">
        <v>1.5</v>
      </c>
      <c r="AS49" s="38" t="n">
        <f aca="false">AVERAGEA(AT49, AR49)</f>
        <v>2.25</v>
      </c>
      <c r="AT49" s="37" t="n">
        <v>3</v>
      </c>
      <c r="AU49" s="35" t="n">
        <v>998</v>
      </c>
      <c r="AV49" s="39" t="n">
        <f aca="false">AVERAGEA(AW49, AU49)</f>
        <v>1839</v>
      </c>
      <c r="AW49" s="35" t="n">
        <v>2680</v>
      </c>
      <c r="AX49" s="37" t="n">
        <v>26.6</v>
      </c>
      <c r="AY49" s="37" t="n">
        <f aca="false">AVERAGEA(AZ49, AX49)</f>
        <v>31.8</v>
      </c>
      <c r="AZ49" s="36" t="n">
        <v>37</v>
      </c>
      <c r="BA49" s="34" t="n">
        <v>2.6</v>
      </c>
      <c r="BB49" s="35" t="n">
        <f aca="false">AVERAGEA(BC49, BA49)</f>
        <v>6.55</v>
      </c>
      <c r="BC49" s="34" t="n">
        <v>10.5</v>
      </c>
      <c r="BD49" s="37" t="n">
        <v>3.56</v>
      </c>
      <c r="BE49" s="37" t="n">
        <f aca="false">AVERAGE(BD49,BF49)</f>
        <v>22.03</v>
      </c>
      <c r="BF49" s="36" t="n">
        <v>40.5</v>
      </c>
      <c r="BG49" s="34" t="n">
        <v>5.7</v>
      </c>
      <c r="BH49" s="35" t="n">
        <f aca="false">AVERAGE(BG49,BI49)</f>
        <v>26.85</v>
      </c>
      <c r="BI49" s="34" t="n">
        <v>48</v>
      </c>
      <c r="BJ49" s="37" t="n">
        <v>6.2</v>
      </c>
      <c r="BK49" s="37" t="n">
        <f aca="false">AVERAGE(BJ49,BL49)</f>
        <v>42.1</v>
      </c>
      <c r="BL49" s="36" t="n">
        <v>78</v>
      </c>
      <c r="BM49" s="34" t="n">
        <v>1.8</v>
      </c>
      <c r="BN49" s="35" t="n">
        <f aca="false">AVERAGEA(BO49, BM49)</f>
        <v>1.8</v>
      </c>
      <c r="BO49" s="34" t="n">
        <v>1.8</v>
      </c>
      <c r="BP49" s="37" t="n">
        <v>78</v>
      </c>
      <c r="BQ49" s="37" t="n">
        <f aca="false">AVERAGEA(BP49,BR49)</f>
        <v>159</v>
      </c>
      <c r="BR49" s="36" t="n">
        <v>240</v>
      </c>
      <c r="BS49" s="34" t="n">
        <v>2</v>
      </c>
      <c r="BT49" s="35" t="n">
        <f aca="false">AVERAGEA(BS49,BU49)</f>
        <v>3.5</v>
      </c>
      <c r="BU49" s="40" t="n">
        <v>5</v>
      </c>
      <c r="BV49" s="37" t="n">
        <v>5</v>
      </c>
      <c r="BW49" s="37" t="n">
        <f aca="false">AVERAGEA(BV49,BX49)</f>
        <v>8.9</v>
      </c>
      <c r="BX49" s="36" t="n">
        <v>12.8</v>
      </c>
      <c r="BY49" s="34"/>
      <c r="BZ49" s="35" t="e">
        <f aca="false">AVERAGEA(BY49,CA49)</f>
        <v>#DIV/0!</v>
      </c>
      <c r="CA49" s="40"/>
      <c r="CB49" s="37"/>
      <c r="CC49" s="37" t="e">
        <f aca="false">AVERAGEA(CB49,CD49)</f>
        <v>#DIV/0!</v>
      </c>
      <c r="CD49" s="36"/>
      <c r="CE49" s="34"/>
      <c r="CF49" s="35" t="e">
        <f aca="false">AVERAGEA(CE49,CG49)</f>
        <v>#DIV/0!</v>
      </c>
      <c r="CG49" s="40"/>
    </row>
    <row r="50" s="18" customFormat="true" ht="28.35" hidden="false" customHeight="false" outlineLevel="0" collapsed="false">
      <c r="B50" s="19"/>
      <c r="C50" s="32"/>
      <c r="D50" s="42"/>
      <c r="E50" s="41"/>
      <c r="F50" s="32" t="s">
        <v>56</v>
      </c>
      <c r="G50" s="33"/>
      <c r="H50" s="24"/>
      <c r="I50" s="24" t="e">
        <f aca="false">AVERAGE(H50,J50)</f>
        <v>#DIV/0!</v>
      </c>
      <c r="J50" s="24"/>
      <c r="K50" s="34" t="s">
        <v>55</v>
      </c>
      <c r="L50" s="35"/>
      <c r="M50" s="34" t="s">
        <v>55</v>
      </c>
      <c r="N50" s="24" t="n">
        <v>37.1418697987856</v>
      </c>
      <c r="O50" s="24" t="n">
        <f aca="false">AVERAGE(N50,P50)</f>
        <v>38.5829100955418</v>
      </c>
      <c r="P50" s="24" t="n">
        <v>40.023950392298</v>
      </c>
      <c r="Q50" s="34" t="s">
        <v>55</v>
      </c>
      <c r="R50" s="35"/>
      <c r="S50" s="34" t="s">
        <v>55</v>
      </c>
      <c r="T50" s="36" t="s">
        <v>55</v>
      </c>
      <c r="U50" s="37"/>
      <c r="V50" s="36" t="s">
        <v>55</v>
      </c>
      <c r="W50" s="34" t="s">
        <v>55</v>
      </c>
      <c r="X50" s="35"/>
      <c r="Y50" s="34" t="s">
        <v>55</v>
      </c>
      <c r="Z50" s="36" t="s">
        <v>55</v>
      </c>
      <c r="AA50" s="37"/>
      <c r="AB50" s="37" t="s">
        <v>55</v>
      </c>
      <c r="AC50" s="34" t="n">
        <v>85</v>
      </c>
      <c r="AD50" s="35" t="n">
        <f aca="false">AVERAGEA(AE50, AC50)</f>
        <v>90.15</v>
      </c>
      <c r="AE50" s="34" t="n">
        <v>95.3</v>
      </c>
      <c r="AF50" s="37" t="n">
        <v>60</v>
      </c>
      <c r="AG50" s="38" t="n">
        <f aca="false">AVERAGEA(AH50, AF50)</f>
        <v>40</v>
      </c>
      <c r="AH50" s="36" t="n">
        <v>20</v>
      </c>
      <c r="AI50" s="34" t="n">
        <v>0.58</v>
      </c>
      <c r="AJ50" s="39" t="n">
        <f aca="false">AVERAGEA(AK50, AI50)</f>
        <v>3.29</v>
      </c>
      <c r="AK50" s="35" t="n">
        <v>6</v>
      </c>
      <c r="AL50" s="37" t="n">
        <v>0.58</v>
      </c>
      <c r="AM50" s="38" t="n">
        <f aca="false">AVERAGEA(AN50, AL50)</f>
        <v>3.29</v>
      </c>
      <c r="AN50" s="37" t="n">
        <v>6</v>
      </c>
      <c r="AO50" s="35" t="n">
        <v>3</v>
      </c>
      <c r="AP50" s="35" t="n">
        <f aca="false">AVERAGEA(AQ50, AO50)</f>
        <v>6.5</v>
      </c>
      <c r="AQ50" s="35" t="n">
        <v>10</v>
      </c>
      <c r="AR50" s="37" t="n">
        <v>1.5</v>
      </c>
      <c r="AS50" s="38" t="n">
        <f aca="false">AVERAGEA(AT50, AR50)</f>
        <v>2.25</v>
      </c>
      <c r="AT50" s="37" t="n">
        <v>3</v>
      </c>
      <c r="AU50" s="35" t="n">
        <v>998</v>
      </c>
      <c r="AV50" s="39" t="n">
        <f aca="false">AVERAGEA(AW50, AU50)</f>
        <v>1839</v>
      </c>
      <c r="AW50" s="35" t="n">
        <v>2680</v>
      </c>
      <c r="AX50" s="37" t="n">
        <v>26.6</v>
      </c>
      <c r="AY50" s="37" t="n">
        <f aca="false">AVERAGEA(AZ50, AX50)</f>
        <v>31.8</v>
      </c>
      <c r="AZ50" s="36" t="n">
        <v>37</v>
      </c>
      <c r="BA50" s="34" t="n">
        <v>2.6</v>
      </c>
      <c r="BB50" s="35" t="n">
        <f aca="false">AVERAGEA(BC50, BA50)</f>
        <v>6.55</v>
      </c>
      <c r="BC50" s="34" t="n">
        <v>10.5</v>
      </c>
      <c r="BD50" s="37" t="n">
        <v>3.56</v>
      </c>
      <c r="BE50" s="37" t="n">
        <f aca="false">AVERAGE(BD50,BF50)</f>
        <v>22.03</v>
      </c>
      <c r="BF50" s="36" t="n">
        <v>40.5</v>
      </c>
      <c r="BG50" s="34" t="n">
        <v>5.7</v>
      </c>
      <c r="BH50" s="35" t="n">
        <f aca="false">AVERAGE(BG50,BI50)</f>
        <v>26.85</v>
      </c>
      <c r="BI50" s="34" t="n">
        <v>48</v>
      </c>
      <c r="BJ50" s="37" t="n">
        <v>6.2</v>
      </c>
      <c r="BK50" s="37" t="n">
        <f aca="false">AVERAGE(BJ50,BL50)</f>
        <v>42.1</v>
      </c>
      <c r="BL50" s="36" t="n">
        <v>78</v>
      </c>
      <c r="BM50" s="34" t="n">
        <v>1.8</v>
      </c>
      <c r="BN50" s="35" t="n">
        <f aca="false">AVERAGEA(BO50, BM50)</f>
        <v>1.8</v>
      </c>
      <c r="BO50" s="34" t="n">
        <v>1.8</v>
      </c>
      <c r="BP50" s="37" t="n">
        <v>78</v>
      </c>
      <c r="BQ50" s="37" t="n">
        <f aca="false">AVERAGEA(BP50,BR50)</f>
        <v>159</v>
      </c>
      <c r="BR50" s="36" t="n">
        <v>240</v>
      </c>
      <c r="BS50" s="34" t="n">
        <v>2</v>
      </c>
      <c r="BT50" s="35" t="n">
        <f aca="false">AVERAGEA(BS50,BU50)</f>
        <v>3.5</v>
      </c>
      <c r="BU50" s="40" t="n">
        <v>5</v>
      </c>
      <c r="BV50" s="37" t="n">
        <v>5</v>
      </c>
      <c r="BW50" s="37" t="n">
        <f aca="false">AVERAGEA(BV50,BX50)</f>
        <v>8.9</v>
      </c>
      <c r="BX50" s="36" t="n">
        <v>12.8</v>
      </c>
      <c r="BY50" s="34"/>
      <c r="BZ50" s="35" t="e">
        <f aca="false">AVERAGEA(BY50,CA50)</f>
        <v>#DIV/0!</v>
      </c>
      <c r="CA50" s="40"/>
      <c r="CB50" s="37"/>
      <c r="CC50" s="37" t="e">
        <f aca="false">AVERAGEA(CB50,CD50)</f>
        <v>#DIV/0!</v>
      </c>
      <c r="CD50" s="36"/>
      <c r="CE50" s="34"/>
      <c r="CF50" s="35" t="e">
        <f aca="false">AVERAGEA(CE50,CG50)</f>
        <v>#DIV/0!</v>
      </c>
      <c r="CG50" s="40"/>
    </row>
    <row r="51" s="18" customFormat="true" ht="28.35" hidden="false" customHeight="false" outlineLevel="0" collapsed="false">
      <c r="B51" s="19"/>
      <c r="C51" s="32"/>
      <c r="D51" s="42"/>
      <c r="E51" s="41"/>
      <c r="F51" s="32" t="s">
        <v>57</v>
      </c>
      <c r="G51" s="33"/>
      <c r="H51" s="24"/>
      <c r="I51" s="24" t="e">
        <f aca="false">AVERAGE(H51,J51)</f>
        <v>#DIV/0!</v>
      </c>
      <c r="J51" s="24"/>
      <c r="K51" s="34" t="s">
        <v>55</v>
      </c>
      <c r="L51" s="35"/>
      <c r="M51" s="34" t="s">
        <v>55</v>
      </c>
      <c r="N51" s="24" t="n">
        <v>28.3166512465972</v>
      </c>
      <c r="O51" s="24" t="n">
        <f aca="false">AVERAGE(N51,P51)</f>
        <v>32.7194078761707</v>
      </c>
      <c r="P51" s="24" t="n">
        <v>37.1221645057443</v>
      </c>
      <c r="Q51" s="34" t="s">
        <v>55</v>
      </c>
      <c r="R51" s="35"/>
      <c r="S51" s="34" t="s">
        <v>55</v>
      </c>
      <c r="T51" s="36" t="s">
        <v>55</v>
      </c>
      <c r="U51" s="37"/>
      <c r="V51" s="36" t="s">
        <v>55</v>
      </c>
      <c r="W51" s="34" t="s">
        <v>55</v>
      </c>
      <c r="X51" s="35"/>
      <c r="Y51" s="34" t="s">
        <v>55</v>
      </c>
      <c r="Z51" s="36" t="s">
        <v>55</v>
      </c>
      <c r="AA51" s="37"/>
      <c r="AB51" s="37" t="s">
        <v>55</v>
      </c>
      <c r="AC51" s="34" t="n">
        <v>85</v>
      </c>
      <c r="AD51" s="35" t="n">
        <f aca="false">AVERAGEA(AE51, AC51)</f>
        <v>90.15</v>
      </c>
      <c r="AE51" s="34" t="n">
        <v>95.3</v>
      </c>
      <c r="AF51" s="37" t="n">
        <v>60</v>
      </c>
      <c r="AG51" s="38" t="n">
        <f aca="false">AVERAGEA(AH51, AF51)</f>
        <v>40</v>
      </c>
      <c r="AH51" s="36" t="n">
        <v>20</v>
      </c>
      <c r="AI51" s="34" t="n">
        <v>0.58</v>
      </c>
      <c r="AJ51" s="39" t="n">
        <f aca="false">AVERAGEA(AK51, AI51)</f>
        <v>3.29</v>
      </c>
      <c r="AK51" s="35" t="n">
        <v>6</v>
      </c>
      <c r="AL51" s="37" t="n">
        <v>0.58</v>
      </c>
      <c r="AM51" s="38" t="n">
        <f aca="false">AVERAGEA(AN51, AL51)</f>
        <v>3.29</v>
      </c>
      <c r="AN51" s="37" t="n">
        <v>6</v>
      </c>
      <c r="AO51" s="35" t="n">
        <v>3</v>
      </c>
      <c r="AP51" s="35" t="n">
        <f aca="false">AVERAGEA(AQ51, AO51)</f>
        <v>6.5</v>
      </c>
      <c r="AQ51" s="35" t="n">
        <v>10</v>
      </c>
      <c r="AR51" s="37" t="n">
        <v>1.5</v>
      </c>
      <c r="AS51" s="38" t="n">
        <f aca="false">AVERAGEA(AT51, AR51)</f>
        <v>2.25</v>
      </c>
      <c r="AT51" s="37" t="n">
        <v>3</v>
      </c>
      <c r="AU51" s="35" t="n">
        <v>998</v>
      </c>
      <c r="AV51" s="39" t="n">
        <f aca="false">AVERAGEA(AW51, AU51)</f>
        <v>1839</v>
      </c>
      <c r="AW51" s="35" t="n">
        <v>2680</v>
      </c>
      <c r="AX51" s="37" t="n">
        <v>26.6</v>
      </c>
      <c r="AY51" s="37" t="n">
        <f aca="false">AVERAGEA(AZ51, AX51)</f>
        <v>31.8</v>
      </c>
      <c r="AZ51" s="36" t="n">
        <v>37</v>
      </c>
      <c r="BA51" s="34" t="n">
        <v>2.6</v>
      </c>
      <c r="BB51" s="35" t="n">
        <f aca="false">AVERAGEA(BC51, BA51)</f>
        <v>6.55</v>
      </c>
      <c r="BC51" s="34" t="n">
        <v>10.5</v>
      </c>
      <c r="BD51" s="37" t="n">
        <v>3.56</v>
      </c>
      <c r="BE51" s="37" t="n">
        <f aca="false">AVERAGE(BD51,BF51)</f>
        <v>22.03</v>
      </c>
      <c r="BF51" s="36" t="n">
        <v>40.5</v>
      </c>
      <c r="BG51" s="34" t="n">
        <v>5.7</v>
      </c>
      <c r="BH51" s="35" t="n">
        <f aca="false">AVERAGE(BG51,BI51)</f>
        <v>26.85</v>
      </c>
      <c r="BI51" s="34" t="n">
        <v>48</v>
      </c>
      <c r="BJ51" s="37" t="n">
        <v>6.2</v>
      </c>
      <c r="BK51" s="37" t="n">
        <f aca="false">AVERAGE(BJ51,BL51)</f>
        <v>42.1</v>
      </c>
      <c r="BL51" s="36" t="n">
        <v>78</v>
      </c>
      <c r="BM51" s="34" t="n">
        <v>1.8</v>
      </c>
      <c r="BN51" s="35" t="n">
        <f aca="false">AVERAGEA(BO51, BM51)</f>
        <v>1.8</v>
      </c>
      <c r="BO51" s="34" t="n">
        <v>1.8</v>
      </c>
      <c r="BP51" s="37" t="n">
        <v>78</v>
      </c>
      <c r="BQ51" s="37" t="n">
        <f aca="false">AVERAGEA(BP51,BR51)</f>
        <v>159</v>
      </c>
      <c r="BR51" s="36" t="n">
        <v>240</v>
      </c>
      <c r="BS51" s="34" t="n">
        <v>2</v>
      </c>
      <c r="BT51" s="35" t="n">
        <f aca="false">AVERAGEA(BS51,BU51)</f>
        <v>3.5</v>
      </c>
      <c r="BU51" s="40" t="n">
        <v>5</v>
      </c>
      <c r="BV51" s="37" t="n">
        <v>5</v>
      </c>
      <c r="BW51" s="37" t="n">
        <f aca="false">AVERAGEA(BV51,BX51)</f>
        <v>8.9</v>
      </c>
      <c r="BX51" s="36" t="n">
        <v>12.8</v>
      </c>
      <c r="BY51" s="34"/>
      <c r="BZ51" s="35" t="e">
        <f aca="false">AVERAGEA(BY51,CA51)</f>
        <v>#DIV/0!</v>
      </c>
      <c r="CA51" s="40"/>
      <c r="CB51" s="37"/>
      <c r="CC51" s="37" t="e">
        <f aca="false">AVERAGEA(CB51,CD51)</f>
        <v>#DIV/0!</v>
      </c>
      <c r="CD51" s="36"/>
      <c r="CE51" s="34"/>
      <c r="CF51" s="35" t="e">
        <f aca="false">AVERAGEA(CE51,CG51)</f>
        <v>#DIV/0!</v>
      </c>
      <c r="CG51" s="40"/>
    </row>
    <row r="52" s="18" customFormat="true" ht="28.35" hidden="false" customHeight="false" outlineLevel="0" collapsed="false">
      <c r="B52" s="19"/>
      <c r="C52" s="32"/>
      <c r="D52" s="42"/>
      <c r="E52" s="41"/>
      <c r="F52" s="32" t="s">
        <v>58</v>
      </c>
      <c r="G52" s="33"/>
      <c r="H52" s="24"/>
      <c r="I52" s="24" t="e">
        <f aca="false">AVERAGE(H52,J52)</f>
        <v>#DIV/0!</v>
      </c>
      <c r="J52" s="24"/>
      <c r="K52" s="34" t="s">
        <v>55</v>
      </c>
      <c r="L52" s="35"/>
      <c r="M52" s="34" t="s">
        <v>55</v>
      </c>
      <c r="N52" s="24" t="n">
        <v>22.3808873351397</v>
      </c>
      <c r="O52" s="24" t="n">
        <f aca="false">AVERAGE(N52,P52)</f>
        <v>25.3289976495393</v>
      </c>
      <c r="P52" s="24" t="n">
        <v>28.2771079639389</v>
      </c>
      <c r="Q52" s="34" t="s">
        <v>55</v>
      </c>
      <c r="R52" s="35"/>
      <c r="S52" s="34" t="s">
        <v>55</v>
      </c>
      <c r="T52" s="36" t="s">
        <v>55</v>
      </c>
      <c r="U52" s="37"/>
      <c r="V52" s="36" t="s">
        <v>55</v>
      </c>
      <c r="W52" s="34" t="s">
        <v>55</v>
      </c>
      <c r="X52" s="35"/>
      <c r="Y52" s="34" t="s">
        <v>55</v>
      </c>
      <c r="Z52" s="36" t="s">
        <v>55</v>
      </c>
      <c r="AA52" s="37"/>
      <c r="AB52" s="37" t="s">
        <v>55</v>
      </c>
      <c r="AC52" s="34" t="n">
        <v>85</v>
      </c>
      <c r="AD52" s="35" t="n">
        <f aca="false">AVERAGEA(AE52, AC52)</f>
        <v>90.15</v>
      </c>
      <c r="AE52" s="34" t="n">
        <v>95.3</v>
      </c>
      <c r="AF52" s="37" t="n">
        <v>60</v>
      </c>
      <c r="AG52" s="38" t="n">
        <f aca="false">AVERAGEA(AH52, AF52)</f>
        <v>40</v>
      </c>
      <c r="AH52" s="36" t="n">
        <v>20</v>
      </c>
      <c r="AI52" s="34" t="n">
        <v>0.58</v>
      </c>
      <c r="AJ52" s="39" t="n">
        <f aca="false">AVERAGEA(AK52, AI52)</f>
        <v>3.29</v>
      </c>
      <c r="AK52" s="35" t="n">
        <v>6</v>
      </c>
      <c r="AL52" s="37" t="n">
        <v>0.58</v>
      </c>
      <c r="AM52" s="38" t="n">
        <f aca="false">AVERAGEA(AN52, AL52)</f>
        <v>3.29</v>
      </c>
      <c r="AN52" s="37" t="n">
        <v>6</v>
      </c>
      <c r="AO52" s="35" t="n">
        <v>3</v>
      </c>
      <c r="AP52" s="35" t="n">
        <f aca="false">AVERAGEA(AQ52, AO52)</f>
        <v>6.5</v>
      </c>
      <c r="AQ52" s="35" t="n">
        <v>10</v>
      </c>
      <c r="AR52" s="37" t="n">
        <v>1.5</v>
      </c>
      <c r="AS52" s="38" t="n">
        <f aca="false">AVERAGEA(AT52, AR52)</f>
        <v>2.25</v>
      </c>
      <c r="AT52" s="37" t="n">
        <v>3</v>
      </c>
      <c r="AU52" s="35" t="n">
        <v>998</v>
      </c>
      <c r="AV52" s="39" t="n">
        <f aca="false">AVERAGEA(AW52, AU52)</f>
        <v>1839</v>
      </c>
      <c r="AW52" s="35" t="n">
        <v>2680</v>
      </c>
      <c r="AX52" s="37" t="n">
        <v>26.6</v>
      </c>
      <c r="AY52" s="37" t="n">
        <f aca="false">AVERAGEA(AZ52, AX52)</f>
        <v>31.8</v>
      </c>
      <c r="AZ52" s="36" t="n">
        <v>37</v>
      </c>
      <c r="BA52" s="34" t="n">
        <v>2.6</v>
      </c>
      <c r="BB52" s="35" t="n">
        <f aca="false">AVERAGEA(BC52, BA52)</f>
        <v>6.55</v>
      </c>
      <c r="BC52" s="34" t="n">
        <v>10.5</v>
      </c>
      <c r="BD52" s="37" t="n">
        <v>3.56</v>
      </c>
      <c r="BE52" s="37" t="n">
        <f aca="false">AVERAGE(BD52,BF52)</f>
        <v>22.03</v>
      </c>
      <c r="BF52" s="36" t="n">
        <v>40.5</v>
      </c>
      <c r="BG52" s="34" t="n">
        <v>5.7</v>
      </c>
      <c r="BH52" s="35" t="n">
        <f aca="false">AVERAGE(BG52,BI52)</f>
        <v>26.85</v>
      </c>
      <c r="BI52" s="34" t="n">
        <v>48</v>
      </c>
      <c r="BJ52" s="37" t="n">
        <v>6.2</v>
      </c>
      <c r="BK52" s="37" t="n">
        <f aca="false">AVERAGE(BJ52,BL52)</f>
        <v>42.1</v>
      </c>
      <c r="BL52" s="36" t="n">
        <v>78</v>
      </c>
      <c r="BM52" s="34" t="n">
        <v>1.8</v>
      </c>
      <c r="BN52" s="35" t="n">
        <f aca="false">AVERAGEA(BO52, BM52)</f>
        <v>1.8</v>
      </c>
      <c r="BO52" s="34" t="n">
        <v>1.8</v>
      </c>
      <c r="BP52" s="37" t="n">
        <v>78</v>
      </c>
      <c r="BQ52" s="37" t="n">
        <f aca="false">AVERAGEA(BP52,BR52)</f>
        <v>159</v>
      </c>
      <c r="BR52" s="36" t="n">
        <v>240</v>
      </c>
      <c r="BS52" s="34" t="n">
        <v>2</v>
      </c>
      <c r="BT52" s="35" t="n">
        <f aca="false">AVERAGEA(BS52,BU52)</f>
        <v>3.5</v>
      </c>
      <c r="BU52" s="40" t="n">
        <v>5</v>
      </c>
      <c r="BV52" s="37" t="n">
        <v>5</v>
      </c>
      <c r="BW52" s="37" t="n">
        <f aca="false">AVERAGEA(BV52,BX52)</f>
        <v>8.9</v>
      </c>
      <c r="BX52" s="36" t="n">
        <v>12.8</v>
      </c>
      <c r="BY52" s="34"/>
      <c r="BZ52" s="35" t="e">
        <f aca="false">AVERAGEA(BY52,CA52)</f>
        <v>#DIV/0!</v>
      </c>
      <c r="CA52" s="40"/>
      <c r="CB52" s="37"/>
      <c r="CC52" s="37" t="e">
        <f aca="false">AVERAGEA(CB52,CD52)</f>
        <v>#DIV/0!</v>
      </c>
      <c r="CD52" s="36"/>
      <c r="CE52" s="34"/>
      <c r="CF52" s="35" t="e">
        <f aca="false">AVERAGEA(CE52,CG52)</f>
        <v>#DIV/0!</v>
      </c>
      <c r="CG52" s="40"/>
    </row>
    <row r="53" s="18" customFormat="true" ht="26.4" hidden="false" customHeight="true" outlineLevel="0" collapsed="false">
      <c r="B53" s="19"/>
      <c r="C53" s="32"/>
      <c r="D53" s="42"/>
      <c r="E53" s="41" t="s">
        <v>59</v>
      </c>
      <c r="F53" s="32" t="s">
        <v>54</v>
      </c>
      <c r="G53" s="33"/>
      <c r="H53" s="24"/>
      <c r="I53" s="24" t="e">
        <f aca="false">AVERAGE(H53,J53)</f>
        <v>#DIV/0!</v>
      </c>
      <c r="J53" s="24"/>
      <c r="K53" s="34" t="s">
        <v>55</v>
      </c>
      <c r="L53" s="35"/>
      <c r="M53" s="34" t="s">
        <v>55</v>
      </c>
      <c r="N53" s="24" t="n">
        <v>37.9785134206409</v>
      </c>
      <c r="O53" s="24" t="n">
        <f aca="false">AVERAGE(N53,P53)</f>
        <v>39.1117327163159</v>
      </c>
      <c r="P53" s="24" t="n">
        <v>40.2449520119908</v>
      </c>
      <c r="Q53" s="34" t="s">
        <v>55</v>
      </c>
      <c r="R53" s="35"/>
      <c r="S53" s="34" t="s">
        <v>55</v>
      </c>
      <c r="T53" s="36" t="s">
        <v>55</v>
      </c>
      <c r="U53" s="37"/>
      <c r="V53" s="36" t="s">
        <v>55</v>
      </c>
      <c r="W53" s="34" t="s">
        <v>55</v>
      </c>
      <c r="X53" s="35"/>
      <c r="Y53" s="34" t="s">
        <v>55</v>
      </c>
      <c r="Z53" s="36" t="s">
        <v>55</v>
      </c>
      <c r="AA53" s="37"/>
      <c r="AB53" s="37" t="s">
        <v>55</v>
      </c>
      <c r="AC53" s="34" t="n">
        <v>85</v>
      </c>
      <c r="AD53" s="35" t="n">
        <f aca="false">AVERAGEA(AE53, AC53)</f>
        <v>90.15</v>
      </c>
      <c r="AE53" s="34" t="n">
        <v>95.3</v>
      </c>
      <c r="AF53" s="37" t="n">
        <v>60</v>
      </c>
      <c r="AG53" s="38" t="n">
        <f aca="false">AVERAGEA(AH53, AF53)</f>
        <v>40</v>
      </c>
      <c r="AH53" s="36" t="n">
        <v>20</v>
      </c>
      <c r="AI53" s="34" t="n">
        <v>0.58</v>
      </c>
      <c r="AJ53" s="39" t="n">
        <f aca="false">AVERAGEA(AK53, AI53)</f>
        <v>3.29</v>
      </c>
      <c r="AK53" s="35" t="n">
        <v>6</v>
      </c>
      <c r="AL53" s="37" t="n">
        <v>0.58</v>
      </c>
      <c r="AM53" s="38" t="n">
        <f aca="false">AVERAGEA(AN53, AL53)</f>
        <v>3.29</v>
      </c>
      <c r="AN53" s="37" t="n">
        <v>6</v>
      </c>
      <c r="AO53" s="35" t="n">
        <v>3</v>
      </c>
      <c r="AP53" s="35" t="n">
        <f aca="false">AVERAGEA(AQ53, AO53)</f>
        <v>6.5</v>
      </c>
      <c r="AQ53" s="35" t="n">
        <v>10</v>
      </c>
      <c r="AR53" s="37" t="n">
        <v>1.5</v>
      </c>
      <c r="AS53" s="38" t="n">
        <f aca="false">AVERAGEA(AT53, AR53)</f>
        <v>2.25</v>
      </c>
      <c r="AT53" s="37" t="n">
        <v>3</v>
      </c>
      <c r="AU53" s="35" t="n">
        <v>998</v>
      </c>
      <c r="AV53" s="39" t="n">
        <f aca="false">AVERAGEA(AW53, AU53)</f>
        <v>1839</v>
      </c>
      <c r="AW53" s="35" t="n">
        <v>2680</v>
      </c>
      <c r="AX53" s="37" t="n">
        <v>26.6</v>
      </c>
      <c r="AY53" s="37" t="n">
        <f aca="false">AVERAGEA(AZ53, AX53)</f>
        <v>31.8</v>
      </c>
      <c r="AZ53" s="36" t="n">
        <v>37</v>
      </c>
      <c r="BA53" s="34" t="n">
        <v>2.6</v>
      </c>
      <c r="BB53" s="35" t="n">
        <f aca="false">AVERAGEA(BC53, BA53)</f>
        <v>6.55</v>
      </c>
      <c r="BC53" s="34" t="n">
        <v>10.5</v>
      </c>
      <c r="BD53" s="37" t="n">
        <v>3.56</v>
      </c>
      <c r="BE53" s="37" t="n">
        <f aca="false">AVERAGE(BD53,BF53)</f>
        <v>22.03</v>
      </c>
      <c r="BF53" s="36" t="n">
        <v>40.5</v>
      </c>
      <c r="BG53" s="34" t="n">
        <v>5.7</v>
      </c>
      <c r="BH53" s="35" t="n">
        <f aca="false">AVERAGE(BG53,BI53)</f>
        <v>26.85</v>
      </c>
      <c r="BI53" s="34" t="n">
        <v>48</v>
      </c>
      <c r="BJ53" s="37" t="n">
        <v>6.2</v>
      </c>
      <c r="BK53" s="37" t="n">
        <f aca="false">AVERAGE(BJ53,BL53)</f>
        <v>42.1</v>
      </c>
      <c r="BL53" s="36" t="n">
        <v>78</v>
      </c>
      <c r="BM53" s="34" t="n">
        <v>1.8</v>
      </c>
      <c r="BN53" s="35" t="n">
        <f aca="false">AVERAGEA(BO53, BM53)</f>
        <v>1.8</v>
      </c>
      <c r="BO53" s="34" t="n">
        <v>1.8</v>
      </c>
      <c r="BP53" s="37" t="n">
        <v>78</v>
      </c>
      <c r="BQ53" s="37" t="n">
        <f aca="false">AVERAGEA(BP53,BR53)</f>
        <v>159</v>
      </c>
      <c r="BR53" s="36" t="n">
        <v>240</v>
      </c>
      <c r="BS53" s="34" t="n">
        <v>2</v>
      </c>
      <c r="BT53" s="35" t="n">
        <f aca="false">AVERAGEA(BS53,BU53)</f>
        <v>3.5</v>
      </c>
      <c r="BU53" s="40" t="n">
        <v>5</v>
      </c>
      <c r="BV53" s="37" t="n">
        <v>5</v>
      </c>
      <c r="BW53" s="37" t="n">
        <f aca="false">AVERAGEA(BV53,BX53)</f>
        <v>8.9</v>
      </c>
      <c r="BX53" s="36" t="n">
        <v>12.8</v>
      </c>
      <c r="BY53" s="34"/>
      <c r="BZ53" s="35" t="e">
        <f aca="false">AVERAGEA(BY53,CA53)</f>
        <v>#DIV/0!</v>
      </c>
      <c r="CA53" s="40"/>
      <c r="CB53" s="37"/>
      <c r="CC53" s="37" t="e">
        <f aca="false">AVERAGEA(CB53,CD53)</f>
        <v>#DIV/0!</v>
      </c>
      <c r="CD53" s="36"/>
      <c r="CE53" s="34"/>
      <c r="CF53" s="35" t="e">
        <f aca="false">AVERAGEA(CE53,CG53)</f>
        <v>#DIV/0!</v>
      </c>
      <c r="CG53" s="40"/>
    </row>
    <row r="54" s="18" customFormat="true" ht="28.35" hidden="false" customHeight="false" outlineLevel="0" collapsed="false">
      <c r="B54" s="19"/>
      <c r="C54" s="32"/>
      <c r="D54" s="42"/>
      <c r="E54" s="41"/>
      <c r="F54" s="32" t="s">
        <v>56</v>
      </c>
      <c r="G54" s="33"/>
      <c r="H54" s="24"/>
      <c r="I54" s="24" t="e">
        <f aca="false">AVERAGE(H54,J54)</f>
        <v>#DIV/0!</v>
      </c>
      <c r="J54" s="24"/>
      <c r="K54" s="34" t="s">
        <v>55</v>
      </c>
      <c r="L54" s="35"/>
      <c r="M54" s="34" t="s">
        <v>55</v>
      </c>
      <c r="N54" s="24" t="n">
        <v>35.2372303532486</v>
      </c>
      <c r="O54" s="24" t="n">
        <f aca="false">AVERAGE(N54,P54)</f>
        <v>36.6043739343392</v>
      </c>
      <c r="P54" s="24" t="n">
        <v>37.9715175154298</v>
      </c>
      <c r="Q54" s="34" t="s">
        <v>55</v>
      </c>
      <c r="R54" s="35"/>
      <c r="S54" s="34" t="s">
        <v>55</v>
      </c>
      <c r="T54" s="36" t="s">
        <v>55</v>
      </c>
      <c r="U54" s="37"/>
      <c r="V54" s="36" t="s">
        <v>55</v>
      </c>
      <c r="W54" s="34" t="s">
        <v>55</v>
      </c>
      <c r="X54" s="35"/>
      <c r="Y54" s="34" t="s">
        <v>55</v>
      </c>
      <c r="Z54" s="36" t="s">
        <v>55</v>
      </c>
      <c r="AA54" s="37"/>
      <c r="AB54" s="37" t="s">
        <v>55</v>
      </c>
      <c r="AC54" s="34" t="n">
        <v>85</v>
      </c>
      <c r="AD54" s="35" t="n">
        <f aca="false">AVERAGEA(AE54, AC54)</f>
        <v>90.15</v>
      </c>
      <c r="AE54" s="34" t="n">
        <v>95.3</v>
      </c>
      <c r="AF54" s="37" t="n">
        <v>60</v>
      </c>
      <c r="AG54" s="38" t="n">
        <f aca="false">AVERAGEA(AH54, AF54)</f>
        <v>40</v>
      </c>
      <c r="AH54" s="36" t="n">
        <v>20</v>
      </c>
      <c r="AI54" s="34" t="n">
        <v>0.58</v>
      </c>
      <c r="AJ54" s="39" t="n">
        <f aca="false">AVERAGEA(AK54, AI54)</f>
        <v>3.29</v>
      </c>
      <c r="AK54" s="35" t="n">
        <v>6</v>
      </c>
      <c r="AL54" s="37" t="n">
        <v>0.58</v>
      </c>
      <c r="AM54" s="38" t="n">
        <f aca="false">AVERAGEA(AN54, AL54)</f>
        <v>3.29</v>
      </c>
      <c r="AN54" s="37" t="n">
        <v>6</v>
      </c>
      <c r="AO54" s="35" t="n">
        <v>3</v>
      </c>
      <c r="AP54" s="35" t="n">
        <f aca="false">AVERAGEA(AQ54, AO54)</f>
        <v>6.5</v>
      </c>
      <c r="AQ54" s="35" t="n">
        <v>10</v>
      </c>
      <c r="AR54" s="37" t="n">
        <v>1.5</v>
      </c>
      <c r="AS54" s="38" t="n">
        <f aca="false">AVERAGEA(AT54, AR54)</f>
        <v>2.25</v>
      </c>
      <c r="AT54" s="37" t="n">
        <v>3</v>
      </c>
      <c r="AU54" s="35" t="n">
        <v>998</v>
      </c>
      <c r="AV54" s="39" t="n">
        <f aca="false">AVERAGEA(AW54, AU54)</f>
        <v>1839</v>
      </c>
      <c r="AW54" s="35" t="n">
        <v>2680</v>
      </c>
      <c r="AX54" s="37" t="n">
        <v>26.6</v>
      </c>
      <c r="AY54" s="37" t="n">
        <f aca="false">AVERAGEA(AZ54, AX54)</f>
        <v>31.8</v>
      </c>
      <c r="AZ54" s="36" t="n">
        <v>37</v>
      </c>
      <c r="BA54" s="34" t="n">
        <v>2.6</v>
      </c>
      <c r="BB54" s="35" t="n">
        <f aca="false">AVERAGEA(BC54, BA54)</f>
        <v>6.55</v>
      </c>
      <c r="BC54" s="34" t="n">
        <v>10.5</v>
      </c>
      <c r="BD54" s="37" t="n">
        <v>3.56</v>
      </c>
      <c r="BE54" s="37" t="n">
        <f aca="false">AVERAGE(BD54,BF54)</f>
        <v>22.03</v>
      </c>
      <c r="BF54" s="36" t="n">
        <v>40.5</v>
      </c>
      <c r="BG54" s="34" t="n">
        <v>5.7</v>
      </c>
      <c r="BH54" s="35" t="n">
        <f aca="false">AVERAGE(BG54,BI54)</f>
        <v>26.85</v>
      </c>
      <c r="BI54" s="34" t="n">
        <v>48</v>
      </c>
      <c r="BJ54" s="37" t="n">
        <v>6.2</v>
      </c>
      <c r="BK54" s="37" t="n">
        <f aca="false">AVERAGE(BJ54,BL54)</f>
        <v>42.1</v>
      </c>
      <c r="BL54" s="36" t="n">
        <v>78</v>
      </c>
      <c r="BM54" s="34" t="n">
        <v>1.8</v>
      </c>
      <c r="BN54" s="35" t="n">
        <f aca="false">AVERAGEA(BO54, BM54)</f>
        <v>1.8</v>
      </c>
      <c r="BO54" s="34" t="n">
        <v>1.8</v>
      </c>
      <c r="BP54" s="37" t="n">
        <v>78</v>
      </c>
      <c r="BQ54" s="37" t="n">
        <f aca="false">AVERAGEA(BP54,BR54)</f>
        <v>159</v>
      </c>
      <c r="BR54" s="36" t="n">
        <v>240</v>
      </c>
      <c r="BS54" s="34" t="n">
        <v>2</v>
      </c>
      <c r="BT54" s="35" t="n">
        <f aca="false">AVERAGEA(BS54,BU54)</f>
        <v>3.5</v>
      </c>
      <c r="BU54" s="40" t="n">
        <v>5</v>
      </c>
      <c r="BV54" s="37" t="n">
        <v>5</v>
      </c>
      <c r="BW54" s="37" t="n">
        <f aca="false">AVERAGEA(BV54,BX54)</f>
        <v>8.9</v>
      </c>
      <c r="BX54" s="36" t="n">
        <v>12.8</v>
      </c>
      <c r="BY54" s="34"/>
      <c r="BZ54" s="35" t="e">
        <f aca="false">AVERAGEA(BY54,CA54)</f>
        <v>#DIV/0!</v>
      </c>
      <c r="CA54" s="40"/>
      <c r="CB54" s="37"/>
      <c r="CC54" s="37" t="e">
        <f aca="false">AVERAGEA(CB54,CD54)</f>
        <v>#DIV/0!</v>
      </c>
      <c r="CD54" s="36"/>
      <c r="CE54" s="34"/>
      <c r="CF54" s="35" t="e">
        <f aca="false">AVERAGEA(CE54,CG54)</f>
        <v>#DIV/0!</v>
      </c>
      <c r="CG54" s="40"/>
    </row>
    <row r="55" s="18" customFormat="true" ht="28.35" hidden="false" customHeight="false" outlineLevel="0" collapsed="false">
      <c r="B55" s="19"/>
      <c r="C55" s="32"/>
      <c r="D55" s="42"/>
      <c r="E55" s="41"/>
      <c r="F55" s="32" t="s">
        <v>57</v>
      </c>
      <c r="G55" s="33"/>
      <c r="H55" s="24"/>
      <c r="I55" s="24" t="e">
        <f aca="false">AVERAGE(H55,J55)</f>
        <v>#DIV/0!</v>
      </c>
      <c r="J55" s="24"/>
      <c r="K55" s="34" t="s">
        <v>55</v>
      </c>
      <c r="L55" s="35"/>
      <c r="M55" s="34" t="s">
        <v>55</v>
      </c>
      <c r="N55" s="24" t="n">
        <v>26.8645700449247</v>
      </c>
      <c r="O55" s="24" t="n">
        <f aca="false">AVERAGE(N55,P55)</f>
        <v>31.0415527974367</v>
      </c>
      <c r="P55" s="24" t="n">
        <v>35.2185355499488</v>
      </c>
      <c r="Q55" s="34" t="s">
        <v>55</v>
      </c>
      <c r="R55" s="35"/>
      <c r="S55" s="34" t="s">
        <v>55</v>
      </c>
      <c r="T55" s="36" t="s">
        <v>55</v>
      </c>
      <c r="U55" s="37"/>
      <c r="V55" s="36" t="s">
        <v>55</v>
      </c>
      <c r="W55" s="34" t="s">
        <v>55</v>
      </c>
      <c r="X55" s="35"/>
      <c r="Y55" s="34" t="s">
        <v>55</v>
      </c>
      <c r="Z55" s="36" t="s">
        <v>55</v>
      </c>
      <c r="AA55" s="37"/>
      <c r="AB55" s="37" t="s">
        <v>55</v>
      </c>
      <c r="AC55" s="34" t="n">
        <v>85</v>
      </c>
      <c r="AD55" s="35" t="n">
        <f aca="false">AVERAGEA(AE55, AC55)</f>
        <v>90.15</v>
      </c>
      <c r="AE55" s="34" t="n">
        <v>95.3</v>
      </c>
      <c r="AF55" s="37" t="n">
        <v>60</v>
      </c>
      <c r="AG55" s="38" t="n">
        <f aca="false">AVERAGEA(AH55, AF55)</f>
        <v>40</v>
      </c>
      <c r="AH55" s="36" t="n">
        <v>20</v>
      </c>
      <c r="AI55" s="34" t="n">
        <v>0.58</v>
      </c>
      <c r="AJ55" s="39" t="n">
        <f aca="false">AVERAGEA(AK55, AI55)</f>
        <v>3.29</v>
      </c>
      <c r="AK55" s="35" t="n">
        <v>6</v>
      </c>
      <c r="AL55" s="37" t="n">
        <v>0.58</v>
      </c>
      <c r="AM55" s="38" t="n">
        <f aca="false">AVERAGEA(AN55, AL55)</f>
        <v>3.29</v>
      </c>
      <c r="AN55" s="37" t="n">
        <v>6</v>
      </c>
      <c r="AO55" s="35" t="n">
        <v>3</v>
      </c>
      <c r="AP55" s="35" t="n">
        <f aca="false">AVERAGEA(AQ55, AO55)</f>
        <v>6.5</v>
      </c>
      <c r="AQ55" s="35" t="n">
        <v>10</v>
      </c>
      <c r="AR55" s="37" t="n">
        <v>1.5</v>
      </c>
      <c r="AS55" s="38" t="n">
        <f aca="false">AVERAGEA(AT55, AR55)</f>
        <v>2.25</v>
      </c>
      <c r="AT55" s="37" t="n">
        <v>3</v>
      </c>
      <c r="AU55" s="35" t="n">
        <v>998</v>
      </c>
      <c r="AV55" s="39" t="n">
        <f aca="false">AVERAGEA(AW55, AU55)</f>
        <v>1839</v>
      </c>
      <c r="AW55" s="35" t="n">
        <v>2680</v>
      </c>
      <c r="AX55" s="37" t="n">
        <v>26.6</v>
      </c>
      <c r="AY55" s="37" t="n">
        <f aca="false">AVERAGEA(AZ55, AX55)</f>
        <v>31.8</v>
      </c>
      <c r="AZ55" s="36" t="n">
        <v>37</v>
      </c>
      <c r="BA55" s="34" t="n">
        <v>2.6</v>
      </c>
      <c r="BB55" s="35" t="n">
        <f aca="false">AVERAGEA(BC55, BA55)</f>
        <v>6.55</v>
      </c>
      <c r="BC55" s="34" t="n">
        <v>10.5</v>
      </c>
      <c r="BD55" s="37" t="n">
        <v>3.56</v>
      </c>
      <c r="BE55" s="37" t="n">
        <f aca="false">AVERAGE(BD55,BF55)</f>
        <v>22.03</v>
      </c>
      <c r="BF55" s="36" t="n">
        <v>40.5</v>
      </c>
      <c r="BG55" s="34" t="n">
        <v>5.7</v>
      </c>
      <c r="BH55" s="35" t="n">
        <f aca="false">AVERAGE(BG55,BI55)</f>
        <v>26.85</v>
      </c>
      <c r="BI55" s="34" t="n">
        <v>48</v>
      </c>
      <c r="BJ55" s="37" t="n">
        <v>6.2</v>
      </c>
      <c r="BK55" s="37" t="n">
        <f aca="false">AVERAGE(BJ55,BL55)</f>
        <v>42.1</v>
      </c>
      <c r="BL55" s="36" t="n">
        <v>78</v>
      </c>
      <c r="BM55" s="34" t="n">
        <v>1.8</v>
      </c>
      <c r="BN55" s="35" t="n">
        <f aca="false">AVERAGEA(BO55, BM55)</f>
        <v>1.8</v>
      </c>
      <c r="BO55" s="34" t="n">
        <v>1.8</v>
      </c>
      <c r="BP55" s="37" t="n">
        <v>78</v>
      </c>
      <c r="BQ55" s="37" t="n">
        <f aca="false">AVERAGEA(BP55,BR55)</f>
        <v>159</v>
      </c>
      <c r="BR55" s="36" t="n">
        <v>240</v>
      </c>
      <c r="BS55" s="34" t="n">
        <v>2</v>
      </c>
      <c r="BT55" s="35" t="n">
        <f aca="false">AVERAGEA(BS55,BU55)</f>
        <v>3.5</v>
      </c>
      <c r="BU55" s="40" t="n">
        <v>5</v>
      </c>
      <c r="BV55" s="37" t="n">
        <v>5</v>
      </c>
      <c r="BW55" s="37" t="n">
        <f aca="false">AVERAGEA(BV55,BX55)</f>
        <v>8.9</v>
      </c>
      <c r="BX55" s="36" t="n">
        <v>12.8</v>
      </c>
      <c r="BY55" s="34"/>
      <c r="BZ55" s="35" t="e">
        <f aca="false">AVERAGEA(BY55,CA55)</f>
        <v>#DIV/0!</v>
      </c>
      <c r="CA55" s="40"/>
      <c r="CB55" s="37"/>
      <c r="CC55" s="37" t="e">
        <f aca="false">AVERAGEA(CB55,CD55)</f>
        <v>#DIV/0!</v>
      </c>
      <c r="CD55" s="36"/>
      <c r="CE55" s="34"/>
      <c r="CF55" s="35" t="e">
        <f aca="false">AVERAGEA(CE55,CG55)</f>
        <v>#DIV/0!</v>
      </c>
      <c r="CG55" s="40"/>
    </row>
    <row r="56" s="18" customFormat="true" ht="28.35" hidden="false" customHeight="false" outlineLevel="0" collapsed="false">
      <c r="B56" s="19"/>
      <c r="C56" s="32"/>
      <c r="D56" s="42"/>
      <c r="E56" s="41"/>
      <c r="F56" s="32" t="s">
        <v>58</v>
      </c>
      <c r="G56" s="33"/>
      <c r="H56" s="24"/>
      <c r="I56" s="24" t="e">
        <f aca="false">AVERAGE(H56,J56)</f>
        <v>#DIV/0!</v>
      </c>
      <c r="J56" s="24"/>
      <c r="K56" s="34" t="s">
        <v>55</v>
      </c>
      <c r="L56" s="35"/>
      <c r="M56" s="34" t="s">
        <v>55</v>
      </c>
      <c r="N56" s="24" t="n">
        <v>21.2331928039931</v>
      </c>
      <c r="O56" s="24" t="n">
        <f aca="false">AVERAGE(N56,P56)</f>
        <v>24.0301236752193</v>
      </c>
      <c r="P56" s="24" t="n">
        <v>26.8270545464454</v>
      </c>
      <c r="Q56" s="34" t="s">
        <v>55</v>
      </c>
      <c r="R56" s="35"/>
      <c r="S56" s="34" t="s">
        <v>55</v>
      </c>
      <c r="T56" s="36" t="s">
        <v>55</v>
      </c>
      <c r="U56" s="37"/>
      <c r="V56" s="36" t="s">
        <v>55</v>
      </c>
      <c r="W56" s="34" t="s">
        <v>55</v>
      </c>
      <c r="X56" s="35"/>
      <c r="Y56" s="34" t="s">
        <v>55</v>
      </c>
      <c r="Z56" s="36" t="s">
        <v>55</v>
      </c>
      <c r="AA56" s="37"/>
      <c r="AB56" s="37" t="s">
        <v>55</v>
      </c>
      <c r="AC56" s="34" t="n">
        <v>85</v>
      </c>
      <c r="AD56" s="35" t="n">
        <f aca="false">AVERAGEA(AE56, AC56)</f>
        <v>90.15</v>
      </c>
      <c r="AE56" s="34" t="n">
        <v>95.3</v>
      </c>
      <c r="AF56" s="37" t="n">
        <v>60</v>
      </c>
      <c r="AG56" s="38" t="n">
        <f aca="false">AVERAGEA(AH56, AF56)</f>
        <v>40</v>
      </c>
      <c r="AH56" s="36" t="n">
        <v>20</v>
      </c>
      <c r="AI56" s="34" t="n">
        <v>0.58</v>
      </c>
      <c r="AJ56" s="39" t="n">
        <f aca="false">AVERAGEA(AK56, AI56)</f>
        <v>3.29</v>
      </c>
      <c r="AK56" s="35" t="n">
        <v>6</v>
      </c>
      <c r="AL56" s="37" t="n">
        <v>0.58</v>
      </c>
      <c r="AM56" s="38" t="n">
        <f aca="false">AVERAGEA(AN56, AL56)</f>
        <v>3.29</v>
      </c>
      <c r="AN56" s="37" t="n">
        <v>6</v>
      </c>
      <c r="AO56" s="35" t="n">
        <v>3</v>
      </c>
      <c r="AP56" s="35" t="n">
        <f aca="false">AVERAGEA(AQ56, AO56)</f>
        <v>6.5</v>
      </c>
      <c r="AQ56" s="35" t="n">
        <v>10</v>
      </c>
      <c r="AR56" s="37" t="n">
        <v>1.5</v>
      </c>
      <c r="AS56" s="38" t="n">
        <f aca="false">AVERAGEA(AT56, AR56)</f>
        <v>2.25</v>
      </c>
      <c r="AT56" s="37" t="n">
        <v>3</v>
      </c>
      <c r="AU56" s="35" t="n">
        <v>998</v>
      </c>
      <c r="AV56" s="39" t="n">
        <f aca="false">AVERAGEA(AW56, AU56)</f>
        <v>1839</v>
      </c>
      <c r="AW56" s="35" t="n">
        <v>2680</v>
      </c>
      <c r="AX56" s="37" t="n">
        <v>26.6</v>
      </c>
      <c r="AY56" s="37" t="n">
        <f aca="false">AVERAGEA(AZ56, AX56)</f>
        <v>31.8</v>
      </c>
      <c r="AZ56" s="36" t="n">
        <v>37</v>
      </c>
      <c r="BA56" s="34" t="n">
        <v>2.6</v>
      </c>
      <c r="BB56" s="35" t="n">
        <f aca="false">AVERAGEA(BC56, BA56)</f>
        <v>6.55</v>
      </c>
      <c r="BC56" s="34" t="n">
        <v>10.5</v>
      </c>
      <c r="BD56" s="37" t="n">
        <v>3.56</v>
      </c>
      <c r="BE56" s="37" t="n">
        <f aca="false">AVERAGE(BD56,BF56)</f>
        <v>22.03</v>
      </c>
      <c r="BF56" s="36" t="n">
        <v>40.5</v>
      </c>
      <c r="BG56" s="34" t="n">
        <v>5.7</v>
      </c>
      <c r="BH56" s="35" t="n">
        <f aca="false">AVERAGE(BG56,BI56)</f>
        <v>26.85</v>
      </c>
      <c r="BI56" s="34" t="n">
        <v>48</v>
      </c>
      <c r="BJ56" s="37" t="n">
        <v>6.2</v>
      </c>
      <c r="BK56" s="37" t="n">
        <f aca="false">AVERAGE(BJ56,BL56)</f>
        <v>42.1</v>
      </c>
      <c r="BL56" s="36" t="n">
        <v>78</v>
      </c>
      <c r="BM56" s="34" t="n">
        <v>1.8</v>
      </c>
      <c r="BN56" s="35" t="n">
        <f aca="false">AVERAGEA(BO56, BM56)</f>
        <v>1.8</v>
      </c>
      <c r="BO56" s="34" t="n">
        <v>1.8</v>
      </c>
      <c r="BP56" s="37" t="n">
        <v>78</v>
      </c>
      <c r="BQ56" s="37" t="n">
        <f aca="false">AVERAGEA(BP56,BR56)</f>
        <v>159</v>
      </c>
      <c r="BR56" s="36" t="n">
        <v>240</v>
      </c>
      <c r="BS56" s="34" t="n">
        <v>2</v>
      </c>
      <c r="BT56" s="35" t="n">
        <f aca="false">AVERAGEA(BS56,BU56)</f>
        <v>3.5</v>
      </c>
      <c r="BU56" s="40" t="n">
        <v>5</v>
      </c>
      <c r="BV56" s="37" t="n">
        <v>5</v>
      </c>
      <c r="BW56" s="37" t="n">
        <f aca="false">AVERAGEA(BV56,BX56)</f>
        <v>8.9</v>
      </c>
      <c r="BX56" s="36" t="n">
        <v>12.8</v>
      </c>
      <c r="BY56" s="34"/>
      <c r="BZ56" s="35" t="e">
        <f aca="false">AVERAGEA(BY56,CA56)</f>
        <v>#DIV/0!</v>
      </c>
      <c r="CA56" s="40"/>
      <c r="CB56" s="37"/>
      <c r="CC56" s="37" t="e">
        <f aca="false">AVERAGEA(CB56,CD56)</f>
        <v>#DIV/0!</v>
      </c>
      <c r="CD56" s="36"/>
      <c r="CE56" s="34"/>
      <c r="CF56" s="35" t="e">
        <f aca="false">AVERAGEA(CE56,CG56)</f>
        <v>#DIV/0!</v>
      </c>
      <c r="CG56" s="40"/>
    </row>
    <row r="57" s="18" customFormat="true" ht="26.4" hidden="false" customHeight="true" outlineLevel="0" collapsed="false">
      <c r="B57" s="19"/>
      <c r="C57" s="32"/>
      <c r="D57" s="42"/>
      <c r="E57" s="41" t="s">
        <v>60</v>
      </c>
      <c r="F57" s="32" t="s">
        <v>54</v>
      </c>
      <c r="G57" s="33"/>
      <c r="H57" s="24"/>
      <c r="I57" s="24" t="e">
        <f aca="false">AVERAGE(H57,J57)</f>
        <v>#DIV/0!</v>
      </c>
      <c r="J57" s="24"/>
      <c r="K57" s="34" t="s">
        <v>55</v>
      </c>
      <c r="L57" s="35"/>
      <c r="M57" s="34" t="s">
        <v>55</v>
      </c>
      <c r="N57" s="24" t="n">
        <v>36.6053488967538</v>
      </c>
      <c r="O57" s="24" t="n">
        <f aca="false">AVERAGE(N57,P57)</f>
        <v>37.6975951159586</v>
      </c>
      <c r="P57" s="24" t="n">
        <v>38.7898413351634</v>
      </c>
      <c r="Q57" s="34" t="s">
        <v>55</v>
      </c>
      <c r="R57" s="35"/>
      <c r="S57" s="34" t="s">
        <v>55</v>
      </c>
      <c r="T57" s="36" t="s">
        <v>55</v>
      </c>
      <c r="U57" s="37"/>
      <c r="V57" s="36" t="s">
        <v>55</v>
      </c>
      <c r="W57" s="34" t="s">
        <v>55</v>
      </c>
      <c r="X57" s="35"/>
      <c r="Y57" s="34" t="s">
        <v>55</v>
      </c>
      <c r="Z57" s="36" t="s">
        <v>55</v>
      </c>
      <c r="AA57" s="37"/>
      <c r="AB57" s="37" t="s">
        <v>55</v>
      </c>
      <c r="AC57" s="34" t="n">
        <v>85</v>
      </c>
      <c r="AD57" s="35" t="n">
        <f aca="false">AVERAGEA(AE57, AC57)</f>
        <v>90.15</v>
      </c>
      <c r="AE57" s="34" t="n">
        <v>95.3</v>
      </c>
      <c r="AF57" s="37" t="n">
        <v>60</v>
      </c>
      <c r="AG57" s="38" t="n">
        <f aca="false">AVERAGEA(AH57, AF57)</f>
        <v>40</v>
      </c>
      <c r="AH57" s="36" t="n">
        <v>20</v>
      </c>
      <c r="AI57" s="34" t="n">
        <v>0.58</v>
      </c>
      <c r="AJ57" s="39" t="n">
        <f aca="false">AVERAGEA(AK57, AI57)</f>
        <v>3.29</v>
      </c>
      <c r="AK57" s="35" t="n">
        <v>6</v>
      </c>
      <c r="AL57" s="37" t="n">
        <v>0.58</v>
      </c>
      <c r="AM57" s="38" t="n">
        <f aca="false">AVERAGEA(AN57, AL57)</f>
        <v>3.29</v>
      </c>
      <c r="AN57" s="37" t="n">
        <v>6</v>
      </c>
      <c r="AO57" s="35" t="n">
        <v>3</v>
      </c>
      <c r="AP57" s="35" t="n">
        <f aca="false">AVERAGEA(AQ57, AO57)</f>
        <v>6.5</v>
      </c>
      <c r="AQ57" s="35" t="n">
        <v>10</v>
      </c>
      <c r="AR57" s="37" t="n">
        <v>6</v>
      </c>
      <c r="AS57" s="38" t="n">
        <f aca="false">AVERAGEA(AT57, AR57)</f>
        <v>8</v>
      </c>
      <c r="AT57" s="37" t="n">
        <v>10</v>
      </c>
      <c r="AU57" s="35" t="n">
        <v>998</v>
      </c>
      <c r="AV57" s="39" t="n">
        <f aca="false">AVERAGEA(AW57, AU57)</f>
        <v>1839</v>
      </c>
      <c r="AW57" s="35" t="n">
        <v>2680</v>
      </c>
      <c r="AX57" s="37" t="n">
        <v>26.6</v>
      </c>
      <c r="AY57" s="37" t="n">
        <f aca="false">AVERAGEA(AZ57, AX57)</f>
        <v>31.8</v>
      </c>
      <c r="AZ57" s="36" t="n">
        <v>37</v>
      </c>
      <c r="BA57" s="34" t="n">
        <v>2.6</v>
      </c>
      <c r="BB57" s="35" t="n">
        <f aca="false">AVERAGEA(BC57, BA57)</f>
        <v>6.55</v>
      </c>
      <c r="BC57" s="34" t="n">
        <v>10.5</v>
      </c>
      <c r="BD57" s="37" t="n">
        <v>3.56</v>
      </c>
      <c r="BE57" s="37" t="n">
        <f aca="false">AVERAGE(BD57,BF57)</f>
        <v>22.03</v>
      </c>
      <c r="BF57" s="36" t="n">
        <v>40.5</v>
      </c>
      <c r="BG57" s="34" t="n">
        <v>5.7</v>
      </c>
      <c r="BH57" s="35" t="n">
        <f aca="false">AVERAGE(BG57,BI57)</f>
        <v>26.85</v>
      </c>
      <c r="BI57" s="34" t="n">
        <v>48</v>
      </c>
      <c r="BJ57" s="37" t="n">
        <v>6.2</v>
      </c>
      <c r="BK57" s="37" t="n">
        <f aca="false">AVERAGE(BJ57,BL57)</f>
        <v>42.1</v>
      </c>
      <c r="BL57" s="36" t="n">
        <v>78</v>
      </c>
      <c r="BM57" s="34" t="n">
        <v>1.8</v>
      </c>
      <c r="BN57" s="35" t="n">
        <f aca="false">AVERAGEA(BO57, BM57)</f>
        <v>1.8</v>
      </c>
      <c r="BO57" s="34" t="n">
        <v>1.8</v>
      </c>
      <c r="BP57" s="37" t="n">
        <v>78</v>
      </c>
      <c r="BQ57" s="37" t="n">
        <f aca="false">AVERAGEA(BP57,BR57)</f>
        <v>159</v>
      </c>
      <c r="BR57" s="36" t="n">
        <v>240</v>
      </c>
      <c r="BS57" s="34" t="n">
        <v>2</v>
      </c>
      <c r="BT57" s="35" t="n">
        <f aca="false">AVERAGEA(BS57,BU57)</f>
        <v>3.5</v>
      </c>
      <c r="BU57" s="40" t="n">
        <v>5</v>
      </c>
      <c r="BV57" s="37" t="n">
        <v>5</v>
      </c>
      <c r="BW57" s="37" t="n">
        <f aca="false">AVERAGEA(BV57,BX57)</f>
        <v>8.9</v>
      </c>
      <c r="BX57" s="36" t="n">
        <v>12.8</v>
      </c>
      <c r="BY57" s="34"/>
      <c r="BZ57" s="35" t="e">
        <f aca="false">AVERAGEA(BY57,CA57)</f>
        <v>#DIV/0!</v>
      </c>
      <c r="CA57" s="40"/>
      <c r="CB57" s="37"/>
      <c r="CC57" s="37" t="e">
        <f aca="false">AVERAGEA(CB57,CD57)</f>
        <v>#DIV/0!</v>
      </c>
      <c r="CD57" s="36"/>
      <c r="CE57" s="34"/>
      <c r="CF57" s="35" t="e">
        <f aca="false">AVERAGEA(CE57,CG57)</f>
        <v>#DIV/0!</v>
      </c>
      <c r="CG57" s="40"/>
    </row>
    <row r="58" s="18" customFormat="true" ht="28.35" hidden="false" customHeight="false" outlineLevel="0" collapsed="false">
      <c r="B58" s="19"/>
      <c r="C58" s="32"/>
      <c r="D58" s="42"/>
      <c r="E58" s="41"/>
      <c r="F58" s="32" t="s">
        <v>56</v>
      </c>
      <c r="G58" s="33"/>
      <c r="H58" s="24"/>
      <c r="I58" s="24" t="e">
        <f aca="false">AVERAGE(H58,J58)</f>
        <v>#DIV/0!</v>
      </c>
      <c r="J58" s="24"/>
      <c r="K58" s="34" t="s">
        <v>55</v>
      </c>
      <c r="L58" s="35"/>
      <c r="M58" s="34" t="s">
        <v>55</v>
      </c>
      <c r="N58" s="24" t="n">
        <v>33.9631806266255</v>
      </c>
      <c r="O58" s="24" t="n">
        <f aca="false">AVERAGE(N58,P58)</f>
        <v>35.280893282292</v>
      </c>
      <c r="P58" s="24" t="n">
        <v>36.5986059379585</v>
      </c>
      <c r="Q58" s="34" t="s">
        <v>55</v>
      </c>
      <c r="R58" s="35"/>
      <c r="S58" s="34" t="s">
        <v>55</v>
      </c>
      <c r="T58" s="36" t="s">
        <v>55</v>
      </c>
      <c r="U58" s="37"/>
      <c r="V58" s="36" t="s">
        <v>55</v>
      </c>
      <c r="W58" s="34" t="s">
        <v>55</v>
      </c>
      <c r="X58" s="35"/>
      <c r="Y58" s="34" t="s">
        <v>55</v>
      </c>
      <c r="Z58" s="36" t="s">
        <v>55</v>
      </c>
      <c r="AA58" s="37"/>
      <c r="AB58" s="37" t="s">
        <v>55</v>
      </c>
      <c r="AC58" s="34" t="n">
        <v>85</v>
      </c>
      <c r="AD58" s="35" t="n">
        <f aca="false">AVERAGEA(AE58, AC58)</f>
        <v>90.15</v>
      </c>
      <c r="AE58" s="34" t="n">
        <v>95.3</v>
      </c>
      <c r="AF58" s="37" t="n">
        <v>60</v>
      </c>
      <c r="AG58" s="38" t="n">
        <f aca="false">AVERAGEA(AH58, AF58)</f>
        <v>40</v>
      </c>
      <c r="AH58" s="36" t="n">
        <v>20</v>
      </c>
      <c r="AI58" s="34" t="n">
        <v>0.58</v>
      </c>
      <c r="AJ58" s="39" t="n">
        <f aca="false">AVERAGEA(AK58, AI58)</f>
        <v>3.29</v>
      </c>
      <c r="AK58" s="35" t="n">
        <v>6</v>
      </c>
      <c r="AL58" s="37" t="n">
        <v>0.58</v>
      </c>
      <c r="AM58" s="38" t="n">
        <f aca="false">AVERAGEA(AN58, AL58)</f>
        <v>3.29</v>
      </c>
      <c r="AN58" s="37" t="n">
        <v>6</v>
      </c>
      <c r="AO58" s="35" t="n">
        <v>3</v>
      </c>
      <c r="AP58" s="35" t="n">
        <f aca="false">AVERAGEA(AQ58, AO58)</f>
        <v>6.5</v>
      </c>
      <c r="AQ58" s="35" t="n">
        <v>10</v>
      </c>
      <c r="AR58" s="37" t="n">
        <v>6</v>
      </c>
      <c r="AS58" s="38" t="n">
        <f aca="false">AVERAGEA(AT58, AR58)</f>
        <v>8</v>
      </c>
      <c r="AT58" s="37" t="n">
        <v>10</v>
      </c>
      <c r="AU58" s="35" t="n">
        <v>998</v>
      </c>
      <c r="AV58" s="39" t="n">
        <f aca="false">AVERAGEA(AW58, AU58)</f>
        <v>1839</v>
      </c>
      <c r="AW58" s="35" t="n">
        <v>2680</v>
      </c>
      <c r="AX58" s="37" t="n">
        <v>26.6</v>
      </c>
      <c r="AY58" s="37" t="n">
        <f aca="false">AVERAGEA(AZ58, AX58)</f>
        <v>31.8</v>
      </c>
      <c r="AZ58" s="36" t="n">
        <v>37</v>
      </c>
      <c r="BA58" s="34" t="n">
        <v>2.6</v>
      </c>
      <c r="BB58" s="35" t="n">
        <f aca="false">AVERAGEA(BC58, BA58)</f>
        <v>6.55</v>
      </c>
      <c r="BC58" s="34" t="n">
        <v>10.5</v>
      </c>
      <c r="BD58" s="37" t="n">
        <v>3.56</v>
      </c>
      <c r="BE58" s="37" t="n">
        <f aca="false">AVERAGE(BD58,BF58)</f>
        <v>22.03</v>
      </c>
      <c r="BF58" s="36" t="n">
        <v>40.5</v>
      </c>
      <c r="BG58" s="34" t="n">
        <v>5.7</v>
      </c>
      <c r="BH58" s="35" t="n">
        <f aca="false">AVERAGE(BG58,BI58)</f>
        <v>26.85</v>
      </c>
      <c r="BI58" s="34" t="n">
        <v>48</v>
      </c>
      <c r="BJ58" s="37" t="n">
        <v>6.2</v>
      </c>
      <c r="BK58" s="37" t="n">
        <f aca="false">AVERAGE(BJ58,BL58)</f>
        <v>42.1</v>
      </c>
      <c r="BL58" s="36" t="n">
        <v>78</v>
      </c>
      <c r="BM58" s="34" t="n">
        <v>1.8</v>
      </c>
      <c r="BN58" s="35" t="n">
        <f aca="false">AVERAGEA(BO58, BM58)</f>
        <v>1.8</v>
      </c>
      <c r="BO58" s="34" t="n">
        <v>1.8</v>
      </c>
      <c r="BP58" s="37" t="n">
        <v>78</v>
      </c>
      <c r="BQ58" s="37" t="n">
        <f aca="false">AVERAGEA(BP58,BR58)</f>
        <v>159</v>
      </c>
      <c r="BR58" s="36" t="n">
        <v>240</v>
      </c>
      <c r="BS58" s="34" t="n">
        <v>2</v>
      </c>
      <c r="BT58" s="35" t="n">
        <f aca="false">AVERAGEA(BS58,BU58)</f>
        <v>3.5</v>
      </c>
      <c r="BU58" s="40" t="n">
        <v>5</v>
      </c>
      <c r="BV58" s="37" t="n">
        <v>5</v>
      </c>
      <c r="BW58" s="37" t="n">
        <f aca="false">AVERAGEA(BV58,BX58)</f>
        <v>8.9</v>
      </c>
      <c r="BX58" s="36" t="n">
        <v>12.8</v>
      </c>
      <c r="BY58" s="34"/>
      <c r="BZ58" s="35" t="e">
        <f aca="false">AVERAGEA(BY58,CA58)</f>
        <v>#DIV/0!</v>
      </c>
      <c r="CA58" s="40"/>
      <c r="CB58" s="37"/>
      <c r="CC58" s="37" t="e">
        <f aca="false">AVERAGEA(CB58,CD58)</f>
        <v>#DIV/0!</v>
      </c>
      <c r="CD58" s="36"/>
      <c r="CE58" s="34"/>
      <c r="CF58" s="35" t="e">
        <f aca="false">AVERAGEA(CE58,CG58)</f>
        <v>#DIV/0!</v>
      </c>
      <c r="CG58" s="40"/>
    </row>
    <row r="59" s="18" customFormat="true" ht="28.35" hidden="false" customHeight="false" outlineLevel="0" collapsed="false">
      <c r="B59" s="19"/>
      <c r="C59" s="32"/>
      <c r="D59" s="42"/>
      <c r="E59" s="41"/>
      <c r="F59" s="32" t="s">
        <v>57</v>
      </c>
      <c r="G59" s="33"/>
      <c r="H59" s="24"/>
      <c r="I59" s="24" t="e">
        <f aca="false">AVERAGE(H59,J59)</f>
        <v>#DIV/0!</v>
      </c>
      <c r="J59" s="24"/>
      <c r="K59" s="34" t="s">
        <v>55</v>
      </c>
      <c r="L59" s="35"/>
      <c r="M59" s="34" t="s">
        <v>55</v>
      </c>
      <c r="N59" s="24" t="n">
        <v>25.8932451769239</v>
      </c>
      <c r="O59" s="24" t="n">
        <f aca="false">AVERAGE(N59,P59)</f>
        <v>29.9192034680751</v>
      </c>
      <c r="P59" s="24" t="n">
        <v>33.9451617592263</v>
      </c>
      <c r="Q59" s="34" t="s">
        <v>55</v>
      </c>
      <c r="R59" s="35"/>
      <c r="S59" s="34" t="s">
        <v>55</v>
      </c>
      <c r="T59" s="36" t="s">
        <v>55</v>
      </c>
      <c r="U59" s="37"/>
      <c r="V59" s="36" t="s">
        <v>55</v>
      </c>
      <c r="W59" s="34" t="s">
        <v>55</v>
      </c>
      <c r="X59" s="35"/>
      <c r="Y59" s="34" t="s">
        <v>55</v>
      </c>
      <c r="Z59" s="36" t="s">
        <v>55</v>
      </c>
      <c r="AA59" s="37"/>
      <c r="AB59" s="37" t="s">
        <v>55</v>
      </c>
      <c r="AC59" s="34" t="n">
        <v>85</v>
      </c>
      <c r="AD59" s="35" t="n">
        <f aca="false">AVERAGEA(AE59, AC59)</f>
        <v>90.15</v>
      </c>
      <c r="AE59" s="34" t="n">
        <v>95.3</v>
      </c>
      <c r="AF59" s="37" t="n">
        <v>60</v>
      </c>
      <c r="AG59" s="38" t="n">
        <f aca="false">AVERAGEA(AH59, AF59)</f>
        <v>40</v>
      </c>
      <c r="AH59" s="36" t="n">
        <v>20</v>
      </c>
      <c r="AI59" s="34" t="n">
        <v>0.58</v>
      </c>
      <c r="AJ59" s="39" t="n">
        <f aca="false">AVERAGEA(AK59, AI59)</f>
        <v>3.29</v>
      </c>
      <c r="AK59" s="35" t="n">
        <v>6</v>
      </c>
      <c r="AL59" s="37" t="n">
        <v>0.58</v>
      </c>
      <c r="AM59" s="38" t="n">
        <f aca="false">AVERAGEA(AN59, AL59)</f>
        <v>3.29</v>
      </c>
      <c r="AN59" s="37" t="n">
        <v>6</v>
      </c>
      <c r="AO59" s="35" t="n">
        <v>3</v>
      </c>
      <c r="AP59" s="35" t="n">
        <f aca="false">AVERAGEA(AQ59, AO59)</f>
        <v>6.5</v>
      </c>
      <c r="AQ59" s="35" t="n">
        <v>10</v>
      </c>
      <c r="AR59" s="37" t="n">
        <v>6</v>
      </c>
      <c r="AS59" s="38" t="n">
        <f aca="false">AVERAGEA(AT59, AR59)</f>
        <v>8</v>
      </c>
      <c r="AT59" s="37" t="n">
        <v>10</v>
      </c>
      <c r="AU59" s="35" t="n">
        <v>998</v>
      </c>
      <c r="AV59" s="39" t="n">
        <f aca="false">AVERAGEA(AW59, AU59)</f>
        <v>1839</v>
      </c>
      <c r="AW59" s="35" t="n">
        <v>2680</v>
      </c>
      <c r="AX59" s="37" t="n">
        <v>26.6</v>
      </c>
      <c r="AY59" s="37" t="n">
        <f aca="false">AVERAGEA(AZ59, AX59)</f>
        <v>31.8</v>
      </c>
      <c r="AZ59" s="36" t="n">
        <v>37</v>
      </c>
      <c r="BA59" s="34" t="n">
        <v>2.6</v>
      </c>
      <c r="BB59" s="35" t="n">
        <f aca="false">AVERAGEA(BC59, BA59)</f>
        <v>6.55</v>
      </c>
      <c r="BC59" s="34" t="n">
        <v>10.5</v>
      </c>
      <c r="BD59" s="37" t="n">
        <v>3.56</v>
      </c>
      <c r="BE59" s="37" t="n">
        <f aca="false">AVERAGE(BD59,BF59)</f>
        <v>22.03</v>
      </c>
      <c r="BF59" s="36" t="n">
        <v>40.5</v>
      </c>
      <c r="BG59" s="34" t="n">
        <v>5.7</v>
      </c>
      <c r="BH59" s="35" t="n">
        <f aca="false">AVERAGE(BG59,BI59)</f>
        <v>26.85</v>
      </c>
      <c r="BI59" s="34" t="n">
        <v>48</v>
      </c>
      <c r="BJ59" s="37" t="n">
        <v>6.2</v>
      </c>
      <c r="BK59" s="37" t="n">
        <f aca="false">AVERAGE(BJ59,BL59)</f>
        <v>42.1</v>
      </c>
      <c r="BL59" s="36" t="n">
        <v>78</v>
      </c>
      <c r="BM59" s="34" t="n">
        <v>1.8</v>
      </c>
      <c r="BN59" s="35" t="n">
        <f aca="false">AVERAGEA(BO59, BM59)</f>
        <v>1.8</v>
      </c>
      <c r="BO59" s="34" t="n">
        <v>1.8</v>
      </c>
      <c r="BP59" s="37" t="n">
        <v>78</v>
      </c>
      <c r="BQ59" s="37" t="n">
        <f aca="false">AVERAGEA(BP59,BR59)</f>
        <v>159</v>
      </c>
      <c r="BR59" s="36" t="n">
        <v>240</v>
      </c>
      <c r="BS59" s="34" t="n">
        <v>2</v>
      </c>
      <c r="BT59" s="35" t="n">
        <f aca="false">AVERAGEA(BS59,BU59)</f>
        <v>3.5</v>
      </c>
      <c r="BU59" s="40" t="n">
        <v>5</v>
      </c>
      <c r="BV59" s="37" t="n">
        <v>5</v>
      </c>
      <c r="BW59" s="37" t="n">
        <f aca="false">AVERAGEA(BV59,BX59)</f>
        <v>8.9</v>
      </c>
      <c r="BX59" s="36" t="n">
        <v>12.8</v>
      </c>
      <c r="BY59" s="34"/>
      <c r="BZ59" s="35" t="e">
        <f aca="false">AVERAGEA(BY59,CA59)</f>
        <v>#DIV/0!</v>
      </c>
      <c r="CA59" s="40"/>
      <c r="CB59" s="37"/>
      <c r="CC59" s="37" t="e">
        <f aca="false">AVERAGEA(CB59,CD59)</f>
        <v>#DIV/0!</v>
      </c>
      <c r="CD59" s="36"/>
      <c r="CE59" s="34"/>
      <c r="CF59" s="35" t="e">
        <f aca="false">AVERAGEA(CE59,CG59)</f>
        <v>#DIV/0!</v>
      </c>
      <c r="CG59" s="40"/>
    </row>
    <row r="60" s="18" customFormat="true" ht="28.35" hidden="false" customHeight="false" outlineLevel="0" collapsed="false">
      <c r="B60" s="19"/>
      <c r="C60" s="32"/>
      <c r="D60" s="42"/>
      <c r="E60" s="41"/>
      <c r="F60" s="32" t="s">
        <v>58</v>
      </c>
      <c r="G60" s="33"/>
      <c r="H60" s="24"/>
      <c r="I60" s="24" t="e">
        <f aca="false">AVERAGE(H60,J60)</f>
        <v>#DIV/0!</v>
      </c>
      <c r="J60" s="24"/>
      <c r="K60" s="34" t="s">
        <v>55</v>
      </c>
      <c r="L60" s="35"/>
      <c r="M60" s="34" t="s">
        <v>55</v>
      </c>
      <c r="N60" s="24" t="n">
        <v>20.4654779973505</v>
      </c>
      <c r="O60" s="24" t="n">
        <f aca="false">AVERAGE(N60,P60)</f>
        <v>23.1612820496938</v>
      </c>
      <c r="P60" s="24" t="n">
        <v>25.857086102037</v>
      </c>
      <c r="Q60" s="34" t="s">
        <v>55</v>
      </c>
      <c r="R60" s="35"/>
      <c r="S60" s="34" t="s">
        <v>55</v>
      </c>
      <c r="T60" s="36" t="s">
        <v>55</v>
      </c>
      <c r="U60" s="37"/>
      <c r="V60" s="36" t="s">
        <v>55</v>
      </c>
      <c r="W60" s="34" t="s">
        <v>55</v>
      </c>
      <c r="X60" s="35"/>
      <c r="Y60" s="34" t="s">
        <v>55</v>
      </c>
      <c r="Z60" s="36" t="s">
        <v>55</v>
      </c>
      <c r="AA60" s="37"/>
      <c r="AB60" s="37" t="s">
        <v>55</v>
      </c>
      <c r="AC60" s="34" t="n">
        <v>85</v>
      </c>
      <c r="AD60" s="35" t="n">
        <f aca="false">AVERAGEA(AE60, AC60)</f>
        <v>90.15</v>
      </c>
      <c r="AE60" s="34" t="n">
        <v>95.3</v>
      </c>
      <c r="AF60" s="37" t="n">
        <v>60</v>
      </c>
      <c r="AG60" s="38" t="n">
        <f aca="false">AVERAGEA(AH60, AF60)</f>
        <v>40</v>
      </c>
      <c r="AH60" s="36" t="n">
        <v>20</v>
      </c>
      <c r="AI60" s="34" t="n">
        <v>0.58</v>
      </c>
      <c r="AJ60" s="39" t="n">
        <f aca="false">AVERAGEA(AK60, AI60)</f>
        <v>3.29</v>
      </c>
      <c r="AK60" s="35" t="n">
        <v>6</v>
      </c>
      <c r="AL60" s="37" t="n">
        <v>0.58</v>
      </c>
      <c r="AM60" s="38" t="n">
        <f aca="false">AVERAGEA(AN60, AL60)</f>
        <v>3.29</v>
      </c>
      <c r="AN60" s="37" t="n">
        <v>6</v>
      </c>
      <c r="AO60" s="35" t="n">
        <v>3</v>
      </c>
      <c r="AP60" s="35" t="n">
        <f aca="false">AVERAGEA(AQ60, AO60)</f>
        <v>6.5</v>
      </c>
      <c r="AQ60" s="35" t="n">
        <v>10</v>
      </c>
      <c r="AR60" s="37" t="n">
        <v>6</v>
      </c>
      <c r="AS60" s="38" t="n">
        <f aca="false">AVERAGEA(AT60, AR60)</f>
        <v>8</v>
      </c>
      <c r="AT60" s="37" t="n">
        <v>10</v>
      </c>
      <c r="AU60" s="35" t="n">
        <v>998</v>
      </c>
      <c r="AV60" s="39" t="n">
        <f aca="false">AVERAGEA(AW60, AU60)</f>
        <v>1839</v>
      </c>
      <c r="AW60" s="35" t="n">
        <v>2680</v>
      </c>
      <c r="AX60" s="37" t="n">
        <v>26.6</v>
      </c>
      <c r="AY60" s="37" t="n">
        <f aca="false">AVERAGEA(AZ60, AX60)</f>
        <v>31.8</v>
      </c>
      <c r="AZ60" s="36" t="n">
        <v>37</v>
      </c>
      <c r="BA60" s="34" t="n">
        <v>2.6</v>
      </c>
      <c r="BB60" s="35" t="n">
        <f aca="false">AVERAGEA(BC60, BA60)</f>
        <v>6.55</v>
      </c>
      <c r="BC60" s="34" t="n">
        <v>10.5</v>
      </c>
      <c r="BD60" s="37" t="n">
        <v>3.56</v>
      </c>
      <c r="BE60" s="37" t="n">
        <f aca="false">AVERAGE(BD60,BF60)</f>
        <v>22.03</v>
      </c>
      <c r="BF60" s="36" t="n">
        <v>40.5</v>
      </c>
      <c r="BG60" s="34" t="n">
        <v>5.7</v>
      </c>
      <c r="BH60" s="35" t="n">
        <f aca="false">AVERAGE(BG60,BI60)</f>
        <v>26.85</v>
      </c>
      <c r="BI60" s="34" t="n">
        <v>48</v>
      </c>
      <c r="BJ60" s="37" t="n">
        <v>6.2</v>
      </c>
      <c r="BK60" s="37" t="n">
        <f aca="false">AVERAGE(BJ60,BL60)</f>
        <v>42.1</v>
      </c>
      <c r="BL60" s="36" t="n">
        <v>78</v>
      </c>
      <c r="BM60" s="34" t="n">
        <v>1.8</v>
      </c>
      <c r="BN60" s="35" t="n">
        <f aca="false">AVERAGEA(BO60, BM60)</f>
        <v>1.8</v>
      </c>
      <c r="BO60" s="34" t="n">
        <v>1.8</v>
      </c>
      <c r="BP60" s="37" t="n">
        <v>78</v>
      </c>
      <c r="BQ60" s="37" t="n">
        <f aca="false">AVERAGEA(BP60,BR60)</f>
        <v>159</v>
      </c>
      <c r="BR60" s="36" t="n">
        <v>240</v>
      </c>
      <c r="BS60" s="34" t="n">
        <v>2</v>
      </c>
      <c r="BT60" s="35" t="n">
        <f aca="false">AVERAGEA(BS60,BU60)</f>
        <v>3.5</v>
      </c>
      <c r="BU60" s="40" t="n">
        <v>5</v>
      </c>
      <c r="BV60" s="37" t="n">
        <v>5</v>
      </c>
      <c r="BW60" s="37" t="n">
        <f aca="false">AVERAGEA(BV60,BX60)</f>
        <v>8.9</v>
      </c>
      <c r="BX60" s="36" t="n">
        <v>12.8</v>
      </c>
      <c r="BY60" s="34"/>
      <c r="BZ60" s="35" t="e">
        <f aca="false">AVERAGEA(BY60,CA60)</f>
        <v>#DIV/0!</v>
      </c>
      <c r="CA60" s="40"/>
      <c r="CB60" s="37"/>
      <c r="CC60" s="37" t="e">
        <f aca="false">AVERAGEA(CB60,CD60)</f>
        <v>#DIV/0!</v>
      </c>
      <c r="CD60" s="36"/>
      <c r="CE60" s="34"/>
      <c r="CF60" s="35" t="e">
        <f aca="false">AVERAGEA(CE60,CG60)</f>
        <v>#DIV/0!</v>
      </c>
      <c r="CG60" s="40"/>
    </row>
    <row r="61" s="18" customFormat="true" ht="26.4" hidden="false" customHeight="true" outlineLevel="0" collapsed="false">
      <c r="B61" s="19"/>
      <c r="C61" s="32" t="s">
        <v>66</v>
      </c>
      <c r="D61" s="42" t="s">
        <v>63</v>
      </c>
      <c r="E61" s="41" t="s">
        <v>53</v>
      </c>
      <c r="F61" s="32" t="s">
        <v>54</v>
      </c>
      <c r="G61" s="33"/>
      <c r="H61" s="24"/>
      <c r="I61" s="24" t="e">
        <f aca="false">AVERAGE(H61,J61)</f>
        <v>#DIV/0!</v>
      </c>
      <c r="J61" s="24"/>
      <c r="K61" s="34" t="s">
        <v>55</v>
      </c>
      <c r="L61" s="35"/>
      <c r="M61" s="34" t="s">
        <v>55</v>
      </c>
      <c r="N61" s="24" t="n">
        <v>40.8658372144628</v>
      </c>
      <c r="O61" s="24" t="n">
        <f aca="false">AVERAGE(N61,P61)</f>
        <v>42.0852097252407</v>
      </c>
      <c r="P61" s="24" t="n">
        <v>43.3045822360186</v>
      </c>
      <c r="Q61" s="34" t="s">
        <v>55</v>
      </c>
      <c r="R61" s="35"/>
      <c r="S61" s="34" t="s">
        <v>55</v>
      </c>
      <c r="T61" s="36" t="s">
        <v>55</v>
      </c>
      <c r="U61" s="37"/>
      <c r="V61" s="36" t="s">
        <v>55</v>
      </c>
      <c r="W61" s="34" t="s">
        <v>55</v>
      </c>
      <c r="X61" s="35"/>
      <c r="Y61" s="34" t="s">
        <v>55</v>
      </c>
      <c r="Z61" s="36" t="s">
        <v>55</v>
      </c>
      <c r="AA61" s="37"/>
      <c r="AB61" s="37" t="s">
        <v>55</v>
      </c>
      <c r="AC61" s="34" t="n">
        <v>85</v>
      </c>
      <c r="AD61" s="35" t="n">
        <f aca="false">AVERAGEA(AE61, AC61)</f>
        <v>90.15</v>
      </c>
      <c r="AE61" s="34" t="n">
        <v>95.3</v>
      </c>
      <c r="AF61" s="37" t="n">
        <v>60</v>
      </c>
      <c r="AG61" s="38" t="n">
        <f aca="false">AVERAGEA(AH61, AF61)</f>
        <v>40</v>
      </c>
      <c r="AH61" s="36" t="n">
        <v>20</v>
      </c>
      <c r="AI61" s="34" t="n">
        <v>0.58</v>
      </c>
      <c r="AJ61" s="39" t="n">
        <f aca="false">AVERAGEA(AK61, AI61)</f>
        <v>3.29</v>
      </c>
      <c r="AK61" s="35" t="n">
        <v>6</v>
      </c>
      <c r="AL61" s="37" t="n">
        <v>0.58</v>
      </c>
      <c r="AM61" s="38" t="n">
        <f aca="false">AVERAGEA(AN61, AL61)</f>
        <v>3.29</v>
      </c>
      <c r="AN61" s="37" t="n">
        <v>6</v>
      </c>
      <c r="AO61" s="35" t="n">
        <v>3</v>
      </c>
      <c r="AP61" s="35" t="n">
        <f aca="false">AVERAGEA(AQ61, AO61)</f>
        <v>6.5</v>
      </c>
      <c r="AQ61" s="35" t="n">
        <v>10</v>
      </c>
      <c r="AR61" s="37" t="n">
        <v>1.5</v>
      </c>
      <c r="AS61" s="38" t="n">
        <f aca="false">AVERAGEA(AT61, AR61)</f>
        <v>2.25</v>
      </c>
      <c r="AT61" s="37" t="n">
        <v>3</v>
      </c>
      <c r="AU61" s="35" t="n">
        <v>998</v>
      </c>
      <c r="AV61" s="39" t="n">
        <f aca="false">AVERAGEA(AW61, AU61)</f>
        <v>1839</v>
      </c>
      <c r="AW61" s="35" t="n">
        <v>2680</v>
      </c>
      <c r="AX61" s="37" t="n">
        <v>26.6</v>
      </c>
      <c r="AY61" s="37" t="n">
        <f aca="false">AVERAGEA(AZ61, AX61)</f>
        <v>31.8</v>
      </c>
      <c r="AZ61" s="36" t="n">
        <v>37</v>
      </c>
      <c r="BA61" s="34" t="n">
        <v>2.6</v>
      </c>
      <c r="BB61" s="35" t="n">
        <f aca="false">AVERAGEA(BC61, BA61)</f>
        <v>6.55</v>
      </c>
      <c r="BC61" s="34" t="n">
        <v>10.5</v>
      </c>
      <c r="BD61" s="37" t="n">
        <v>3.56</v>
      </c>
      <c r="BE61" s="37" t="n">
        <f aca="false">AVERAGE(BD61,BF61)</f>
        <v>22.03</v>
      </c>
      <c r="BF61" s="36" t="n">
        <v>40.5</v>
      </c>
      <c r="BG61" s="34" t="n">
        <v>5.7</v>
      </c>
      <c r="BH61" s="35" t="n">
        <f aca="false">AVERAGE(BG61,BI61)</f>
        <v>26.85</v>
      </c>
      <c r="BI61" s="34" t="n">
        <v>48</v>
      </c>
      <c r="BJ61" s="37" t="n">
        <v>6.2</v>
      </c>
      <c r="BK61" s="37" t="n">
        <f aca="false">AVERAGE(BJ61,BL61)</f>
        <v>42.1</v>
      </c>
      <c r="BL61" s="36" t="n">
        <v>78</v>
      </c>
      <c r="BM61" s="34" t="n">
        <v>1.8</v>
      </c>
      <c r="BN61" s="35" t="n">
        <f aca="false">AVERAGEA(BO61, BM61)</f>
        <v>1.8</v>
      </c>
      <c r="BO61" s="34" t="n">
        <v>1.8</v>
      </c>
      <c r="BP61" s="37" t="n">
        <v>78</v>
      </c>
      <c r="BQ61" s="37" t="n">
        <f aca="false">AVERAGEA(BP61,BR61)</f>
        <v>159</v>
      </c>
      <c r="BR61" s="36" t="n">
        <v>240</v>
      </c>
      <c r="BS61" s="34" t="n">
        <v>2</v>
      </c>
      <c r="BT61" s="35" t="n">
        <f aca="false">AVERAGEA(BS61,BU61)</f>
        <v>3.5</v>
      </c>
      <c r="BU61" s="40" t="n">
        <v>5</v>
      </c>
      <c r="BV61" s="37" t="n">
        <v>5</v>
      </c>
      <c r="BW61" s="37" t="n">
        <f aca="false">AVERAGEA(BV61,BX61)</f>
        <v>8.9</v>
      </c>
      <c r="BX61" s="36" t="n">
        <v>12.8</v>
      </c>
      <c r="BY61" s="34"/>
      <c r="BZ61" s="35" t="e">
        <f aca="false">AVERAGEA(BY61,CA61)</f>
        <v>#DIV/0!</v>
      </c>
      <c r="CA61" s="40"/>
      <c r="CB61" s="37"/>
      <c r="CC61" s="37" t="e">
        <f aca="false">AVERAGEA(CB61,CD61)</f>
        <v>#DIV/0!</v>
      </c>
      <c r="CD61" s="36"/>
      <c r="CE61" s="34"/>
      <c r="CF61" s="35" t="e">
        <f aca="false">AVERAGEA(CE61,CG61)</f>
        <v>#DIV/0!</v>
      </c>
      <c r="CG61" s="40"/>
    </row>
    <row r="62" s="18" customFormat="true" ht="28.35" hidden="false" customHeight="false" outlineLevel="0" collapsed="false">
      <c r="B62" s="19"/>
      <c r="C62" s="32"/>
      <c r="D62" s="42"/>
      <c r="E62" s="41"/>
      <c r="F62" s="32" t="s">
        <v>56</v>
      </c>
      <c r="G62" s="33"/>
      <c r="H62" s="24"/>
      <c r="I62" s="24" t="e">
        <f aca="false">AVERAGE(H62,J62)</f>
        <v>#DIV/0!</v>
      </c>
      <c r="J62" s="24"/>
      <c r="K62" s="34" t="s">
        <v>55</v>
      </c>
      <c r="L62" s="35"/>
      <c r="M62" s="34" t="s">
        <v>55</v>
      </c>
      <c r="N62" s="24" t="n">
        <v>37.9161475741639</v>
      </c>
      <c r="O62" s="24" t="n">
        <f aca="false">AVERAGE(N62,P62)</f>
        <v>39.3872285091875</v>
      </c>
      <c r="P62" s="24" t="n">
        <v>40.8583094442112</v>
      </c>
      <c r="Q62" s="34" t="s">
        <v>55</v>
      </c>
      <c r="R62" s="35"/>
      <c r="S62" s="34" t="s">
        <v>55</v>
      </c>
      <c r="T62" s="36" t="s">
        <v>55</v>
      </c>
      <c r="U62" s="37"/>
      <c r="V62" s="36" t="s">
        <v>55</v>
      </c>
      <c r="W62" s="34" t="s">
        <v>55</v>
      </c>
      <c r="X62" s="35"/>
      <c r="Y62" s="34" t="s">
        <v>55</v>
      </c>
      <c r="Z62" s="36" t="s">
        <v>55</v>
      </c>
      <c r="AA62" s="37"/>
      <c r="AB62" s="37" t="s">
        <v>55</v>
      </c>
      <c r="AC62" s="34" t="n">
        <v>85</v>
      </c>
      <c r="AD62" s="35" t="n">
        <f aca="false">AVERAGEA(AE62, AC62)</f>
        <v>90.15</v>
      </c>
      <c r="AE62" s="34" t="n">
        <v>95.3</v>
      </c>
      <c r="AF62" s="37" t="n">
        <v>60</v>
      </c>
      <c r="AG62" s="38" t="n">
        <f aca="false">AVERAGEA(AH62, AF62)</f>
        <v>40</v>
      </c>
      <c r="AH62" s="36" t="n">
        <v>20</v>
      </c>
      <c r="AI62" s="34" t="n">
        <v>0.58</v>
      </c>
      <c r="AJ62" s="39" t="n">
        <f aca="false">AVERAGEA(AK62, AI62)</f>
        <v>3.29</v>
      </c>
      <c r="AK62" s="35" t="n">
        <v>6</v>
      </c>
      <c r="AL62" s="37" t="n">
        <v>0.58</v>
      </c>
      <c r="AM62" s="38" t="n">
        <f aca="false">AVERAGEA(AN62, AL62)</f>
        <v>3.29</v>
      </c>
      <c r="AN62" s="37" t="n">
        <v>6</v>
      </c>
      <c r="AO62" s="35" t="n">
        <v>3</v>
      </c>
      <c r="AP62" s="35" t="n">
        <f aca="false">AVERAGEA(AQ62, AO62)</f>
        <v>6.5</v>
      </c>
      <c r="AQ62" s="35" t="n">
        <v>10</v>
      </c>
      <c r="AR62" s="37" t="n">
        <v>1.5</v>
      </c>
      <c r="AS62" s="38" t="n">
        <f aca="false">AVERAGEA(AT62, AR62)</f>
        <v>2.25</v>
      </c>
      <c r="AT62" s="37" t="n">
        <v>3</v>
      </c>
      <c r="AU62" s="35" t="n">
        <v>998</v>
      </c>
      <c r="AV62" s="39" t="n">
        <f aca="false">AVERAGEA(AW62, AU62)</f>
        <v>1839</v>
      </c>
      <c r="AW62" s="35" t="n">
        <v>2680</v>
      </c>
      <c r="AX62" s="37" t="n">
        <v>26.6</v>
      </c>
      <c r="AY62" s="37" t="n">
        <f aca="false">AVERAGEA(AZ62, AX62)</f>
        <v>31.8</v>
      </c>
      <c r="AZ62" s="36" t="n">
        <v>37</v>
      </c>
      <c r="BA62" s="34" t="n">
        <v>2.6</v>
      </c>
      <c r="BB62" s="35" t="n">
        <f aca="false">AVERAGEA(BC62, BA62)</f>
        <v>6.55</v>
      </c>
      <c r="BC62" s="34" t="n">
        <v>10.5</v>
      </c>
      <c r="BD62" s="37" t="n">
        <v>3.56</v>
      </c>
      <c r="BE62" s="37" t="n">
        <f aca="false">AVERAGE(BD62,BF62)</f>
        <v>22.03</v>
      </c>
      <c r="BF62" s="36" t="n">
        <v>40.5</v>
      </c>
      <c r="BG62" s="34" t="n">
        <v>5.7</v>
      </c>
      <c r="BH62" s="35" t="n">
        <f aca="false">AVERAGE(BG62,BI62)</f>
        <v>26.85</v>
      </c>
      <c r="BI62" s="34" t="n">
        <v>48</v>
      </c>
      <c r="BJ62" s="37" t="n">
        <v>6.2</v>
      </c>
      <c r="BK62" s="37" t="n">
        <f aca="false">AVERAGE(BJ62,BL62)</f>
        <v>42.1</v>
      </c>
      <c r="BL62" s="36" t="n">
        <v>78</v>
      </c>
      <c r="BM62" s="34" t="n">
        <v>1.8</v>
      </c>
      <c r="BN62" s="35" t="n">
        <f aca="false">AVERAGEA(BO62, BM62)</f>
        <v>1.8</v>
      </c>
      <c r="BO62" s="34" t="n">
        <v>1.8</v>
      </c>
      <c r="BP62" s="37" t="n">
        <v>78</v>
      </c>
      <c r="BQ62" s="37" t="n">
        <f aca="false">AVERAGEA(BP62,BR62)</f>
        <v>159</v>
      </c>
      <c r="BR62" s="36" t="n">
        <v>240</v>
      </c>
      <c r="BS62" s="34" t="n">
        <v>2</v>
      </c>
      <c r="BT62" s="35" t="n">
        <f aca="false">AVERAGEA(BS62,BU62)</f>
        <v>3.5</v>
      </c>
      <c r="BU62" s="40" t="n">
        <v>5</v>
      </c>
      <c r="BV62" s="37" t="n">
        <v>5</v>
      </c>
      <c r="BW62" s="37" t="n">
        <f aca="false">AVERAGEA(BV62,BX62)</f>
        <v>8.9</v>
      </c>
      <c r="BX62" s="36" t="n">
        <v>12.8</v>
      </c>
      <c r="BY62" s="34"/>
      <c r="BZ62" s="35" t="e">
        <f aca="false">AVERAGEA(BY62,CA62)</f>
        <v>#DIV/0!</v>
      </c>
      <c r="CA62" s="40"/>
      <c r="CB62" s="37"/>
      <c r="CC62" s="37" t="e">
        <f aca="false">AVERAGEA(CB62,CD62)</f>
        <v>#DIV/0!</v>
      </c>
      <c r="CD62" s="36"/>
      <c r="CE62" s="34"/>
      <c r="CF62" s="35" t="e">
        <f aca="false">AVERAGEA(CE62,CG62)</f>
        <v>#DIV/0!</v>
      </c>
      <c r="CG62" s="40"/>
    </row>
    <row r="63" s="18" customFormat="true" ht="28.35" hidden="false" customHeight="false" outlineLevel="0" collapsed="false">
      <c r="B63" s="19"/>
      <c r="C63" s="32"/>
      <c r="D63" s="42"/>
      <c r="E63" s="41"/>
      <c r="F63" s="32" t="s">
        <v>57</v>
      </c>
      <c r="G63" s="33"/>
      <c r="H63" s="24"/>
      <c r="I63" s="24" t="e">
        <f aca="false">AVERAGE(H63,J63)</f>
        <v>#DIV/0!</v>
      </c>
      <c r="J63" s="24"/>
      <c r="K63" s="34" t="s">
        <v>55</v>
      </c>
      <c r="L63" s="35"/>
      <c r="M63" s="34" t="s">
        <v>55</v>
      </c>
      <c r="N63" s="24" t="n">
        <v>28.9069541541286</v>
      </c>
      <c r="O63" s="24" t="n">
        <f aca="false">AVERAGE(N63,P63)</f>
        <v>33.4014928244865</v>
      </c>
      <c r="P63" s="24" t="n">
        <v>37.8960314948443</v>
      </c>
      <c r="Q63" s="34" t="s">
        <v>55</v>
      </c>
      <c r="R63" s="35"/>
      <c r="S63" s="34" t="s">
        <v>55</v>
      </c>
      <c r="T63" s="36" t="s">
        <v>55</v>
      </c>
      <c r="U63" s="37"/>
      <c r="V63" s="36" t="s">
        <v>55</v>
      </c>
      <c r="W63" s="34" t="s">
        <v>55</v>
      </c>
      <c r="X63" s="35"/>
      <c r="Y63" s="34" t="s">
        <v>55</v>
      </c>
      <c r="Z63" s="36" t="s">
        <v>55</v>
      </c>
      <c r="AA63" s="37"/>
      <c r="AB63" s="37" t="s">
        <v>55</v>
      </c>
      <c r="AC63" s="34" t="n">
        <v>85</v>
      </c>
      <c r="AD63" s="35" t="n">
        <f aca="false">AVERAGEA(AE63, AC63)</f>
        <v>90.15</v>
      </c>
      <c r="AE63" s="34" t="n">
        <v>95.3</v>
      </c>
      <c r="AF63" s="37" t="n">
        <v>60</v>
      </c>
      <c r="AG63" s="38" t="n">
        <f aca="false">AVERAGEA(AH63, AF63)</f>
        <v>40</v>
      </c>
      <c r="AH63" s="36" t="n">
        <v>20</v>
      </c>
      <c r="AI63" s="34" t="n">
        <v>0.58</v>
      </c>
      <c r="AJ63" s="39" t="n">
        <f aca="false">AVERAGEA(AK63, AI63)</f>
        <v>3.29</v>
      </c>
      <c r="AK63" s="35" t="n">
        <v>6</v>
      </c>
      <c r="AL63" s="37" t="n">
        <v>0.58</v>
      </c>
      <c r="AM63" s="38" t="n">
        <f aca="false">AVERAGEA(AN63, AL63)</f>
        <v>3.29</v>
      </c>
      <c r="AN63" s="37" t="n">
        <v>6</v>
      </c>
      <c r="AO63" s="35" t="n">
        <v>3</v>
      </c>
      <c r="AP63" s="35" t="n">
        <f aca="false">AVERAGEA(AQ63, AO63)</f>
        <v>6.5</v>
      </c>
      <c r="AQ63" s="35" t="n">
        <v>10</v>
      </c>
      <c r="AR63" s="37" t="n">
        <v>1.5</v>
      </c>
      <c r="AS63" s="38" t="n">
        <f aca="false">AVERAGEA(AT63, AR63)</f>
        <v>2.25</v>
      </c>
      <c r="AT63" s="37" t="n">
        <v>3</v>
      </c>
      <c r="AU63" s="35" t="n">
        <v>998</v>
      </c>
      <c r="AV63" s="39" t="n">
        <f aca="false">AVERAGEA(AW63, AU63)</f>
        <v>1839</v>
      </c>
      <c r="AW63" s="35" t="n">
        <v>2680</v>
      </c>
      <c r="AX63" s="37" t="n">
        <v>26.6</v>
      </c>
      <c r="AY63" s="37" t="n">
        <f aca="false">AVERAGEA(AZ63, AX63)</f>
        <v>31.8</v>
      </c>
      <c r="AZ63" s="36" t="n">
        <v>37</v>
      </c>
      <c r="BA63" s="34" t="n">
        <v>2.6</v>
      </c>
      <c r="BB63" s="35" t="n">
        <f aca="false">AVERAGEA(BC63, BA63)</f>
        <v>6.55</v>
      </c>
      <c r="BC63" s="34" t="n">
        <v>10.5</v>
      </c>
      <c r="BD63" s="37" t="n">
        <v>3.56</v>
      </c>
      <c r="BE63" s="37" t="n">
        <f aca="false">AVERAGE(BD63,BF63)</f>
        <v>22.03</v>
      </c>
      <c r="BF63" s="36" t="n">
        <v>40.5</v>
      </c>
      <c r="BG63" s="34" t="n">
        <v>5.7</v>
      </c>
      <c r="BH63" s="35" t="n">
        <f aca="false">AVERAGE(BG63,BI63)</f>
        <v>26.85</v>
      </c>
      <c r="BI63" s="34" t="n">
        <v>48</v>
      </c>
      <c r="BJ63" s="37" t="n">
        <v>6.2</v>
      </c>
      <c r="BK63" s="37" t="n">
        <f aca="false">AVERAGE(BJ63,BL63)</f>
        <v>42.1</v>
      </c>
      <c r="BL63" s="36" t="n">
        <v>78</v>
      </c>
      <c r="BM63" s="34" t="n">
        <v>1.8</v>
      </c>
      <c r="BN63" s="35" t="n">
        <f aca="false">AVERAGEA(BO63, BM63)</f>
        <v>1.8</v>
      </c>
      <c r="BO63" s="34" t="n">
        <v>1.8</v>
      </c>
      <c r="BP63" s="37" t="n">
        <v>78</v>
      </c>
      <c r="BQ63" s="37" t="n">
        <f aca="false">AVERAGEA(BP63,BR63)</f>
        <v>159</v>
      </c>
      <c r="BR63" s="36" t="n">
        <v>240</v>
      </c>
      <c r="BS63" s="34" t="n">
        <v>2</v>
      </c>
      <c r="BT63" s="35" t="n">
        <f aca="false">AVERAGEA(BS63,BU63)</f>
        <v>3.5</v>
      </c>
      <c r="BU63" s="40" t="n">
        <v>5</v>
      </c>
      <c r="BV63" s="37" t="n">
        <v>5</v>
      </c>
      <c r="BW63" s="37" t="n">
        <f aca="false">AVERAGEA(BV63,BX63)</f>
        <v>8.9</v>
      </c>
      <c r="BX63" s="36" t="n">
        <v>12.8</v>
      </c>
      <c r="BY63" s="34"/>
      <c r="BZ63" s="35" t="e">
        <f aca="false">AVERAGEA(BY63,CA63)</f>
        <v>#DIV/0!</v>
      </c>
      <c r="CA63" s="40"/>
      <c r="CB63" s="37"/>
      <c r="CC63" s="37" t="e">
        <f aca="false">AVERAGEA(CB63,CD63)</f>
        <v>#DIV/0!</v>
      </c>
      <c r="CD63" s="36"/>
      <c r="CE63" s="34"/>
      <c r="CF63" s="35" t="e">
        <f aca="false">AVERAGEA(CE63,CG63)</f>
        <v>#DIV/0!</v>
      </c>
      <c r="CG63" s="40"/>
    </row>
    <row r="64" s="18" customFormat="true" ht="28.35" hidden="false" customHeight="false" outlineLevel="0" collapsed="false">
      <c r="B64" s="19"/>
      <c r="C64" s="32"/>
      <c r="D64" s="42"/>
      <c r="E64" s="41"/>
      <c r="F64" s="32" t="s">
        <v>58</v>
      </c>
      <c r="G64" s="33"/>
      <c r="H64" s="24"/>
      <c r="I64" s="24" t="e">
        <f aca="false">AVERAGE(H64,J64)</f>
        <v>#DIV/0!</v>
      </c>
      <c r="J64" s="24"/>
      <c r="K64" s="34" t="s">
        <v>55</v>
      </c>
      <c r="L64" s="35"/>
      <c r="M64" s="34" t="s">
        <v>55</v>
      </c>
      <c r="N64" s="24" t="n">
        <v>22.8474503743923</v>
      </c>
      <c r="O64" s="24" t="n">
        <f aca="false">AVERAGE(N64,P64)</f>
        <v>25.8570184535239</v>
      </c>
      <c r="P64" s="24" t="n">
        <v>28.8665865326556</v>
      </c>
      <c r="Q64" s="34" t="s">
        <v>55</v>
      </c>
      <c r="R64" s="35"/>
      <c r="S64" s="34" t="s">
        <v>55</v>
      </c>
      <c r="T64" s="36" t="s">
        <v>55</v>
      </c>
      <c r="U64" s="37"/>
      <c r="V64" s="36" t="s">
        <v>55</v>
      </c>
      <c r="W64" s="34" t="s">
        <v>55</v>
      </c>
      <c r="X64" s="35"/>
      <c r="Y64" s="34" t="s">
        <v>55</v>
      </c>
      <c r="Z64" s="36" t="s">
        <v>55</v>
      </c>
      <c r="AA64" s="37"/>
      <c r="AB64" s="37" t="s">
        <v>55</v>
      </c>
      <c r="AC64" s="34" t="n">
        <v>85</v>
      </c>
      <c r="AD64" s="35" t="n">
        <f aca="false">AVERAGEA(AE64, AC64)</f>
        <v>90.15</v>
      </c>
      <c r="AE64" s="34" t="n">
        <v>95.3</v>
      </c>
      <c r="AF64" s="37" t="n">
        <v>60</v>
      </c>
      <c r="AG64" s="38" t="n">
        <f aca="false">AVERAGEA(AH64, AF64)</f>
        <v>40</v>
      </c>
      <c r="AH64" s="36" t="n">
        <v>20</v>
      </c>
      <c r="AI64" s="34" t="n">
        <v>0.58</v>
      </c>
      <c r="AJ64" s="39" t="n">
        <f aca="false">AVERAGEA(AK64, AI64)</f>
        <v>3.29</v>
      </c>
      <c r="AK64" s="35" t="n">
        <v>6</v>
      </c>
      <c r="AL64" s="37" t="n">
        <v>0.58</v>
      </c>
      <c r="AM64" s="38" t="n">
        <f aca="false">AVERAGEA(AN64, AL64)</f>
        <v>3.29</v>
      </c>
      <c r="AN64" s="37" t="n">
        <v>6</v>
      </c>
      <c r="AO64" s="35" t="n">
        <v>3</v>
      </c>
      <c r="AP64" s="35" t="n">
        <f aca="false">AVERAGEA(AQ64, AO64)</f>
        <v>6.5</v>
      </c>
      <c r="AQ64" s="35" t="n">
        <v>10</v>
      </c>
      <c r="AR64" s="37" t="n">
        <v>1.5</v>
      </c>
      <c r="AS64" s="38" t="n">
        <f aca="false">AVERAGEA(AT64, AR64)</f>
        <v>2.25</v>
      </c>
      <c r="AT64" s="37" t="n">
        <v>3</v>
      </c>
      <c r="AU64" s="35" t="n">
        <v>998</v>
      </c>
      <c r="AV64" s="39" t="n">
        <f aca="false">AVERAGEA(AW64, AU64)</f>
        <v>1839</v>
      </c>
      <c r="AW64" s="35" t="n">
        <v>2680</v>
      </c>
      <c r="AX64" s="37" t="n">
        <v>26.6</v>
      </c>
      <c r="AY64" s="37" t="n">
        <f aca="false">AVERAGEA(AZ64, AX64)</f>
        <v>31.8</v>
      </c>
      <c r="AZ64" s="36" t="n">
        <v>37</v>
      </c>
      <c r="BA64" s="34" t="n">
        <v>2.6</v>
      </c>
      <c r="BB64" s="35" t="n">
        <f aca="false">AVERAGEA(BC64, BA64)</f>
        <v>6.55</v>
      </c>
      <c r="BC64" s="34" t="n">
        <v>10.5</v>
      </c>
      <c r="BD64" s="37" t="n">
        <v>3.56</v>
      </c>
      <c r="BE64" s="37" t="n">
        <f aca="false">AVERAGE(BD64,BF64)</f>
        <v>22.03</v>
      </c>
      <c r="BF64" s="36" t="n">
        <v>40.5</v>
      </c>
      <c r="BG64" s="34" t="n">
        <v>5.7</v>
      </c>
      <c r="BH64" s="35" t="n">
        <f aca="false">AVERAGE(BG64,BI64)</f>
        <v>26.85</v>
      </c>
      <c r="BI64" s="34" t="n">
        <v>48</v>
      </c>
      <c r="BJ64" s="37" t="n">
        <v>6.2</v>
      </c>
      <c r="BK64" s="37" t="n">
        <f aca="false">AVERAGE(BJ64,BL64)</f>
        <v>42.1</v>
      </c>
      <c r="BL64" s="36" t="n">
        <v>78</v>
      </c>
      <c r="BM64" s="34" t="n">
        <v>1.8</v>
      </c>
      <c r="BN64" s="35" t="n">
        <f aca="false">AVERAGEA(BO64, BM64)</f>
        <v>1.8</v>
      </c>
      <c r="BO64" s="34" t="n">
        <v>1.8</v>
      </c>
      <c r="BP64" s="37" t="n">
        <v>78</v>
      </c>
      <c r="BQ64" s="37" t="n">
        <f aca="false">AVERAGEA(BP64,BR64)</f>
        <v>159</v>
      </c>
      <c r="BR64" s="36" t="n">
        <v>240</v>
      </c>
      <c r="BS64" s="34" t="n">
        <v>2</v>
      </c>
      <c r="BT64" s="35" t="n">
        <f aca="false">AVERAGEA(BS64,BU64)</f>
        <v>3.5</v>
      </c>
      <c r="BU64" s="40" t="n">
        <v>5</v>
      </c>
      <c r="BV64" s="37" t="n">
        <v>5</v>
      </c>
      <c r="BW64" s="37" t="n">
        <f aca="false">AVERAGEA(BV64,BX64)</f>
        <v>8.9</v>
      </c>
      <c r="BX64" s="36" t="n">
        <v>12.8</v>
      </c>
      <c r="BY64" s="34"/>
      <c r="BZ64" s="35" t="e">
        <f aca="false">AVERAGEA(BY64,CA64)</f>
        <v>#DIV/0!</v>
      </c>
      <c r="CA64" s="40"/>
      <c r="CB64" s="37"/>
      <c r="CC64" s="37" t="e">
        <f aca="false">AVERAGEA(CB64,CD64)</f>
        <v>#DIV/0!</v>
      </c>
      <c r="CD64" s="36"/>
      <c r="CE64" s="34"/>
      <c r="CF64" s="35" t="e">
        <f aca="false">AVERAGEA(CE64,CG64)</f>
        <v>#DIV/0!</v>
      </c>
      <c r="CG64" s="40"/>
    </row>
    <row r="65" s="18" customFormat="true" ht="26.4" hidden="false" customHeight="true" outlineLevel="0" collapsed="false">
      <c r="B65" s="19"/>
      <c r="C65" s="32"/>
      <c r="D65" s="42"/>
      <c r="E65" s="41" t="s">
        <v>64</v>
      </c>
      <c r="F65" s="32" t="s">
        <v>54</v>
      </c>
      <c r="G65" s="33"/>
      <c r="H65" s="24"/>
      <c r="I65" s="24" t="e">
        <f aca="false">AVERAGE(H65,J65)</f>
        <v>#DIV/0!</v>
      </c>
      <c r="J65" s="24"/>
      <c r="K65" s="34" t="s">
        <v>55</v>
      </c>
      <c r="L65" s="35"/>
      <c r="M65" s="34" t="s">
        <v>55</v>
      </c>
      <c r="N65" s="24" t="n">
        <v>40.3631267360302</v>
      </c>
      <c r="O65" s="24" t="n">
        <f aca="false">AVERAGE(N65,P65)</f>
        <v>41.5674991543087</v>
      </c>
      <c r="P65" s="24" t="n">
        <v>42.7718715725873</v>
      </c>
      <c r="Q65" s="34" t="s">
        <v>55</v>
      </c>
      <c r="R65" s="35"/>
      <c r="S65" s="34" t="s">
        <v>55</v>
      </c>
      <c r="T65" s="36" t="s">
        <v>55</v>
      </c>
      <c r="U65" s="37"/>
      <c r="V65" s="36" t="s">
        <v>55</v>
      </c>
      <c r="W65" s="34" t="s">
        <v>55</v>
      </c>
      <c r="X65" s="35"/>
      <c r="Y65" s="34" t="s">
        <v>55</v>
      </c>
      <c r="Z65" s="36" t="s">
        <v>55</v>
      </c>
      <c r="AA65" s="37"/>
      <c r="AB65" s="37" t="s">
        <v>55</v>
      </c>
      <c r="AC65" s="34" t="n">
        <v>85</v>
      </c>
      <c r="AD65" s="35" t="n">
        <f aca="false">AVERAGEA(AE65, AC65)</f>
        <v>90.15</v>
      </c>
      <c r="AE65" s="34" t="n">
        <v>95.3</v>
      </c>
      <c r="AF65" s="37" t="n">
        <v>60</v>
      </c>
      <c r="AG65" s="38" t="n">
        <f aca="false">AVERAGEA(AH65, AF65)</f>
        <v>40</v>
      </c>
      <c r="AH65" s="36" t="n">
        <v>20</v>
      </c>
      <c r="AI65" s="34" t="n">
        <v>0.58</v>
      </c>
      <c r="AJ65" s="39" t="n">
        <f aca="false">AVERAGEA(AK65, AI65)</f>
        <v>3.29</v>
      </c>
      <c r="AK65" s="35" t="n">
        <v>6</v>
      </c>
      <c r="AL65" s="37" t="n">
        <v>0.58</v>
      </c>
      <c r="AM65" s="38" t="n">
        <f aca="false">AVERAGEA(AN65, AL65)</f>
        <v>3.29</v>
      </c>
      <c r="AN65" s="37" t="n">
        <v>6</v>
      </c>
      <c r="AO65" s="35" t="n">
        <v>3</v>
      </c>
      <c r="AP65" s="35" t="n">
        <f aca="false">AVERAGEA(AQ65, AO65)</f>
        <v>6.5</v>
      </c>
      <c r="AQ65" s="35" t="n">
        <v>10</v>
      </c>
      <c r="AR65" s="37" t="n">
        <v>1.5</v>
      </c>
      <c r="AS65" s="38" t="n">
        <f aca="false">AVERAGEA(AT65, AR65)</f>
        <v>2.25</v>
      </c>
      <c r="AT65" s="37" t="n">
        <v>3</v>
      </c>
      <c r="AU65" s="35" t="n">
        <v>998</v>
      </c>
      <c r="AV65" s="39" t="n">
        <f aca="false">AVERAGEA(AW65, AU65)</f>
        <v>1839</v>
      </c>
      <c r="AW65" s="35" t="n">
        <v>2680</v>
      </c>
      <c r="AX65" s="37" t="n">
        <v>26.6</v>
      </c>
      <c r="AY65" s="37" t="n">
        <f aca="false">AVERAGEA(AZ65, AX65)</f>
        <v>31.8</v>
      </c>
      <c r="AZ65" s="36" t="n">
        <v>37</v>
      </c>
      <c r="BA65" s="34" t="n">
        <v>2.6</v>
      </c>
      <c r="BB65" s="35" t="n">
        <f aca="false">AVERAGEA(BC65, BA65)</f>
        <v>6.55</v>
      </c>
      <c r="BC65" s="34" t="n">
        <v>10.5</v>
      </c>
      <c r="BD65" s="37" t="n">
        <v>3.56</v>
      </c>
      <c r="BE65" s="37" t="n">
        <f aca="false">AVERAGE(BD65,BF65)</f>
        <v>22.03</v>
      </c>
      <c r="BF65" s="36" t="n">
        <v>40.5</v>
      </c>
      <c r="BG65" s="34" t="n">
        <v>5.7</v>
      </c>
      <c r="BH65" s="35" t="n">
        <f aca="false">AVERAGE(BG65,BI65)</f>
        <v>26.85</v>
      </c>
      <c r="BI65" s="34" t="n">
        <v>48</v>
      </c>
      <c r="BJ65" s="37" t="n">
        <v>6.2</v>
      </c>
      <c r="BK65" s="37" t="n">
        <f aca="false">AVERAGE(BJ65,BL65)</f>
        <v>42.1</v>
      </c>
      <c r="BL65" s="36" t="n">
        <v>78</v>
      </c>
      <c r="BM65" s="34" t="n">
        <v>1.8</v>
      </c>
      <c r="BN65" s="35" t="n">
        <f aca="false">AVERAGEA(BO65, BM65)</f>
        <v>1.8</v>
      </c>
      <c r="BO65" s="34" t="n">
        <v>1.8</v>
      </c>
      <c r="BP65" s="37" t="n">
        <v>78</v>
      </c>
      <c r="BQ65" s="37" t="n">
        <f aca="false">AVERAGEA(BP65,BR65)</f>
        <v>159</v>
      </c>
      <c r="BR65" s="36" t="n">
        <v>240</v>
      </c>
      <c r="BS65" s="34" t="n">
        <v>2</v>
      </c>
      <c r="BT65" s="35" t="n">
        <f aca="false">AVERAGEA(BS65,BU65)</f>
        <v>3.5</v>
      </c>
      <c r="BU65" s="40" t="n">
        <v>5</v>
      </c>
      <c r="BV65" s="37" t="n">
        <v>5</v>
      </c>
      <c r="BW65" s="37" t="n">
        <f aca="false">AVERAGEA(BV65,BX65)</f>
        <v>8.9</v>
      </c>
      <c r="BX65" s="36" t="n">
        <v>12.8</v>
      </c>
      <c r="BY65" s="34"/>
      <c r="BZ65" s="35" t="e">
        <f aca="false">AVERAGEA(BY65,CA65)</f>
        <v>#DIV/0!</v>
      </c>
      <c r="CA65" s="40"/>
      <c r="CB65" s="37"/>
      <c r="CC65" s="37" t="e">
        <f aca="false">AVERAGEA(CB65,CD65)</f>
        <v>#DIV/0!</v>
      </c>
      <c r="CD65" s="36"/>
      <c r="CE65" s="34"/>
      <c r="CF65" s="35" t="e">
        <f aca="false">AVERAGEA(CE65,CG65)</f>
        <v>#DIV/0!</v>
      </c>
      <c r="CG65" s="40"/>
    </row>
    <row r="66" s="18" customFormat="true" ht="28.35" hidden="false" customHeight="false" outlineLevel="0" collapsed="false">
      <c r="B66" s="19"/>
      <c r="C66" s="32"/>
      <c r="D66" s="42"/>
      <c r="E66" s="41"/>
      <c r="F66" s="32" t="s">
        <v>56</v>
      </c>
      <c r="G66" s="33"/>
      <c r="H66" s="24"/>
      <c r="I66" s="24" t="e">
        <f aca="false">AVERAGE(H66,J66)</f>
        <v>#DIV/0!</v>
      </c>
      <c r="J66" s="24"/>
      <c r="K66" s="34" t="s">
        <v>55</v>
      </c>
      <c r="L66" s="35"/>
      <c r="M66" s="34" t="s">
        <v>55</v>
      </c>
      <c r="N66" s="24" t="n">
        <v>37.4497226582298</v>
      </c>
      <c r="O66" s="24" t="n">
        <f aca="false">AVERAGE(N66,P66)</f>
        <v>38.9027071133801</v>
      </c>
      <c r="P66" s="24" t="n">
        <v>40.3556915685305</v>
      </c>
      <c r="Q66" s="34" t="s">
        <v>55</v>
      </c>
      <c r="R66" s="35"/>
      <c r="S66" s="34" t="s">
        <v>55</v>
      </c>
      <c r="T66" s="36" t="s">
        <v>55</v>
      </c>
      <c r="U66" s="37"/>
      <c r="V66" s="36" t="s">
        <v>55</v>
      </c>
      <c r="W66" s="34" t="s">
        <v>55</v>
      </c>
      <c r="X66" s="35"/>
      <c r="Y66" s="34" t="s">
        <v>55</v>
      </c>
      <c r="Z66" s="36" t="s">
        <v>55</v>
      </c>
      <c r="AA66" s="37"/>
      <c r="AB66" s="37" t="s">
        <v>55</v>
      </c>
      <c r="AC66" s="34" t="n">
        <v>85</v>
      </c>
      <c r="AD66" s="35" t="n">
        <f aca="false">AVERAGEA(AE66, AC66)</f>
        <v>90.15</v>
      </c>
      <c r="AE66" s="34" t="n">
        <v>95.3</v>
      </c>
      <c r="AF66" s="37" t="n">
        <v>60</v>
      </c>
      <c r="AG66" s="38" t="n">
        <f aca="false">AVERAGEA(AH66, AF66)</f>
        <v>40</v>
      </c>
      <c r="AH66" s="36" t="n">
        <v>20</v>
      </c>
      <c r="AI66" s="34" t="n">
        <v>0.58</v>
      </c>
      <c r="AJ66" s="39" t="n">
        <f aca="false">AVERAGEA(AK66, AI66)</f>
        <v>3.29</v>
      </c>
      <c r="AK66" s="35" t="n">
        <v>6</v>
      </c>
      <c r="AL66" s="37" t="n">
        <v>0.58</v>
      </c>
      <c r="AM66" s="38" t="n">
        <f aca="false">AVERAGEA(AN66, AL66)</f>
        <v>3.29</v>
      </c>
      <c r="AN66" s="37" t="n">
        <v>6</v>
      </c>
      <c r="AO66" s="35" t="n">
        <v>3</v>
      </c>
      <c r="AP66" s="35" t="n">
        <f aca="false">AVERAGEA(AQ66, AO66)</f>
        <v>6.5</v>
      </c>
      <c r="AQ66" s="35" t="n">
        <v>10</v>
      </c>
      <c r="AR66" s="37" t="n">
        <v>1.5</v>
      </c>
      <c r="AS66" s="38" t="n">
        <f aca="false">AVERAGEA(AT66, AR66)</f>
        <v>2.25</v>
      </c>
      <c r="AT66" s="37" t="n">
        <v>3</v>
      </c>
      <c r="AU66" s="35" t="n">
        <v>998</v>
      </c>
      <c r="AV66" s="39" t="n">
        <f aca="false">AVERAGEA(AW66, AU66)</f>
        <v>1839</v>
      </c>
      <c r="AW66" s="35" t="n">
        <v>2680</v>
      </c>
      <c r="AX66" s="37" t="n">
        <v>26.6</v>
      </c>
      <c r="AY66" s="37" t="n">
        <f aca="false">AVERAGEA(AZ66, AX66)</f>
        <v>31.8</v>
      </c>
      <c r="AZ66" s="36" t="n">
        <v>37</v>
      </c>
      <c r="BA66" s="34" t="n">
        <v>2.6</v>
      </c>
      <c r="BB66" s="35" t="n">
        <f aca="false">AVERAGEA(BC66, BA66)</f>
        <v>6.55</v>
      </c>
      <c r="BC66" s="34" t="n">
        <v>10.5</v>
      </c>
      <c r="BD66" s="37" t="n">
        <v>3.56</v>
      </c>
      <c r="BE66" s="37" t="n">
        <f aca="false">AVERAGE(BD66,BF66)</f>
        <v>22.03</v>
      </c>
      <c r="BF66" s="36" t="n">
        <v>40.5</v>
      </c>
      <c r="BG66" s="34" t="n">
        <v>5.7</v>
      </c>
      <c r="BH66" s="35" t="n">
        <f aca="false">AVERAGE(BG66,BI66)</f>
        <v>26.85</v>
      </c>
      <c r="BI66" s="34" t="n">
        <v>48</v>
      </c>
      <c r="BJ66" s="37" t="n">
        <v>6.2</v>
      </c>
      <c r="BK66" s="37" t="n">
        <f aca="false">AVERAGE(BJ66,BL66)</f>
        <v>42.1</v>
      </c>
      <c r="BL66" s="36" t="n">
        <v>78</v>
      </c>
      <c r="BM66" s="34" t="n">
        <v>1.8</v>
      </c>
      <c r="BN66" s="35" t="n">
        <f aca="false">AVERAGEA(BO66, BM66)</f>
        <v>1.8</v>
      </c>
      <c r="BO66" s="34" t="n">
        <v>1.8</v>
      </c>
      <c r="BP66" s="37" t="n">
        <v>78</v>
      </c>
      <c r="BQ66" s="37" t="n">
        <f aca="false">AVERAGEA(BP66,BR66)</f>
        <v>159</v>
      </c>
      <c r="BR66" s="36" t="n">
        <v>240</v>
      </c>
      <c r="BS66" s="34" t="n">
        <v>2</v>
      </c>
      <c r="BT66" s="35" t="n">
        <f aca="false">AVERAGEA(BS66,BU66)</f>
        <v>3.5</v>
      </c>
      <c r="BU66" s="40" t="n">
        <v>5</v>
      </c>
      <c r="BV66" s="37" t="n">
        <v>5</v>
      </c>
      <c r="BW66" s="37" t="n">
        <f aca="false">AVERAGEA(BV66,BX66)</f>
        <v>8.9</v>
      </c>
      <c r="BX66" s="36" t="n">
        <v>12.8</v>
      </c>
      <c r="BY66" s="34"/>
      <c r="BZ66" s="35" t="e">
        <f aca="false">AVERAGEA(BY66,CA66)</f>
        <v>#DIV/0!</v>
      </c>
      <c r="CA66" s="40"/>
      <c r="CB66" s="37"/>
      <c r="CC66" s="37" t="e">
        <f aca="false">AVERAGEA(CB66,CD66)</f>
        <v>#DIV/0!</v>
      </c>
      <c r="CD66" s="36"/>
      <c r="CE66" s="34"/>
      <c r="CF66" s="35" t="e">
        <f aca="false">AVERAGEA(CE66,CG66)</f>
        <v>#DIV/0!</v>
      </c>
      <c r="CG66" s="40"/>
    </row>
    <row r="67" s="18" customFormat="true" ht="28.35" hidden="false" customHeight="false" outlineLevel="0" collapsed="false">
      <c r="B67" s="19"/>
      <c r="C67" s="32"/>
      <c r="D67" s="42"/>
      <c r="E67" s="41"/>
      <c r="F67" s="32" t="s">
        <v>57</v>
      </c>
      <c r="G67" s="33"/>
      <c r="H67" s="24"/>
      <c r="I67" s="24" t="e">
        <f aca="false">AVERAGE(H67,J67)</f>
        <v>#DIV/0!</v>
      </c>
      <c r="J67" s="24"/>
      <c r="K67" s="34" t="s">
        <v>55</v>
      </c>
      <c r="L67" s="35"/>
      <c r="M67" s="34" t="s">
        <v>55</v>
      </c>
      <c r="N67" s="24" t="n">
        <v>28.5513556947947</v>
      </c>
      <c r="O67" s="24" t="n">
        <f aca="false">AVERAGE(N67,P67)</f>
        <v>32.9906048656753</v>
      </c>
      <c r="P67" s="24" t="n">
        <v>37.4298540365558</v>
      </c>
      <c r="Q67" s="34" t="s">
        <v>55</v>
      </c>
      <c r="R67" s="35"/>
      <c r="S67" s="34" t="s">
        <v>55</v>
      </c>
      <c r="T67" s="36" t="s">
        <v>55</v>
      </c>
      <c r="U67" s="37"/>
      <c r="V67" s="36" t="s">
        <v>55</v>
      </c>
      <c r="W67" s="34" t="s">
        <v>55</v>
      </c>
      <c r="X67" s="35"/>
      <c r="Y67" s="34" t="s">
        <v>55</v>
      </c>
      <c r="Z67" s="36" t="s">
        <v>55</v>
      </c>
      <c r="AA67" s="37"/>
      <c r="AB67" s="37" t="s">
        <v>55</v>
      </c>
      <c r="AC67" s="34" t="n">
        <v>85</v>
      </c>
      <c r="AD67" s="35" t="n">
        <f aca="false">AVERAGEA(AE67, AC67)</f>
        <v>90.15</v>
      </c>
      <c r="AE67" s="34" t="n">
        <v>95.3</v>
      </c>
      <c r="AF67" s="37" t="n">
        <v>60</v>
      </c>
      <c r="AG67" s="38" t="n">
        <f aca="false">AVERAGEA(AH67, AF67)</f>
        <v>40</v>
      </c>
      <c r="AH67" s="36" t="n">
        <v>20</v>
      </c>
      <c r="AI67" s="34" t="n">
        <v>0.58</v>
      </c>
      <c r="AJ67" s="39" t="n">
        <f aca="false">AVERAGEA(AK67, AI67)</f>
        <v>3.29</v>
      </c>
      <c r="AK67" s="35" t="n">
        <v>6</v>
      </c>
      <c r="AL67" s="37" t="n">
        <v>0.58</v>
      </c>
      <c r="AM67" s="38" t="n">
        <f aca="false">AVERAGEA(AN67, AL67)</f>
        <v>3.29</v>
      </c>
      <c r="AN67" s="37" t="n">
        <v>6</v>
      </c>
      <c r="AO67" s="35" t="n">
        <v>3</v>
      </c>
      <c r="AP67" s="35" t="n">
        <f aca="false">AVERAGEA(AQ67, AO67)</f>
        <v>6.5</v>
      </c>
      <c r="AQ67" s="35" t="n">
        <v>10</v>
      </c>
      <c r="AR67" s="37" t="n">
        <v>1.5</v>
      </c>
      <c r="AS67" s="38" t="n">
        <f aca="false">AVERAGEA(AT67, AR67)</f>
        <v>2.25</v>
      </c>
      <c r="AT67" s="37" t="n">
        <v>3</v>
      </c>
      <c r="AU67" s="35" t="n">
        <v>998</v>
      </c>
      <c r="AV67" s="39" t="n">
        <f aca="false">AVERAGEA(AW67, AU67)</f>
        <v>1839</v>
      </c>
      <c r="AW67" s="35" t="n">
        <v>2680</v>
      </c>
      <c r="AX67" s="37" t="n">
        <v>26.6</v>
      </c>
      <c r="AY67" s="37" t="n">
        <f aca="false">AVERAGEA(AZ67, AX67)</f>
        <v>31.8</v>
      </c>
      <c r="AZ67" s="36" t="n">
        <v>37</v>
      </c>
      <c r="BA67" s="34" t="n">
        <v>2.6</v>
      </c>
      <c r="BB67" s="35" t="n">
        <f aca="false">AVERAGEA(BC67, BA67)</f>
        <v>6.55</v>
      </c>
      <c r="BC67" s="34" t="n">
        <v>10.5</v>
      </c>
      <c r="BD67" s="37" t="n">
        <v>3.56</v>
      </c>
      <c r="BE67" s="37" t="n">
        <f aca="false">AVERAGE(BD67,BF67)</f>
        <v>22.03</v>
      </c>
      <c r="BF67" s="36" t="n">
        <v>40.5</v>
      </c>
      <c r="BG67" s="34" t="n">
        <v>5.7</v>
      </c>
      <c r="BH67" s="35" t="n">
        <f aca="false">AVERAGE(BG67,BI67)</f>
        <v>26.85</v>
      </c>
      <c r="BI67" s="34" t="n">
        <v>48</v>
      </c>
      <c r="BJ67" s="37" t="n">
        <v>6.2</v>
      </c>
      <c r="BK67" s="37" t="n">
        <f aca="false">AVERAGE(BJ67,BL67)</f>
        <v>42.1</v>
      </c>
      <c r="BL67" s="36" t="n">
        <v>78</v>
      </c>
      <c r="BM67" s="34" t="n">
        <v>1.8</v>
      </c>
      <c r="BN67" s="35" t="n">
        <f aca="false">AVERAGEA(BO67, BM67)</f>
        <v>1.8</v>
      </c>
      <c r="BO67" s="34" t="n">
        <v>1.8</v>
      </c>
      <c r="BP67" s="37" t="n">
        <v>78</v>
      </c>
      <c r="BQ67" s="37" t="n">
        <f aca="false">AVERAGEA(BP67,BR67)</f>
        <v>159</v>
      </c>
      <c r="BR67" s="36" t="n">
        <v>240</v>
      </c>
      <c r="BS67" s="34" t="n">
        <v>2</v>
      </c>
      <c r="BT67" s="35" t="n">
        <f aca="false">AVERAGEA(BS67,BU67)</f>
        <v>3.5</v>
      </c>
      <c r="BU67" s="40" t="n">
        <v>5</v>
      </c>
      <c r="BV67" s="37" t="n">
        <v>5</v>
      </c>
      <c r="BW67" s="37" t="n">
        <f aca="false">AVERAGEA(BV67,BX67)</f>
        <v>8.9</v>
      </c>
      <c r="BX67" s="36" t="n">
        <v>12.8</v>
      </c>
      <c r="BY67" s="34"/>
      <c r="BZ67" s="35" t="e">
        <f aca="false">AVERAGEA(BY67,CA67)</f>
        <v>#DIV/0!</v>
      </c>
      <c r="CA67" s="40"/>
      <c r="CB67" s="37"/>
      <c r="CC67" s="37" t="e">
        <f aca="false">AVERAGEA(CB67,CD67)</f>
        <v>#DIV/0!</v>
      </c>
      <c r="CD67" s="36"/>
      <c r="CE67" s="34"/>
      <c r="CF67" s="35" t="e">
        <f aca="false">AVERAGEA(CE67,CG67)</f>
        <v>#DIV/0!</v>
      </c>
      <c r="CG67" s="40"/>
    </row>
    <row r="68" s="18" customFormat="true" ht="28.35" hidden="false" customHeight="false" outlineLevel="0" collapsed="false">
      <c r="B68" s="19"/>
      <c r="C68" s="32"/>
      <c r="D68" s="42"/>
      <c r="E68" s="41"/>
      <c r="F68" s="32" t="s">
        <v>58</v>
      </c>
      <c r="G68" s="33"/>
      <c r="H68" s="24"/>
      <c r="I68" s="24" t="e">
        <f aca="false">AVERAGE(H68,J68)</f>
        <v>#DIV/0!</v>
      </c>
      <c r="J68" s="24"/>
      <c r="K68" s="34" t="s">
        <v>55</v>
      </c>
      <c r="L68" s="35"/>
      <c r="M68" s="34" t="s">
        <v>55</v>
      </c>
      <c r="N68" s="24" t="n">
        <v>22.56639280916</v>
      </c>
      <c r="O68" s="24" t="n">
        <f aca="false">AVERAGE(N68,P68)</f>
        <v>25.5389387320833</v>
      </c>
      <c r="P68" s="24" t="n">
        <v>28.5114846550067</v>
      </c>
      <c r="Q68" s="34" t="s">
        <v>55</v>
      </c>
      <c r="R68" s="35"/>
      <c r="S68" s="34" t="s">
        <v>55</v>
      </c>
      <c r="T68" s="36" t="s">
        <v>55</v>
      </c>
      <c r="U68" s="37"/>
      <c r="V68" s="36" t="s">
        <v>55</v>
      </c>
      <c r="W68" s="34" t="s">
        <v>55</v>
      </c>
      <c r="X68" s="35"/>
      <c r="Y68" s="34" t="s">
        <v>55</v>
      </c>
      <c r="Z68" s="36" t="s">
        <v>55</v>
      </c>
      <c r="AA68" s="37"/>
      <c r="AB68" s="37" t="s">
        <v>55</v>
      </c>
      <c r="AC68" s="34" t="n">
        <v>85</v>
      </c>
      <c r="AD68" s="35" t="n">
        <f aca="false">AVERAGEA(AE68, AC68)</f>
        <v>90.15</v>
      </c>
      <c r="AE68" s="34" t="n">
        <v>95.3</v>
      </c>
      <c r="AF68" s="37" t="n">
        <v>60</v>
      </c>
      <c r="AG68" s="38" t="n">
        <f aca="false">AVERAGEA(AH68, AF68)</f>
        <v>40</v>
      </c>
      <c r="AH68" s="36" t="n">
        <v>20</v>
      </c>
      <c r="AI68" s="34" t="n">
        <v>0.58</v>
      </c>
      <c r="AJ68" s="39" t="n">
        <f aca="false">AVERAGEA(AK68, AI68)</f>
        <v>3.29</v>
      </c>
      <c r="AK68" s="35" t="n">
        <v>6</v>
      </c>
      <c r="AL68" s="37" t="n">
        <v>0.58</v>
      </c>
      <c r="AM68" s="38" t="n">
        <f aca="false">AVERAGEA(AN68, AL68)</f>
        <v>3.29</v>
      </c>
      <c r="AN68" s="37" t="n">
        <v>6</v>
      </c>
      <c r="AO68" s="35" t="n">
        <v>3</v>
      </c>
      <c r="AP68" s="35" t="n">
        <f aca="false">AVERAGEA(AQ68, AO68)</f>
        <v>6.5</v>
      </c>
      <c r="AQ68" s="35" t="n">
        <v>10</v>
      </c>
      <c r="AR68" s="37" t="n">
        <v>1.5</v>
      </c>
      <c r="AS68" s="38" t="n">
        <f aca="false">AVERAGEA(AT68, AR68)</f>
        <v>2.25</v>
      </c>
      <c r="AT68" s="37" t="n">
        <v>3</v>
      </c>
      <c r="AU68" s="35" t="n">
        <v>998</v>
      </c>
      <c r="AV68" s="39" t="n">
        <f aca="false">AVERAGEA(AW68, AU68)</f>
        <v>1839</v>
      </c>
      <c r="AW68" s="35" t="n">
        <v>2680</v>
      </c>
      <c r="AX68" s="37" t="n">
        <v>26.6</v>
      </c>
      <c r="AY68" s="37" t="n">
        <f aca="false">AVERAGEA(AZ68, AX68)</f>
        <v>31.8</v>
      </c>
      <c r="AZ68" s="36" t="n">
        <v>37</v>
      </c>
      <c r="BA68" s="34" t="n">
        <v>2.6</v>
      </c>
      <c r="BB68" s="35" t="n">
        <f aca="false">AVERAGEA(BC68, BA68)</f>
        <v>6.55</v>
      </c>
      <c r="BC68" s="34" t="n">
        <v>10.5</v>
      </c>
      <c r="BD68" s="37" t="n">
        <v>3.56</v>
      </c>
      <c r="BE68" s="37" t="n">
        <f aca="false">AVERAGE(BD68,BF68)</f>
        <v>22.03</v>
      </c>
      <c r="BF68" s="36" t="n">
        <v>40.5</v>
      </c>
      <c r="BG68" s="34" t="n">
        <v>5.7</v>
      </c>
      <c r="BH68" s="35" t="n">
        <f aca="false">AVERAGE(BG68,BI68)</f>
        <v>26.85</v>
      </c>
      <c r="BI68" s="34" t="n">
        <v>48</v>
      </c>
      <c r="BJ68" s="37" t="n">
        <v>6.2</v>
      </c>
      <c r="BK68" s="37" t="n">
        <f aca="false">AVERAGE(BJ68,BL68)</f>
        <v>42.1</v>
      </c>
      <c r="BL68" s="36" t="n">
        <v>78</v>
      </c>
      <c r="BM68" s="34" t="n">
        <v>1.8</v>
      </c>
      <c r="BN68" s="35" t="n">
        <f aca="false">AVERAGEA(BO68, BM68)</f>
        <v>1.8</v>
      </c>
      <c r="BO68" s="34" t="n">
        <v>1.8</v>
      </c>
      <c r="BP68" s="37" t="n">
        <v>78</v>
      </c>
      <c r="BQ68" s="37" t="n">
        <f aca="false">AVERAGEA(BP68,BR68)</f>
        <v>159</v>
      </c>
      <c r="BR68" s="36" t="n">
        <v>240</v>
      </c>
      <c r="BS68" s="34" t="n">
        <v>2</v>
      </c>
      <c r="BT68" s="35" t="n">
        <f aca="false">AVERAGEA(BS68,BU68)</f>
        <v>3.5</v>
      </c>
      <c r="BU68" s="40" t="n">
        <v>5</v>
      </c>
      <c r="BV68" s="37" t="n">
        <v>5</v>
      </c>
      <c r="BW68" s="37" t="n">
        <f aca="false">AVERAGEA(BV68,BX68)</f>
        <v>8.9</v>
      </c>
      <c r="BX68" s="36" t="n">
        <v>12.8</v>
      </c>
      <c r="BY68" s="34"/>
      <c r="BZ68" s="35" t="e">
        <f aca="false">AVERAGEA(BY68,CA68)</f>
        <v>#DIV/0!</v>
      </c>
      <c r="CA68" s="40"/>
      <c r="CB68" s="37"/>
      <c r="CC68" s="37" t="e">
        <f aca="false">AVERAGEA(CB68,CD68)</f>
        <v>#DIV/0!</v>
      </c>
      <c r="CD68" s="36"/>
      <c r="CE68" s="34"/>
      <c r="CF68" s="35" t="e">
        <f aca="false">AVERAGEA(CE68,CG68)</f>
        <v>#DIV/0!</v>
      </c>
      <c r="CG68" s="40"/>
    </row>
    <row r="69" s="18" customFormat="true" ht="26.4" hidden="false" customHeight="true" outlineLevel="0" collapsed="false">
      <c r="B69" s="19"/>
      <c r="C69" s="32" t="s">
        <v>67</v>
      </c>
      <c r="D69" s="44"/>
      <c r="E69" s="41"/>
      <c r="F69" s="32" t="s">
        <v>54</v>
      </c>
      <c r="G69" s="33"/>
      <c r="H69" s="37"/>
      <c r="I69" s="24" t="e">
        <f aca="false">AVERAGE(H69,J69)</f>
        <v>#DIV/0!</v>
      </c>
      <c r="J69" s="37"/>
      <c r="K69" s="34" t="s">
        <v>55</v>
      </c>
      <c r="L69" s="35"/>
      <c r="M69" s="34" t="s">
        <v>55</v>
      </c>
      <c r="N69" s="37" t="n">
        <v>38.4</v>
      </c>
      <c r="O69" s="24" t="n">
        <f aca="false">AVERAGE(N69,P69)</f>
        <v>44.2</v>
      </c>
      <c r="P69" s="37" t="n">
        <v>50</v>
      </c>
      <c r="Q69" s="34" t="s">
        <v>55</v>
      </c>
      <c r="R69" s="35"/>
      <c r="S69" s="34" t="s">
        <v>55</v>
      </c>
      <c r="T69" s="36" t="s">
        <v>55</v>
      </c>
      <c r="U69" s="37"/>
      <c r="V69" s="36" t="s">
        <v>55</v>
      </c>
      <c r="W69" s="34" t="s">
        <v>55</v>
      </c>
      <c r="X69" s="35"/>
      <c r="Y69" s="34" t="s">
        <v>55</v>
      </c>
      <c r="Z69" s="36" t="s">
        <v>55</v>
      </c>
      <c r="AA69" s="37"/>
      <c r="AB69" s="37" t="s">
        <v>55</v>
      </c>
      <c r="AC69" s="34" t="n">
        <v>80</v>
      </c>
      <c r="AD69" s="35" t="n">
        <v>80</v>
      </c>
      <c r="AE69" s="34" t="n">
        <v>80</v>
      </c>
      <c r="AF69" s="37" t="n">
        <v>50</v>
      </c>
      <c r="AG69" s="38" t="n">
        <f aca="false">AVERAGEA(AH69, AF69)</f>
        <v>45</v>
      </c>
      <c r="AH69" s="37" t="n">
        <v>40</v>
      </c>
      <c r="AI69" s="35" t="n">
        <v>3</v>
      </c>
      <c r="AJ69" s="39" t="n">
        <f aca="false">AVERAGEA(AK69, AI69)</f>
        <v>3.5</v>
      </c>
      <c r="AK69" s="35" t="n">
        <v>4</v>
      </c>
      <c r="AL69" s="37" t="n">
        <v>3</v>
      </c>
      <c r="AM69" s="38" t="n">
        <f aca="false">AVERAGEA(AN69, AL69)</f>
        <v>3.5</v>
      </c>
      <c r="AN69" s="37" t="n">
        <v>4</v>
      </c>
      <c r="AO69" s="35" t="s">
        <v>68</v>
      </c>
      <c r="AP69" s="39"/>
      <c r="AQ69" s="35" t="s">
        <v>68</v>
      </c>
      <c r="AR69" s="37" t="s">
        <v>68</v>
      </c>
      <c r="AS69" s="38"/>
      <c r="AT69" s="37" t="s">
        <v>68</v>
      </c>
      <c r="AU69" s="35" t="n">
        <v>1400</v>
      </c>
      <c r="AV69" s="39" t="n">
        <f aca="false">AVERAGEA(AW69, AU69)</f>
        <v>2496.5</v>
      </c>
      <c r="AW69" s="35" t="n">
        <v>3593</v>
      </c>
      <c r="AX69" s="37" t="n">
        <v>40</v>
      </c>
      <c r="AY69" s="38" t="n">
        <f aca="false">AVERAGEA(AZ69, AX69)</f>
        <v>51.5</v>
      </c>
      <c r="AZ69" s="37" t="n">
        <v>63</v>
      </c>
      <c r="BA69" s="45" t="n">
        <v>3</v>
      </c>
      <c r="BB69" s="45" t="n">
        <f aca="false">AVERAGEA(BC69, BA69)</f>
        <v>6</v>
      </c>
      <c r="BC69" s="45" t="n">
        <v>9</v>
      </c>
      <c r="BD69" s="43" t="s">
        <v>68</v>
      </c>
      <c r="BE69" s="43"/>
      <c r="BF69" s="43" t="s">
        <v>68</v>
      </c>
      <c r="BG69" s="45" t="s">
        <v>69</v>
      </c>
      <c r="BH69" s="45"/>
      <c r="BI69" s="45" t="s">
        <v>69</v>
      </c>
      <c r="BJ69" s="43" t="s">
        <v>68</v>
      </c>
      <c r="BK69" s="37"/>
      <c r="BL69" s="43" t="s">
        <v>68</v>
      </c>
      <c r="BM69" s="45" t="s">
        <v>69</v>
      </c>
      <c r="BN69" s="35"/>
      <c r="BO69" s="45" t="s">
        <v>69</v>
      </c>
      <c r="BP69" s="43" t="n">
        <v>180</v>
      </c>
      <c r="BQ69" s="43" t="n">
        <f aca="false">AVERAGEA(BP69,BR69)</f>
        <v>300</v>
      </c>
      <c r="BR69" s="43" t="n">
        <v>420</v>
      </c>
      <c r="BS69" s="45" t="s">
        <v>68</v>
      </c>
      <c r="BT69" s="35"/>
      <c r="BU69" s="46" t="s">
        <v>68</v>
      </c>
      <c r="BV69" s="43" t="n">
        <v>80</v>
      </c>
      <c r="BW69" s="43" t="n">
        <f aca="false">AVERAGEA(BV69,BX69)</f>
        <v>90</v>
      </c>
      <c r="BX69" s="43" t="n">
        <v>100</v>
      </c>
      <c r="BY69" s="45"/>
      <c r="BZ69" s="35"/>
      <c r="CA69" s="46"/>
      <c r="CB69" s="43"/>
      <c r="CC69" s="43" t="e">
        <f aca="false">AVERAGEA(CB69,CD69)</f>
        <v>#DIV/0!</v>
      </c>
      <c r="CD69" s="43"/>
      <c r="CE69" s="45"/>
      <c r="CF69" s="35"/>
      <c r="CG69" s="46"/>
    </row>
    <row r="70" s="18" customFormat="true" ht="28.35" hidden="false" customHeight="false" outlineLevel="0" collapsed="false">
      <c r="B70" s="19"/>
      <c r="C70" s="32"/>
      <c r="D70" s="32"/>
      <c r="E70" s="41"/>
      <c r="F70" s="32" t="s">
        <v>56</v>
      </c>
      <c r="G70" s="33"/>
      <c r="H70" s="37"/>
      <c r="I70" s="24" t="e">
        <f aca="false">AVERAGE(H70,J70)</f>
        <v>#DIV/0!</v>
      </c>
      <c r="J70" s="37"/>
      <c r="K70" s="34" t="s">
        <v>55</v>
      </c>
      <c r="L70" s="35"/>
      <c r="M70" s="34" t="s">
        <v>55</v>
      </c>
      <c r="N70" s="37" t="n">
        <v>38.4</v>
      </c>
      <c r="O70" s="24" t="n">
        <f aca="false">AVERAGE(N70,P70)</f>
        <v>44.2</v>
      </c>
      <c r="P70" s="37" t="n">
        <v>50</v>
      </c>
      <c r="Q70" s="34" t="s">
        <v>55</v>
      </c>
      <c r="R70" s="35"/>
      <c r="S70" s="34" t="s">
        <v>55</v>
      </c>
      <c r="T70" s="36" t="s">
        <v>55</v>
      </c>
      <c r="U70" s="37"/>
      <c r="V70" s="36" t="s">
        <v>55</v>
      </c>
      <c r="W70" s="34" t="s">
        <v>55</v>
      </c>
      <c r="X70" s="35"/>
      <c r="Y70" s="34" t="s">
        <v>55</v>
      </c>
      <c r="Z70" s="36" t="s">
        <v>55</v>
      </c>
      <c r="AA70" s="37"/>
      <c r="AB70" s="37" t="s">
        <v>55</v>
      </c>
      <c r="AC70" s="34" t="n">
        <v>80</v>
      </c>
      <c r="AD70" s="35" t="n">
        <v>80</v>
      </c>
      <c r="AE70" s="34" t="n">
        <v>80</v>
      </c>
      <c r="AF70" s="37" t="n">
        <v>50</v>
      </c>
      <c r="AG70" s="38" t="n">
        <f aca="false">AVERAGEA(AH70, AF70)</f>
        <v>45</v>
      </c>
      <c r="AH70" s="37" t="n">
        <v>40</v>
      </c>
      <c r="AI70" s="35" t="n">
        <v>3</v>
      </c>
      <c r="AJ70" s="39" t="n">
        <f aca="false">AVERAGEA(AK70, AI70)</f>
        <v>3.5</v>
      </c>
      <c r="AK70" s="35" t="n">
        <v>4</v>
      </c>
      <c r="AL70" s="37" t="n">
        <v>3</v>
      </c>
      <c r="AM70" s="38" t="n">
        <f aca="false">AVERAGEA(AN70, AL70)</f>
        <v>3.5</v>
      </c>
      <c r="AN70" s="37" t="n">
        <v>4</v>
      </c>
      <c r="AO70" s="35" t="s">
        <v>68</v>
      </c>
      <c r="AP70" s="39"/>
      <c r="AQ70" s="35" t="s">
        <v>68</v>
      </c>
      <c r="AR70" s="37" t="s">
        <v>68</v>
      </c>
      <c r="AS70" s="38"/>
      <c r="AT70" s="37" t="s">
        <v>68</v>
      </c>
      <c r="AU70" s="35" t="n">
        <v>1400</v>
      </c>
      <c r="AV70" s="39" t="n">
        <f aca="false">AVERAGEA(AW70, AU70)</f>
        <v>2496.5</v>
      </c>
      <c r="AW70" s="35" t="n">
        <v>3593</v>
      </c>
      <c r="AX70" s="37" t="n">
        <v>40</v>
      </c>
      <c r="AY70" s="38" t="n">
        <f aca="false">AVERAGEA(AZ70, AX70)</f>
        <v>51.5</v>
      </c>
      <c r="AZ70" s="37" t="n">
        <v>63</v>
      </c>
      <c r="BA70" s="45" t="n">
        <v>3</v>
      </c>
      <c r="BB70" s="45" t="n">
        <f aca="false">AVERAGEA(BC70, BA70)</f>
        <v>6</v>
      </c>
      <c r="BC70" s="45" t="n">
        <v>9</v>
      </c>
      <c r="BD70" s="43" t="s">
        <v>68</v>
      </c>
      <c r="BE70" s="43"/>
      <c r="BF70" s="43" t="s">
        <v>68</v>
      </c>
      <c r="BG70" s="45" t="s">
        <v>69</v>
      </c>
      <c r="BH70" s="45"/>
      <c r="BI70" s="45" t="s">
        <v>69</v>
      </c>
      <c r="BJ70" s="43" t="s">
        <v>68</v>
      </c>
      <c r="BK70" s="37"/>
      <c r="BL70" s="43" t="s">
        <v>68</v>
      </c>
      <c r="BM70" s="45" t="s">
        <v>69</v>
      </c>
      <c r="BN70" s="35"/>
      <c r="BO70" s="45" t="s">
        <v>69</v>
      </c>
      <c r="BP70" s="43" t="n">
        <v>180</v>
      </c>
      <c r="BQ70" s="43" t="n">
        <f aca="false">AVERAGEA(BP70,BR70)</f>
        <v>300</v>
      </c>
      <c r="BR70" s="43" t="n">
        <v>420</v>
      </c>
      <c r="BS70" s="45" t="s">
        <v>68</v>
      </c>
      <c r="BT70" s="35"/>
      <c r="BU70" s="46" t="s">
        <v>68</v>
      </c>
      <c r="BV70" s="43" t="n">
        <v>80</v>
      </c>
      <c r="BW70" s="43" t="n">
        <f aca="false">AVERAGEA(BV70,BX70)</f>
        <v>90</v>
      </c>
      <c r="BX70" s="43" t="n">
        <v>100</v>
      </c>
      <c r="BY70" s="45"/>
      <c r="BZ70" s="35"/>
      <c r="CA70" s="46"/>
      <c r="CB70" s="43"/>
      <c r="CC70" s="43" t="e">
        <f aca="false">AVERAGEA(CB70,CD70)</f>
        <v>#DIV/0!</v>
      </c>
      <c r="CD70" s="43"/>
      <c r="CE70" s="45"/>
      <c r="CF70" s="35"/>
      <c r="CG70" s="46"/>
    </row>
    <row r="71" s="18" customFormat="true" ht="28.35" hidden="false" customHeight="false" outlineLevel="0" collapsed="false">
      <c r="B71" s="19"/>
      <c r="C71" s="32"/>
      <c r="D71" s="32"/>
      <c r="E71" s="41"/>
      <c r="F71" s="32" t="s">
        <v>57</v>
      </c>
      <c r="G71" s="33"/>
      <c r="H71" s="37"/>
      <c r="I71" s="24" t="e">
        <f aca="false">AVERAGE(H71,J71)</f>
        <v>#DIV/0!</v>
      </c>
      <c r="J71" s="37"/>
      <c r="K71" s="34" t="s">
        <v>55</v>
      </c>
      <c r="L71" s="35"/>
      <c r="M71" s="34" t="s">
        <v>55</v>
      </c>
      <c r="N71" s="37" t="n">
        <v>38.4</v>
      </c>
      <c r="O71" s="24" t="n">
        <f aca="false">AVERAGE(N71,P71)</f>
        <v>44.2</v>
      </c>
      <c r="P71" s="37" t="n">
        <v>50</v>
      </c>
      <c r="Q71" s="34" t="s">
        <v>55</v>
      </c>
      <c r="R71" s="35"/>
      <c r="S71" s="34" t="s">
        <v>55</v>
      </c>
      <c r="T71" s="36" t="s">
        <v>55</v>
      </c>
      <c r="U71" s="37"/>
      <c r="V71" s="36" t="s">
        <v>55</v>
      </c>
      <c r="W71" s="34" t="s">
        <v>55</v>
      </c>
      <c r="X71" s="35"/>
      <c r="Y71" s="34" t="s">
        <v>55</v>
      </c>
      <c r="Z71" s="36" t="s">
        <v>55</v>
      </c>
      <c r="AA71" s="37"/>
      <c r="AB71" s="37" t="s">
        <v>55</v>
      </c>
      <c r="AC71" s="34" t="n">
        <v>80</v>
      </c>
      <c r="AD71" s="35" t="n">
        <v>80</v>
      </c>
      <c r="AE71" s="34" t="n">
        <v>80</v>
      </c>
      <c r="AF71" s="37" t="n">
        <v>50</v>
      </c>
      <c r="AG71" s="38" t="n">
        <f aca="false">AVERAGEA(AH71, AF71)</f>
        <v>45</v>
      </c>
      <c r="AH71" s="37" t="n">
        <v>40</v>
      </c>
      <c r="AI71" s="35" t="n">
        <v>3</v>
      </c>
      <c r="AJ71" s="39" t="n">
        <f aca="false">AVERAGEA(AK71, AI71)</f>
        <v>3.5</v>
      </c>
      <c r="AK71" s="35" t="n">
        <v>4</v>
      </c>
      <c r="AL71" s="37" t="n">
        <v>3</v>
      </c>
      <c r="AM71" s="38" t="n">
        <f aca="false">AVERAGEA(AN71, AL71)</f>
        <v>3.5</v>
      </c>
      <c r="AN71" s="37" t="n">
        <v>4</v>
      </c>
      <c r="AO71" s="35" t="s">
        <v>68</v>
      </c>
      <c r="AP71" s="39"/>
      <c r="AQ71" s="35" t="s">
        <v>68</v>
      </c>
      <c r="AR71" s="37" t="s">
        <v>68</v>
      </c>
      <c r="AS71" s="38"/>
      <c r="AT71" s="37" t="s">
        <v>68</v>
      </c>
      <c r="AU71" s="35" t="n">
        <v>1400</v>
      </c>
      <c r="AV71" s="39" t="n">
        <f aca="false">AVERAGEA(AW71, AU71)</f>
        <v>2496.5</v>
      </c>
      <c r="AW71" s="35" t="n">
        <v>3593</v>
      </c>
      <c r="AX71" s="37" t="n">
        <v>40</v>
      </c>
      <c r="AY71" s="38" t="n">
        <f aca="false">AVERAGEA(AZ71, AX71)</f>
        <v>51.5</v>
      </c>
      <c r="AZ71" s="37" t="n">
        <v>63</v>
      </c>
      <c r="BA71" s="45" t="n">
        <v>3</v>
      </c>
      <c r="BB71" s="45" t="n">
        <f aca="false">AVERAGEA(BC71, BA71)</f>
        <v>6</v>
      </c>
      <c r="BC71" s="45" t="n">
        <v>9</v>
      </c>
      <c r="BD71" s="43" t="s">
        <v>68</v>
      </c>
      <c r="BE71" s="43"/>
      <c r="BF71" s="43" t="s">
        <v>68</v>
      </c>
      <c r="BG71" s="45" t="s">
        <v>69</v>
      </c>
      <c r="BH71" s="45"/>
      <c r="BI71" s="45" t="s">
        <v>69</v>
      </c>
      <c r="BJ71" s="43" t="s">
        <v>68</v>
      </c>
      <c r="BK71" s="37"/>
      <c r="BL71" s="43" t="s">
        <v>68</v>
      </c>
      <c r="BM71" s="45" t="s">
        <v>69</v>
      </c>
      <c r="BN71" s="35"/>
      <c r="BO71" s="45" t="s">
        <v>69</v>
      </c>
      <c r="BP71" s="43" t="n">
        <v>180</v>
      </c>
      <c r="BQ71" s="43" t="n">
        <f aca="false">AVERAGEA(BP71,BR71)</f>
        <v>300</v>
      </c>
      <c r="BR71" s="43" t="n">
        <v>420</v>
      </c>
      <c r="BS71" s="45" t="s">
        <v>68</v>
      </c>
      <c r="BT71" s="35"/>
      <c r="BU71" s="46" t="s">
        <v>68</v>
      </c>
      <c r="BV71" s="43" t="n">
        <v>80</v>
      </c>
      <c r="BW71" s="43" t="n">
        <f aca="false">AVERAGEA(BV71,BX71)</f>
        <v>90</v>
      </c>
      <c r="BX71" s="43" t="n">
        <v>100</v>
      </c>
      <c r="BY71" s="45"/>
      <c r="BZ71" s="35"/>
      <c r="CA71" s="46"/>
      <c r="CB71" s="43"/>
      <c r="CC71" s="43" t="e">
        <f aca="false">AVERAGEA(CB71,CD71)</f>
        <v>#DIV/0!</v>
      </c>
      <c r="CD71" s="43"/>
      <c r="CE71" s="45"/>
      <c r="CF71" s="35"/>
      <c r="CG71" s="46"/>
    </row>
    <row r="72" s="18" customFormat="true" ht="28.35" hidden="false" customHeight="false" outlineLevel="0" collapsed="false">
      <c r="B72" s="19"/>
      <c r="C72" s="32"/>
      <c r="D72" s="32"/>
      <c r="E72" s="41"/>
      <c r="F72" s="32" t="s">
        <v>58</v>
      </c>
      <c r="G72" s="33"/>
      <c r="H72" s="37"/>
      <c r="I72" s="24" t="e">
        <f aca="false">AVERAGE(H72,J72)</f>
        <v>#DIV/0!</v>
      </c>
      <c r="J72" s="37"/>
      <c r="K72" s="34" t="s">
        <v>55</v>
      </c>
      <c r="L72" s="35"/>
      <c r="M72" s="34" t="s">
        <v>55</v>
      </c>
      <c r="N72" s="37" t="n">
        <v>38.4</v>
      </c>
      <c r="O72" s="24" t="n">
        <f aca="false">AVERAGE(N72,P72)</f>
        <v>44.2</v>
      </c>
      <c r="P72" s="37" t="n">
        <v>50</v>
      </c>
      <c r="Q72" s="34" t="s">
        <v>55</v>
      </c>
      <c r="R72" s="35"/>
      <c r="S72" s="34" t="s">
        <v>55</v>
      </c>
      <c r="T72" s="36" t="s">
        <v>55</v>
      </c>
      <c r="U72" s="37"/>
      <c r="V72" s="36" t="s">
        <v>55</v>
      </c>
      <c r="W72" s="34" t="s">
        <v>55</v>
      </c>
      <c r="X72" s="35"/>
      <c r="Y72" s="34" t="s">
        <v>55</v>
      </c>
      <c r="Z72" s="36" t="s">
        <v>55</v>
      </c>
      <c r="AA72" s="37"/>
      <c r="AB72" s="37" t="s">
        <v>55</v>
      </c>
      <c r="AC72" s="34" t="n">
        <v>80</v>
      </c>
      <c r="AD72" s="35" t="n">
        <v>80</v>
      </c>
      <c r="AE72" s="34" t="n">
        <v>80</v>
      </c>
      <c r="AF72" s="37" t="n">
        <v>50</v>
      </c>
      <c r="AG72" s="38" t="n">
        <f aca="false">AVERAGEA(AH72, AF72)</f>
        <v>45</v>
      </c>
      <c r="AH72" s="37" t="n">
        <v>40</v>
      </c>
      <c r="AI72" s="35" t="n">
        <v>3</v>
      </c>
      <c r="AJ72" s="39" t="n">
        <f aca="false">AVERAGEA(AK72, AI72)</f>
        <v>3.5</v>
      </c>
      <c r="AK72" s="35" t="n">
        <v>4</v>
      </c>
      <c r="AL72" s="37" t="n">
        <v>3</v>
      </c>
      <c r="AM72" s="38" t="n">
        <f aca="false">AVERAGEA(AN72, AL72)</f>
        <v>3.5</v>
      </c>
      <c r="AN72" s="37" t="n">
        <v>4</v>
      </c>
      <c r="AO72" s="35" t="s">
        <v>68</v>
      </c>
      <c r="AP72" s="39"/>
      <c r="AQ72" s="35" t="s">
        <v>68</v>
      </c>
      <c r="AR72" s="37" t="s">
        <v>68</v>
      </c>
      <c r="AS72" s="38"/>
      <c r="AT72" s="37" t="s">
        <v>68</v>
      </c>
      <c r="AU72" s="35" t="n">
        <v>1400</v>
      </c>
      <c r="AV72" s="39" t="n">
        <f aca="false">AVERAGEA(AW72, AU72)</f>
        <v>2496.5</v>
      </c>
      <c r="AW72" s="35" t="n">
        <v>3593</v>
      </c>
      <c r="AX72" s="37" t="n">
        <v>40</v>
      </c>
      <c r="AY72" s="38" t="n">
        <f aca="false">AVERAGEA(AZ72, AX72)</f>
        <v>51.5</v>
      </c>
      <c r="AZ72" s="37" t="n">
        <v>63</v>
      </c>
      <c r="BA72" s="45" t="n">
        <v>3</v>
      </c>
      <c r="BB72" s="45" t="n">
        <f aca="false">AVERAGEA(BC72, BA72)</f>
        <v>6</v>
      </c>
      <c r="BC72" s="45" t="n">
        <v>9</v>
      </c>
      <c r="BD72" s="43" t="s">
        <v>68</v>
      </c>
      <c r="BE72" s="43"/>
      <c r="BF72" s="43" t="s">
        <v>68</v>
      </c>
      <c r="BG72" s="45" t="s">
        <v>69</v>
      </c>
      <c r="BH72" s="45"/>
      <c r="BI72" s="45" t="s">
        <v>69</v>
      </c>
      <c r="BJ72" s="43" t="s">
        <v>68</v>
      </c>
      <c r="BK72" s="37"/>
      <c r="BL72" s="43" t="s">
        <v>68</v>
      </c>
      <c r="BM72" s="45" t="s">
        <v>69</v>
      </c>
      <c r="BN72" s="35"/>
      <c r="BO72" s="45" t="s">
        <v>69</v>
      </c>
      <c r="BP72" s="43" t="n">
        <v>180</v>
      </c>
      <c r="BQ72" s="43" t="n">
        <f aca="false">AVERAGEA(BP72,BR72)</f>
        <v>300</v>
      </c>
      <c r="BR72" s="43" t="n">
        <v>420</v>
      </c>
      <c r="BS72" s="45" t="s">
        <v>68</v>
      </c>
      <c r="BT72" s="35"/>
      <c r="BU72" s="46" t="s">
        <v>68</v>
      </c>
      <c r="BV72" s="43" t="n">
        <v>80</v>
      </c>
      <c r="BW72" s="43" t="n">
        <f aca="false">AVERAGEA(BV72,BX72)</f>
        <v>90</v>
      </c>
      <c r="BX72" s="43" t="n">
        <v>100</v>
      </c>
      <c r="BY72" s="45"/>
      <c r="BZ72" s="35"/>
      <c r="CA72" s="46"/>
      <c r="CB72" s="43"/>
      <c r="CC72" s="43" t="e">
        <f aca="false">AVERAGEA(CB72,CD72)</f>
        <v>#DIV/0!</v>
      </c>
      <c r="CD72" s="43"/>
      <c r="CE72" s="45"/>
      <c r="CF72" s="35"/>
      <c r="CG72" s="46"/>
    </row>
    <row r="73" s="18" customFormat="true" ht="26.4" hidden="false" customHeight="true" outlineLevel="0" collapsed="false">
      <c r="B73" s="19"/>
      <c r="C73" s="47" t="s">
        <v>70</v>
      </c>
      <c r="D73" s="47" t="s">
        <v>71</v>
      </c>
      <c r="E73" s="48"/>
      <c r="F73" s="32" t="s">
        <v>54</v>
      </c>
      <c r="G73" s="48"/>
      <c r="H73" s="37"/>
      <c r="I73" s="38"/>
      <c r="J73" s="37"/>
      <c r="K73" s="34" t="n">
        <v>15</v>
      </c>
      <c r="L73" s="35" t="n">
        <f aca="false">AVERAGEA(K73,M73)</f>
        <v>28.5</v>
      </c>
      <c r="M73" s="34" t="n">
        <v>42</v>
      </c>
      <c r="N73" s="37" t="s">
        <v>55</v>
      </c>
      <c r="O73" s="38"/>
      <c r="P73" s="37" t="s">
        <v>55</v>
      </c>
      <c r="Q73" s="34" t="n">
        <v>15</v>
      </c>
      <c r="R73" s="35" t="n">
        <f aca="false">AVERAGEA(Q73,S73)</f>
        <v>28.5</v>
      </c>
      <c r="S73" s="34" t="n">
        <v>42</v>
      </c>
      <c r="T73" s="36" t="n">
        <v>38</v>
      </c>
      <c r="U73" s="37" t="n">
        <f aca="false">AVERAGEA(T73,V73)</f>
        <v>42</v>
      </c>
      <c r="V73" s="36" t="n">
        <v>46</v>
      </c>
      <c r="W73" s="34" t="n">
        <v>53</v>
      </c>
      <c r="X73" s="35" t="n">
        <f aca="false">AVERAGEA(W73,Y73)</f>
        <v>70.5</v>
      </c>
      <c r="Y73" s="34" t="n">
        <v>88</v>
      </c>
      <c r="Z73" s="36" t="s">
        <v>55</v>
      </c>
      <c r="AA73" s="37"/>
      <c r="AB73" s="36" t="s">
        <v>55</v>
      </c>
      <c r="AC73" s="34" t="n">
        <v>80</v>
      </c>
      <c r="AD73" s="35" t="n">
        <v>80</v>
      </c>
      <c r="AE73" s="34" t="n">
        <v>80</v>
      </c>
      <c r="AF73" s="37" t="n">
        <v>30</v>
      </c>
      <c r="AG73" s="38" t="n">
        <f aca="false">AVERAGEA(AH73, AF73)</f>
        <v>30</v>
      </c>
      <c r="AH73" s="37" t="n">
        <v>30</v>
      </c>
      <c r="AI73" s="35" t="n">
        <v>0.66</v>
      </c>
      <c r="AJ73" s="39" t="n">
        <f aca="false">AVERAGEA(AK73, AI73)</f>
        <v>0.66</v>
      </c>
      <c r="AK73" s="35" t="n">
        <v>0.66</v>
      </c>
      <c r="AL73" s="37" t="n">
        <v>0.66</v>
      </c>
      <c r="AM73" s="38" t="n">
        <f aca="false">AVERAGEA(AN73, AL73)</f>
        <v>0.66</v>
      </c>
      <c r="AN73" s="37" t="n">
        <v>0.66</v>
      </c>
      <c r="AO73" s="35" t="s">
        <v>68</v>
      </c>
      <c r="AP73" s="39"/>
      <c r="AQ73" s="35" t="s">
        <v>68</v>
      </c>
      <c r="AR73" s="37" t="s">
        <v>68</v>
      </c>
      <c r="AS73" s="38"/>
      <c r="AT73" s="37" t="s">
        <v>68</v>
      </c>
      <c r="AU73" s="35" t="n">
        <v>2350</v>
      </c>
      <c r="AV73" s="39" t="n">
        <f aca="false">AVERAGEA(AW73, AU73)</f>
        <v>2500</v>
      </c>
      <c r="AW73" s="35" t="n">
        <v>2650</v>
      </c>
      <c r="AX73" s="37" t="n">
        <v>55.1</v>
      </c>
      <c r="AY73" s="38" t="n">
        <f aca="false">AVERAGEA(AZ73, AX73)</f>
        <v>58.6</v>
      </c>
      <c r="AZ73" s="37" t="n">
        <v>62.1</v>
      </c>
      <c r="BA73" s="45" t="s">
        <v>69</v>
      </c>
      <c r="BB73" s="45"/>
      <c r="BC73" s="45" t="s">
        <v>69</v>
      </c>
      <c r="BD73" s="43" t="s">
        <v>68</v>
      </c>
      <c r="BE73" s="43"/>
      <c r="BF73" s="43" t="s">
        <v>68</v>
      </c>
      <c r="BG73" s="45" t="s">
        <v>69</v>
      </c>
      <c r="BH73" s="45"/>
      <c r="BI73" s="45" t="s">
        <v>69</v>
      </c>
      <c r="BJ73" s="43" t="s">
        <v>68</v>
      </c>
      <c r="BK73" s="37"/>
      <c r="BL73" s="43" t="s">
        <v>68</v>
      </c>
      <c r="BM73" s="45" t="s">
        <v>69</v>
      </c>
      <c r="BN73" s="45"/>
      <c r="BO73" s="45" t="s">
        <v>69</v>
      </c>
      <c r="BP73" s="43" t="s">
        <v>68</v>
      </c>
      <c r="BQ73" s="43"/>
      <c r="BR73" s="43" t="s">
        <v>68</v>
      </c>
      <c r="BS73" s="45" t="s">
        <v>68</v>
      </c>
      <c r="BT73" s="45"/>
      <c r="BU73" s="46" t="s">
        <v>68</v>
      </c>
      <c r="BV73" s="43" t="s">
        <v>68</v>
      </c>
      <c r="BW73" s="43"/>
      <c r="BX73" s="43" t="s">
        <v>68</v>
      </c>
      <c r="BY73" s="45"/>
      <c r="BZ73" s="45"/>
      <c r="CA73" s="46"/>
      <c r="CB73" s="43"/>
      <c r="CC73" s="43"/>
      <c r="CD73" s="43"/>
      <c r="CE73" s="45"/>
      <c r="CF73" s="45"/>
      <c r="CG73" s="46"/>
    </row>
    <row r="74" s="18" customFormat="true" ht="28.35" hidden="false" customHeight="false" outlineLevel="0" collapsed="false">
      <c r="B74" s="19"/>
      <c r="C74" s="47"/>
      <c r="D74" s="47"/>
      <c r="E74" s="48"/>
      <c r="F74" s="32" t="s">
        <v>56</v>
      </c>
      <c r="G74" s="48"/>
      <c r="H74" s="37"/>
      <c r="I74" s="38"/>
      <c r="J74" s="37"/>
      <c r="K74" s="34" t="n">
        <v>15</v>
      </c>
      <c r="L74" s="35" t="n">
        <f aca="false">AVERAGEA(K74,M74)</f>
        <v>28.5</v>
      </c>
      <c r="M74" s="34" t="n">
        <v>42</v>
      </c>
      <c r="N74" s="37" t="s">
        <v>55</v>
      </c>
      <c r="O74" s="38"/>
      <c r="P74" s="37" t="s">
        <v>55</v>
      </c>
      <c r="Q74" s="34" t="n">
        <v>15</v>
      </c>
      <c r="R74" s="35" t="n">
        <f aca="false">AVERAGEA(Q74,S74)</f>
        <v>28.5</v>
      </c>
      <c r="S74" s="34" t="n">
        <v>42</v>
      </c>
      <c r="T74" s="36" t="n">
        <v>38</v>
      </c>
      <c r="U74" s="37" t="n">
        <f aca="false">AVERAGEA(T74,V74)</f>
        <v>42</v>
      </c>
      <c r="V74" s="36" t="n">
        <v>46</v>
      </c>
      <c r="W74" s="34" t="n">
        <v>53</v>
      </c>
      <c r="X74" s="35" t="n">
        <f aca="false">AVERAGEA(W74,Y74)</f>
        <v>70.5</v>
      </c>
      <c r="Y74" s="34" t="n">
        <v>88</v>
      </c>
      <c r="Z74" s="36" t="s">
        <v>55</v>
      </c>
      <c r="AA74" s="37"/>
      <c r="AB74" s="36" t="s">
        <v>55</v>
      </c>
      <c r="AC74" s="34" t="n">
        <v>83.8</v>
      </c>
      <c r="AD74" s="35" t="n">
        <f aca="false">AVERAGEA(AE74,AC74)</f>
        <v>85.05</v>
      </c>
      <c r="AE74" s="34" t="n">
        <v>86.3</v>
      </c>
      <c r="AF74" s="37" t="n">
        <v>30</v>
      </c>
      <c r="AG74" s="38" t="n">
        <f aca="false">AVERAGEA(AH74, AF74)</f>
        <v>30</v>
      </c>
      <c r="AH74" s="37" t="n">
        <v>30</v>
      </c>
      <c r="AI74" s="35" t="n">
        <v>0.66</v>
      </c>
      <c r="AJ74" s="39" t="n">
        <f aca="false">AVERAGEA(AK74, AI74)</f>
        <v>0.66</v>
      </c>
      <c r="AK74" s="35" t="n">
        <v>0.66</v>
      </c>
      <c r="AL74" s="37" t="n">
        <v>0.66</v>
      </c>
      <c r="AM74" s="38" t="n">
        <f aca="false">AVERAGEA(AN74, AL74)</f>
        <v>0.66</v>
      </c>
      <c r="AN74" s="37" t="n">
        <v>0.66</v>
      </c>
      <c r="AO74" s="35" t="s">
        <v>68</v>
      </c>
      <c r="AP74" s="39"/>
      <c r="AQ74" s="35" t="s">
        <v>68</v>
      </c>
      <c r="AR74" s="37" t="s">
        <v>68</v>
      </c>
      <c r="AS74" s="38"/>
      <c r="AT74" s="37" t="s">
        <v>68</v>
      </c>
      <c r="AU74" s="35" t="n">
        <v>2350</v>
      </c>
      <c r="AV74" s="39" t="n">
        <f aca="false">AVERAGEA(AW74, AU74)</f>
        <v>2500</v>
      </c>
      <c r="AW74" s="35" t="n">
        <v>2650</v>
      </c>
      <c r="AX74" s="37" t="n">
        <v>55.1</v>
      </c>
      <c r="AY74" s="38" t="n">
        <f aca="false">AVERAGEA(AZ74, AX74)</f>
        <v>58.6</v>
      </c>
      <c r="AZ74" s="37" t="n">
        <v>62.1</v>
      </c>
      <c r="BA74" s="45" t="s">
        <v>69</v>
      </c>
      <c r="BB74" s="45"/>
      <c r="BC74" s="45" t="s">
        <v>69</v>
      </c>
      <c r="BD74" s="43" t="s">
        <v>68</v>
      </c>
      <c r="BE74" s="43"/>
      <c r="BF74" s="43" t="s">
        <v>68</v>
      </c>
      <c r="BG74" s="45" t="s">
        <v>69</v>
      </c>
      <c r="BH74" s="45"/>
      <c r="BI74" s="45" t="s">
        <v>69</v>
      </c>
      <c r="BJ74" s="43" t="s">
        <v>68</v>
      </c>
      <c r="BK74" s="37"/>
      <c r="BL74" s="43" t="s">
        <v>68</v>
      </c>
      <c r="BM74" s="45" t="s">
        <v>69</v>
      </c>
      <c r="BN74" s="45"/>
      <c r="BO74" s="45" t="s">
        <v>69</v>
      </c>
      <c r="BP74" s="43" t="s">
        <v>68</v>
      </c>
      <c r="BQ74" s="43"/>
      <c r="BR74" s="43" t="s">
        <v>68</v>
      </c>
      <c r="BS74" s="45" t="s">
        <v>68</v>
      </c>
      <c r="BT74" s="45"/>
      <c r="BU74" s="46" t="s">
        <v>68</v>
      </c>
      <c r="BV74" s="43" t="s">
        <v>68</v>
      </c>
      <c r="BW74" s="43"/>
      <c r="BX74" s="43" t="s">
        <v>68</v>
      </c>
      <c r="BY74" s="45"/>
      <c r="BZ74" s="45"/>
      <c r="CA74" s="46"/>
      <c r="CB74" s="43"/>
      <c r="CC74" s="43"/>
      <c r="CD74" s="43"/>
      <c r="CE74" s="45"/>
      <c r="CF74" s="45"/>
      <c r="CG74" s="46"/>
    </row>
    <row r="75" s="18" customFormat="true" ht="28.35" hidden="false" customHeight="false" outlineLevel="0" collapsed="false">
      <c r="B75" s="19"/>
      <c r="C75" s="47"/>
      <c r="D75" s="47"/>
      <c r="E75" s="48"/>
      <c r="F75" s="32" t="s">
        <v>57</v>
      </c>
      <c r="G75" s="48"/>
      <c r="H75" s="37"/>
      <c r="I75" s="38"/>
      <c r="J75" s="37"/>
      <c r="K75" s="34" t="n">
        <v>15</v>
      </c>
      <c r="L75" s="35" t="n">
        <f aca="false">AVERAGEA(K75,M75)</f>
        <v>28.5</v>
      </c>
      <c r="M75" s="34" t="n">
        <v>42</v>
      </c>
      <c r="N75" s="37" t="s">
        <v>55</v>
      </c>
      <c r="O75" s="38"/>
      <c r="P75" s="37" t="s">
        <v>55</v>
      </c>
      <c r="Q75" s="34" t="n">
        <v>15</v>
      </c>
      <c r="R75" s="35" t="n">
        <f aca="false">AVERAGEA(Q75,S75)</f>
        <v>28.5</v>
      </c>
      <c r="S75" s="34" t="n">
        <v>42</v>
      </c>
      <c r="T75" s="36" t="n">
        <v>38</v>
      </c>
      <c r="U75" s="37" t="n">
        <f aca="false">AVERAGEA(T75,V75)</f>
        <v>42</v>
      </c>
      <c r="V75" s="36" t="n">
        <v>46</v>
      </c>
      <c r="W75" s="34" t="n">
        <v>53</v>
      </c>
      <c r="X75" s="35" t="n">
        <f aca="false">AVERAGEA(W75,Y75)</f>
        <v>70.5</v>
      </c>
      <c r="Y75" s="34" t="n">
        <v>88</v>
      </c>
      <c r="Z75" s="36" t="s">
        <v>55</v>
      </c>
      <c r="AA75" s="37"/>
      <c r="AB75" s="36" t="s">
        <v>55</v>
      </c>
      <c r="AC75" s="34" t="n">
        <v>83.8</v>
      </c>
      <c r="AD75" s="35" t="n">
        <f aca="false">AVERAGEA(AE75,AC75)</f>
        <v>85.05</v>
      </c>
      <c r="AE75" s="34" t="n">
        <v>86.3</v>
      </c>
      <c r="AF75" s="37" t="n">
        <v>30</v>
      </c>
      <c r="AG75" s="38" t="n">
        <f aca="false">AVERAGEA(AH75, AF75)</f>
        <v>30</v>
      </c>
      <c r="AH75" s="37" t="n">
        <v>30</v>
      </c>
      <c r="AI75" s="35" t="n">
        <v>0.66</v>
      </c>
      <c r="AJ75" s="39" t="n">
        <f aca="false">AVERAGEA(AK75, AI75)</f>
        <v>0.66</v>
      </c>
      <c r="AK75" s="35" t="n">
        <v>0.66</v>
      </c>
      <c r="AL75" s="37" t="n">
        <v>0.66</v>
      </c>
      <c r="AM75" s="38" t="n">
        <f aca="false">AVERAGEA(AN75, AL75)</f>
        <v>0.66</v>
      </c>
      <c r="AN75" s="37" t="n">
        <v>0.66</v>
      </c>
      <c r="AO75" s="35" t="s">
        <v>68</v>
      </c>
      <c r="AP75" s="39"/>
      <c r="AQ75" s="35" t="s">
        <v>68</v>
      </c>
      <c r="AR75" s="37" t="s">
        <v>68</v>
      </c>
      <c r="AS75" s="38"/>
      <c r="AT75" s="37" t="s">
        <v>68</v>
      </c>
      <c r="AU75" s="35" t="n">
        <v>2350</v>
      </c>
      <c r="AV75" s="39" t="n">
        <f aca="false">AVERAGEA(AW75, AU75)</f>
        <v>2500</v>
      </c>
      <c r="AW75" s="35" t="n">
        <v>2650</v>
      </c>
      <c r="AX75" s="37" t="n">
        <v>55.1</v>
      </c>
      <c r="AY75" s="38" t="n">
        <f aca="false">AVERAGEA(AZ75, AX75)</f>
        <v>58.6</v>
      </c>
      <c r="AZ75" s="37" t="n">
        <v>62.1</v>
      </c>
      <c r="BA75" s="45" t="s">
        <v>69</v>
      </c>
      <c r="BB75" s="45"/>
      <c r="BC75" s="45" t="s">
        <v>69</v>
      </c>
      <c r="BD75" s="43" t="s">
        <v>68</v>
      </c>
      <c r="BE75" s="43"/>
      <c r="BF75" s="43" t="s">
        <v>68</v>
      </c>
      <c r="BG75" s="45" t="s">
        <v>69</v>
      </c>
      <c r="BH75" s="45"/>
      <c r="BI75" s="45" t="s">
        <v>69</v>
      </c>
      <c r="BJ75" s="43" t="s">
        <v>68</v>
      </c>
      <c r="BK75" s="37"/>
      <c r="BL75" s="43" t="s">
        <v>68</v>
      </c>
      <c r="BM75" s="45" t="s">
        <v>69</v>
      </c>
      <c r="BN75" s="45"/>
      <c r="BO75" s="45" t="s">
        <v>69</v>
      </c>
      <c r="BP75" s="43" t="s">
        <v>68</v>
      </c>
      <c r="BQ75" s="43"/>
      <c r="BR75" s="43" t="s">
        <v>68</v>
      </c>
      <c r="BS75" s="45" t="s">
        <v>68</v>
      </c>
      <c r="BT75" s="45"/>
      <c r="BU75" s="46" t="s">
        <v>68</v>
      </c>
      <c r="BV75" s="43" t="s">
        <v>68</v>
      </c>
      <c r="BW75" s="43"/>
      <c r="BX75" s="43" t="s">
        <v>68</v>
      </c>
      <c r="BY75" s="45"/>
      <c r="BZ75" s="45"/>
      <c r="CA75" s="46"/>
      <c r="CB75" s="43"/>
      <c r="CC75" s="43"/>
      <c r="CD75" s="43"/>
      <c r="CE75" s="45"/>
      <c r="CF75" s="45"/>
      <c r="CG75" s="46"/>
    </row>
    <row r="76" s="18" customFormat="true" ht="28.35" hidden="false" customHeight="false" outlineLevel="0" collapsed="false">
      <c r="B76" s="19"/>
      <c r="C76" s="47"/>
      <c r="D76" s="47"/>
      <c r="E76" s="48"/>
      <c r="F76" s="32" t="s">
        <v>58</v>
      </c>
      <c r="G76" s="48"/>
      <c r="H76" s="37"/>
      <c r="I76" s="38"/>
      <c r="J76" s="37"/>
      <c r="K76" s="34" t="n">
        <v>48</v>
      </c>
      <c r="L76" s="35" t="n">
        <f aca="false">AVERAGEA(K76,M76)</f>
        <v>52.5</v>
      </c>
      <c r="M76" s="34" t="n">
        <v>57</v>
      </c>
      <c r="N76" s="37" t="s">
        <v>55</v>
      </c>
      <c r="O76" s="38"/>
      <c r="P76" s="37" t="s">
        <v>55</v>
      </c>
      <c r="Q76" s="34" t="n">
        <v>48</v>
      </c>
      <c r="R76" s="35" t="n">
        <f aca="false">AVERAGEA(Q76,S76)</f>
        <v>52.5</v>
      </c>
      <c r="S76" s="34" t="n">
        <v>57</v>
      </c>
      <c r="T76" s="36" t="n">
        <v>34</v>
      </c>
      <c r="U76" s="37" t="n">
        <f aca="false">AVERAGEA(T76,V76)</f>
        <v>38</v>
      </c>
      <c r="V76" s="36" t="n">
        <v>42</v>
      </c>
      <c r="W76" s="34" t="n">
        <v>90</v>
      </c>
      <c r="X76" s="35" t="n">
        <f aca="false">AVERAGEA(W76,Y76)</f>
        <v>90.5</v>
      </c>
      <c r="Y76" s="34" t="n">
        <v>91</v>
      </c>
      <c r="Z76" s="36" t="s">
        <v>55</v>
      </c>
      <c r="AA76" s="37"/>
      <c r="AB76" s="36" t="s">
        <v>55</v>
      </c>
      <c r="AC76" s="34" t="n">
        <v>83.8</v>
      </c>
      <c r="AD76" s="35" t="n">
        <f aca="false">AVERAGEA(AE76,AC76)</f>
        <v>85.05</v>
      </c>
      <c r="AE76" s="34" t="n">
        <v>86.3</v>
      </c>
      <c r="AF76" s="37" t="n">
        <v>30</v>
      </c>
      <c r="AG76" s="38" t="n">
        <f aca="false">AVERAGEA(AH76, AF76)</f>
        <v>30</v>
      </c>
      <c r="AH76" s="37" t="n">
        <v>30</v>
      </c>
      <c r="AI76" s="35" t="n">
        <v>0.66</v>
      </c>
      <c r="AJ76" s="39" t="n">
        <f aca="false">AVERAGEA(AK76, AI76)</f>
        <v>0.66</v>
      </c>
      <c r="AK76" s="35" t="n">
        <v>0.66</v>
      </c>
      <c r="AL76" s="37" t="n">
        <v>0.66</v>
      </c>
      <c r="AM76" s="38" t="n">
        <f aca="false">AVERAGEA(AN76, AL76)</f>
        <v>0.66</v>
      </c>
      <c r="AN76" s="37" t="n">
        <v>0.66</v>
      </c>
      <c r="AO76" s="35" t="s">
        <v>68</v>
      </c>
      <c r="AP76" s="39"/>
      <c r="AQ76" s="35" t="s">
        <v>68</v>
      </c>
      <c r="AR76" s="37" t="s">
        <v>68</v>
      </c>
      <c r="AS76" s="38"/>
      <c r="AT76" s="37" t="s">
        <v>68</v>
      </c>
      <c r="AU76" s="35" t="n">
        <v>2350</v>
      </c>
      <c r="AV76" s="39" t="n">
        <f aca="false">AVERAGEA(AW76, AU76)</f>
        <v>2500</v>
      </c>
      <c r="AW76" s="35" t="n">
        <v>2650</v>
      </c>
      <c r="AX76" s="37" t="n">
        <v>55.1</v>
      </c>
      <c r="AY76" s="38" t="n">
        <f aca="false">AVERAGEA(AZ76, AX76)</f>
        <v>58.6</v>
      </c>
      <c r="AZ76" s="37" t="n">
        <v>62.1</v>
      </c>
      <c r="BA76" s="45" t="s">
        <v>69</v>
      </c>
      <c r="BB76" s="45"/>
      <c r="BC76" s="45" t="s">
        <v>69</v>
      </c>
      <c r="BD76" s="43" t="s">
        <v>68</v>
      </c>
      <c r="BE76" s="43"/>
      <c r="BF76" s="43" t="s">
        <v>68</v>
      </c>
      <c r="BG76" s="45" t="s">
        <v>69</v>
      </c>
      <c r="BH76" s="45"/>
      <c r="BI76" s="45" t="s">
        <v>69</v>
      </c>
      <c r="BJ76" s="43" t="s">
        <v>68</v>
      </c>
      <c r="BK76" s="37"/>
      <c r="BL76" s="43" t="s">
        <v>68</v>
      </c>
      <c r="BM76" s="45" t="s">
        <v>69</v>
      </c>
      <c r="BN76" s="45"/>
      <c r="BO76" s="45" t="s">
        <v>69</v>
      </c>
      <c r="BP76" s="43" t="s">
        <v>68</v>
      </c>
      <c r="BQ76" s="43"/>
      <c r="BR76" s="43" t="s">
        <v>68</v>
      </c>
      <c r="BS76" s="45" t="s">
        <v>68</v>
      </c>
      <c r="BT76" s="45"/>
      <c r="BU76" s="46" t="s">
        <v>68</v>
      </c>
      <c r="BV76" s="43" t="s">
        <v>68</v>
      </c>
      <c r="BW76" s="43"/>
      <c r="BX76" s="43" t="s">
        <v>68</v>
      </c>
      <c r="BY76" s="45"/>
      <c r="BZ76" s="45"/>
      <c r="CA76" s="46"/>
      <c r="CB76" s="43"/>
      <c r="CC76" s="43"/>
      <c r="CD76" s="43"/>
      <c r="CE76" s="45"/>
      <c r="CF76" s="45"/>
      <c r="CG76" s="46"/>
    </row>
    <row r="77" s="18" customFormat="true" ht="28.35" hidden="false" customHeight="false" outlineLevel="0" collapsed="false">
      <c r="B77" s="19"/>
      <c r="C77" s="47" t="s">
        <v>72</v>
      </c>
      <c r="D77" s="49" t="s">
        <v>73</v>
      </c>
      <c r="E77" s="50"/>
      <c r="F77" s="32" t="s">
        <v>54</v>
      </c>
      <c r="G77" s="48"/>
      <c r="H77" s="37"/>
      <c r="I77" s="38"/>
      <c r="J77" s="37"/>
      <c r="K77" s="34" t="n">
        <v>15</v>
      </c>
      <c r="L77" s="35" t="n">
        <f aca="false">AVERAGEA(K77,M77)</f>
        <v>28.5</v>
      </c>
      <c r="M77" s="34" t="n">
        <v>42</v>
      </c>
      <c r="N77" s="37" t="s">
        <v>55</v>
      </c>
      <c r="O77" s="38"/>
      <c r="P77" s="37" t="s">
        <v>55</v>
      </c>
      <c r="Q77" s="34" t="n">
        <v>15</v>
      </c>
      <c r="R77" s="35" t="n">
        <f aca="false">AVERAGEA(Q77,S77)</f>
        <v>28.5</v>
      </c>
      <c r="S77" s="34" t="n">
        <v>42</v>
      </c>
      <c r="T77" s="36" t="n">
        <v>38</v>
      </c>
      <c r="U77" s="37" t="n">
        <f aca="false">AVERAGEA(T77,V77)</f>
        <v>42</v>
      </c>
      <c r="V77" s="36" t="n">
        <v>46</v>
      </c>
      <c r="W77" s="34" t="n">
        <v>53</v>
      </c>
      <c r="X77" s="35" t="n">
        <f aca="false">AVERAGEA(W77,Y77)</f>
        <v>70.5</v>
      </c>
      <c r="Y77" s="34" t="n">
        <v>88</v>
      </c>
      <c r="Z77" s="36" t="s">
        <v>55</v>
      </c>
      <c r="AA77" s="37"/>
      <c r="AB77" s="36" t="s">
        <v>55</v>
      </c>
      <c r="AC77" s="34" t="n">
        <v>83.8</v>
      </c>
      <c r="AD77" s="35" t="n">
        <f aca="false">AVERAGEA(AE77,AC77)</f>
        <v>85.05</v>
      </c>
      <c r="AE77" s="34" t="n">
        <v>86.3</v>
      </c>
      <c r="AF77" s="37" t="n">
        <v>30</v>
      </c>
      <c r="AG77" s="38" t="n">
        <f aca="false">AVERAGEA(AH77, AF77)</f>
        <v>30</v>
      </c>
      <c r="AH77" s="37" t="n">
        <v>30</v>
      </c>
      <c r="AI77" s="35" t="n">
        <v>0.66</v>
      </c>
      <c r="AJ77" s="39" t="n">
        <f aca="false">AVERAGEA(AK77, AI77)</f>
        <v>0.66</v>
      </c>
      <c r="AK77" s="35" t="n">
        <v>0.66</v>
      </c>
      <c r="AL77" s="37" t="n">
        <v>0.66</v>
      </c>
      <c r="AM77" s="38" t="n">
        <f aca="false">AVERAGEA(AN77, AL77)</f>
        <v>0.66</v>
      </c>
      <c r="AN77" s="37" t="n">
        <v>0.66</v>
      </c>
      <c r="AO77" s="35" t="s">
        <v>68</v>
      </c>
      <c r="AP77" s="39"/>
      <c r="AQ77" s="35" t="s">
        <v>68</v>
      </c>
      <c r="AR77" s="37" t="s">
        <v>68</v>
      </c>
      <c r="AS77" s="38"/>
      <c r="AT77" s="37" t="s">
        <v>68</v>
      </c>
      <c r="AU77" s="35" t="n">
        <v>2350</v>
      </c>
      <c r="AV77" s="39" t="n">
        <f aca="false">AVERAGEA(AW77, AU77)</f>
        <v>2500</v>
      </c>
      <c r="AW77" s="35" t="n">
        <v>2650</v>
      </c>
      <c r="AX77" s="37" t="n">
        <v>55.1</v>
      </c>
      <c r="AY77" s="38" t="n">
        <f aca="false">AVERAGEA(AZ77, AX77)</f>
        <v>58.6</v>
      </c>
      <c r="AZ77" s="37" t="n">
        <v>62.1</v>
      </c>
      <c r="BA77" s="45" t="s">
        <v>69</v>
      </c>
      <c r="BB77" s="45"/>
      <c r="BC77" s="45" t="s">
        <v>69</v>
      </c>
      <c r="BD77" s="43" t="s">
        <v>68</v>
      </c>
      <c r="BE77" s="43"/>
      <c r="BF77" s="43" t="s">
        <v>68</v>
      </c>
      <c r="BG77" s="45" t="s">
        <v>69</v>
      </c>
      <c r="BH77" s="45"/>
      <c r="BI77" s="45" t="s">
        <v>69</v>
      </c>
      <c r="BJ77" s="43" t="s">
        <v>68</v>
      </c>
      <c r="BK77" s="37"/>
      <c r="BL77" s="43" t="s">
        <v>68</v>
      </c>
      <c r="BM77" s="45" t="s">
        <v>69</v>
      </c>
      <c r="BN77" s="45"/>
      <c r="BO77" s="45" t="s">
        <v>69</v>
      </c>
      <c r="BP77" s="43" t="s">
        <v>68</v>
      </c>
      <c r="BQ77" s="43"/>
      <c r="BR77" s="43" t="s">
        <v>68</v>
      </c>
      <c r="BS77" s="45" t="s">
        <v>68</v>
      </c>
      <c r="BT77" s="45"/>
      <c r="BU77" s="46" t="s">
        <v>68</v>
      </c>
      <c r="BV77" s="43" t="s">
        <v>68</v>
      </c>
      <c r="BW77" s="43"/>
      <c r="BX77" s="43" t="s">
        <v>68</v>
      </c>
      <c r="BY77" s="45"/>
      <c r="BZ77" s="45"/>
      <c r="CA77" s="46"/>
      <c r="CB77" s="43"/>
      <c r="CC77" s="43"/>
      <c r="CD77" s="43"/>
      <c r="CE77" s="45"/>
      <c r="CF77" s="45"/>
      <c r="CG77" s="46"/>
    </row>
    <row r="78" s="18" customFormat="true" ht="28.35" hidden="false" customHeight="false" outlineLevel="0" collapsed="false">
      <c r="B78" s="19"/>
      <c r="C78" s="47"/>
      <c r="D78" s="47"/>
      <c r="E78" s="50"/>
      <c r="F78" s="32" t="s">
        <v>56</v>
      </c>
      <c r="G78" s="48"/>
      <c r="H78" s="37"/>
      <c r="I78" s="38"/>
      <c r="J78" s="37"/>
      <c r="K78" s="34" t="n">
        <v>15</v>
      </c>
      <c r="L78" s="35" t="n">
        <f aca="false">AVERAGEA(K78,M78)</f>
        <v>28.5</v>
      </c>
      <c r="M78" s="34" t="n">
        <v>42</v>
      </c>
      <c r="N78" s="37" t="s">
        <v>55</v>
      </c>
      <c r="O78" s="38"/>
      <c r="P78" s="37" t="s">
        <v>55</v>
      </c>
      <c r="Q78" s="34" t="n">
        <v>15</v>
      </c>
      <c r="R78" s="35" t="n">
        <f aca="false">AVERAGEA(Q78,S78)</f>
        <v>28.5</v>
      </c>
      <c r="S78" s="34" t="n">
        <v>42</v>
      </c>
      <c r="T78" s="36" t="n">
        <v>38</v>
      </c>
      <c r="U78" s="37" t="n">
        <f aca="false">AVERAGEA(T78,V78)</f>
        <v>42</v>
      </c>
      <c r="V78" s="36" t="n">
        <v>46</v>
      </c>
      <c r="W78" s="34" t="n">
        <v>53</v>
      </c>
      <c r="X78" s="35" t="n">
        <f aca="false">AVERAGEA(W78,Y78)</f>
        <v>70.5</v>
      </c>
      <c r="Y78" s="34" t="n">
        <v>88</v>
      </c>
      <c r="Z78" s="36" t="s">
        <v>55</v>
      </c>
      <c r="AA78" s="37"/>
      <c r="AB78" s="36" t="s">
        <v>55</v>
      </c>
      <c r="AC78" s="34" t="n">
        <v>83.8</v>
      </c>
      <c r="AD78" s="35" t="n">
        <f aca="false">AVERAGEA(AE78,AC78)</f>
        <v>85.05</v>
      </c>
      <c r="AE78" s="34" t="n">
        <v>86.3</v>
      </c>
      <c r="AF78" s="37" t="n">
        <v>30</v>
      </c>
      <c r="AG78" s="38" t="n">
        <f aca="false">AVERAGEA(AH78, AF78)</f>
        <v>30</v>
      </c>
      <c r="AH78" s="37" t="n">
        <v>30</v>
      </c>
      <c r="AI78" s="35" t="n">
        <v>0.66</v>
      </c>
      <c r="AJ78" s="39" t="n">
        <f aca="false">AVERAGEA(AK78, AI78)</f>
        <v>0.66</v>
      </c>
      <c r="AK78" s="35" t="n">
        <v>0.66</v>
      </c>
      <c r="AL78" s="37" t="n">
        <v>0.66</v>
      </c>
      <c r="AM78" s="38" t="n">
        <f aca="false">AVERAGEA(AN78, AL78)</f>
        <v>0.66</v>
      </c>
      <c r="AN78" s="37" t="n">
        <v>0.66</v>
      </c>
      <c r="AO78" s="35" t="s">
        <v>68</v>
      </c>
      <c r="AP78" s="39"/>
      <c r="AQ78" s="35" t="s">
        <v>68</v>
      </c>
      <c r="AR78" s="37" t="s">
        <v>68</v>
      </c>
      <c r="AS78" s="38"/>
      <c r="AT78" s="37" t="s">
        <v>68</v>
      </c>
      <c r="AU78" s="35" t="n">
        <v>2350</v>
      </c>
      <c r="AV78" s="39" t="n">
        <f aca="false">AVERAGEA(AW78, AU78)</f>
        <v>2500</v>
      </c>
      <c r="AW78" s="35" t="n">
        <v>2650</v>
      </c>
      <c r="AX78" s="37" t="n">
        <v>55.1</v>
      </c>
      <c r="AY78" s="38" t="n">
        <f aca="false">AVERAGEA(AZ78, AX78)</f>
        <v>58.6</v>
      </c>
      <c r="AZ78" s="37" t="n">
        <v>62.1</v>
      </c>
      <c r="BA78" s="45" t="s">
        <v>69</v>
      </c>
      <c r="BB78" s="45"/>
      <c r="BC78" s="45" t="s">
        <v>69</v>
      </c>
      <c r="BD78" s="43" t="s">
        <v>68</v>
      </c>
      <c r="BE78" s="43"/>
      <c r="BF78" s="43" t="s">
        <v>68</v>
      </c>
      <c r="BG78" s="45" t="s">
        <v>69</v>
      </c>
      <c r="BH78" s="45"/>
      <c r="BI78" s="45" t="s">
        <v>69</v>
      </c>
      <c r="BJ78" s="43" t="s">
        <v>68</v>
      </c>
      <c r="BK78" s="37"/>
      <c r="BL78" s="43" t="s">
        <v>68</v>
      </c>
      <c r="BM78" s="45" t="s">
        <v>69</v>
      </c>
      <c r="BN78" s="45"/>
      <c r="BO78" s="45" t="s">
        <v>69</v>
      </c>
      <c r="BP78" s="43" t="s">
        <v>68</v>
      </c>
      <c r="BQ78" s="43"/>
      <c r="BR78" s="43" t="s">
        <v>68</v>
      </c>
      <c r="BS78" s="45" t="s">
        <v>68</v>
      </c>
      <c r="BT78" s="45"/>
      <c r="BU78" s="46" t="s">
        <v>68</v>
      </c>
      <c r="BV78" s="43" t="s">
        <v>68</v>
      </c>
      <c r="BW78" s="43"/>
      <c r="BX78" s="43" t="s">
        <v>68</v>
      </c>
      <c r="BY78" s="45"/>
      <c r="BZ78" s="45"/>
      <c r="CA78" s="46"/>
      <c r="CB78" s="43"/>
      <c r="CC78" s="43"/>
      <c r="CD78" s="43"/>
      <c r="CE78" s="45"/>
      <c r="CF78" s="45"/>
      <c r="CG78" s="46"/>
    </row>
    <row r="79" s="18" customFormat="true" ht="28.35" hidden="false" customHeight="false" outlineLevel="0" collapsed="false">
      <c r="B79" s="19"/>
      <c r="C79" s="47"/>
      <c r="D79" s="47"/>
      <c r="E79" s="50"/>
      <c r="F79" s="32" t="s">
        <v>57</v>
      </c>
      <c r="G79" s="48"/>
      <c r="H79" s="37"/>
      <c r="I79" s="38"/>
      <c r="J79" s="37"/>
      <c r="K79" s="34" t="n">
        <v>15</v>
      </c>
      <c r="L79" s="35" t="n">
        <f aca="false">AVERAGEA(K79,M79)</f>
        <v>28.5</v>
      </c>
      <c r="M79" s="34" t="n">
        <v>42</v>
      </c>
      <c r="N79" s="37" t="s">
        <v>55</v>
      </c>
      <c r="O79" s="38"/>
      <c r="P79" s="37" t="s">
        <v>55</v>
      </c>
      <c r="Q79" s="34" t="n">
        <v>15</v>
      </c>
      <c r="R79" s="35" t="n">
        <f aca="false">AVERAGEA(Q79,S79)</f>
        <v>28.5</v>
      </c>
      <c r="S79" s="34" t="n">
        <v>42</v>
      </c>
      <c r="T79" s="36" t="n">
        <v>38</v>
      </c>
      <c r="U79" s="37" t="n">
        <f aca="false">AVERAGEA(T79,V79)</f>
        <v>42</v>
      </c>
      <c r="V79" s="36" t="n">
        <v>46</v>
      </c>
      <c r="W79" s="34" t="n">
        <v>53</v>
      </c>
      <c r="X79" s="35" t="n">
        <f aca="false">AVERAGEA(W79,Y79)</f>
        <v>70.5</v>
      </c>
      <c r="Y79" s="34" t="n">
        <v>88</v>
      </c>
      <c r="Z79" s="36" t="s">
        <v>55</v>
      </c>
      <c r="AA79" s="37"/>
      <c r="AB79" s="36" t="s">
        <v>55</v>
      </c>
      <c r="AC79" s="34" t="n">
        <v>83.8</v>
      </c>
      <c r="AD79" s="35" t="n">
        <f aca="false">AVERAGEA(AE79,AC79)</f>
        <v>85.05</v>
      </c>
      <c r="AE79" s="34" t="n">
        <v>86.3</v>
      </c>
      <c r="AF79" s="37" t="n">
        <v>30</v>
      </c>
      <c r="AG79" s="38" t="n">
        <f aca="false">AVERAGEA(AH79, AF79)</f>
        <v>30</v>
      </c>
      <c r="AH79" s="37" t="n">
        <v>30</v>
      </c>
      <c r="AI79" s="35" t="n">
        <v>0.66</v>
      </c>
      <c r="AJ79" s="39" t="n">
        <f aca="false">AVERAGEA(AK79, AI79)</f>
        <v>0.66</v>
      </c>
      <c r="AK79" s="35" t="n">
        <v>0.66</v>
      </c>
      <c r="AL79" s="37" t="n">
        <v>0.66</v>
      </c>
      <c r="AM79" s="38" t="n">
        <f aca="false">AVERAGEA(AN79, AL79)</f>
        <v>0.66</v>
      </c>
      <c r="AN79" s="37" t="n">
        <v>0.66</v>
      </c>
      <c r="AO79" s="35" t="s">
        <v>68</v>
      </c>
      <c r="AP79" s="39"/>
      <c r="AQ79" s="35" t="s">
        <v>68</v>
      </c>
      <c r="AR79" s="37" t="s">
        <v>68</v>
      </c>
      <c r="AS79" s="38"/>
      <c r="AT79" s="37" t="s">
        <v>68</v>
      </c>
      <c r="AU79" s="35" t="n">
        <v>2350</v>
      </c>
      <c r="AV79" s="39" t="n">
        <f aca="false">AVERAGEA(AW79, AU79)</f>
        <v>2500</v>
      </c>
      <c r="AW79" s="35" t="n">
        <v>2650</v>
      </c>
      <c r="AX79" s="37" t="n">
        <v>55.1</v>
      </c>
      <c r="AY79" s="38" t="n">
        <f aca="false">AVERAGEA(AZ79, AX79)</f>
        <v>58.6</v>
      </c>
      <c r="AZ79" s="37" t="n">
        <v>62.1</v>
      </c>
      <c r="BA79" s="45" t="s">
        <v>69</v>
      </c>
      <c r="BB79" s="45"/>
      <c r="BC79" s="45" t="s">
        <v>69</v>
      </c>
      <c r="BD79" s="43" t="s">
        <v>68</v>
      </c>
      <c r="BE79" s="43"/>
      <c r="BF79" s="43" t="s">
        <v>68</v>
      </c>
      <c r="BG79" s="45" t="s">
        <v>69</v>
      </c>
      <c r="BH79" s="45"/>
      <c r="BI79" s="45" t="s">
        <v>69</v>
      </c>
      <c r="BJ79" s="43" t="s">
        <v>68</v>
      </c>
      <c r="BK79" s="37"/>
      <c r="BL79" s="43" t="s">
        <v>68</v>
      </c>
      <c r="BM79" s="45" t="s">
        <v>69</v>
      </c>
      <c r="BN79" s="45"/>
      <c r="BO79" s="45" t="s">
        <v>69</v>
      </c>
      <c r="BP79" s="43" t="s">
        <v>68</v>
      </c>
      <c r="BQ79" s="43"/>
      <c r="BR79" s="43" t="s">
        <v>68</v>
      </c>
      <c r="BS79" s="45" t="s">
        <v>68</v>
      </c>
      <c r="BT79" s="45"/>
      <c r="BU79" s="46" t="s">
        <v>68</v>
      </c>
      <c r="BV79" s="43" t="s">
        <v>68</v>
      </c>
      <c r="BW79" s="43"/>
      <c r="BX79" s="43" t="s">
        <v>68</v>
      </c>
      <c r="BY79" s="45"/>
      <c r="BZ79" s="45"/>
      <c r="CA79" s="46"/>
      <c r="CB79" s="43"/>
      <c r="CC79" s="43"/>
      <c r="CD79" s="43"/>
      <c r="CE79" s="45"/>
      <c r="CF79" s="45"/>
      <c r="CG79" s="46"/>
    </row>
    <row r="80" s="18" customFormat="true" ht="28.35" hidden="false" customHeight="false" outlineLevel="0" collapsed="false">
      <c r="B80" s="19"/>
      <c r="C80" s="47"/>
      <c r="D80" s="47"/>
      <c r="E80" s="50"/>
      <c r="F80" s="47" t="s">
        <v>58</v>
      </c>
      <c r="G80" s="50"/>
      <c r="H80" s="37"/>
      <c r="I80" s="51"/>
      <c r="J80" s="52"/>
      <c r="K80" s="53" t="n">
        <v>48</v>
      </c>
      <c r="L80" s="54" t="n">
        <f aca="false">AVERAGEA(K80,M80)</f>
        <v>52.5</v>
      </c>
      <c r="M80" s="53" t="n">
        <v>57</v>
      </c>
      <c r="N80" s="37" t="s">
        <v>55</v>
      </c>
      <c r="O80" s="51"/>
      <c r="P80" s="52" t="s">
        <v>55</v>
      </c>
      <c r="Q80" s="53" t="n">
        <v>48</v>
      </c>
      <c r="R80" s="54" t="n">
        <f aca="false">AVERAGEA(Q80,S80)</f>
        <v>52.5</v>
      </c>
      <c r="S80" s="53" t="n">
        <v>57</v>
      </c>
      <c r="T80" s="51" t="n">
        <v>34</v>
      </c>
      <c r="U80" s="51" t="n">
        <f aca="false">AVERAGEA(T80,V80)</f>
        <v>38</v>
      </c>
      <c r="V80" s="51" t="n">
        <v>42</v>
      </c>
      <c r="W80" s="53" t="n">
        <v>90</v>
      </c>
      <c r="X80" s="54" t="n">
        <f aca="false">AVERAGEA(W80,Y80)</f>
        <v>90.5</v>
      </c>
      <c r="Y80" s="53" t="n">
        <v>91</v>
      </c>
      <c r="Z80" s="51" t="s">
        <v>55</v>
      </c>
      <c r="AA80" s="51"/>
      <c r="AB80" s="51" t="s">
        <v>55</v>
      </c>
      <c r="AC80" s="53" t="n">
        <v>83.8</v>
      </c>
      <c r="AD80" s="54" t="n">
        <f aca="false">AVERAGEA(AE80,AC80)</f>
        <v>85.05</v>
      </c>
      <c r="AE80" s="53" t="n">
        <v>86.3</v>
      </c>
      <c r="AF80" s="51" t="n">
        <v>30</v>
      </c>
      <c r="AG80" s="51" t="n">
        <f aca="false">AVERAGEA(AH80, AF80)</f>
        <v>30</v>
      </c>
      <c r="AH80" s="51" t="n">
        <v>30</v>
      </c>
      <c r="AI80" s="53" t="n">
        <v>0.66</v>
      </c>
      <c r="AJ80" s="54" t="n">
        <f aca="false">AVERAGEA(AK80, AI80)</f>
        <v>0.66</v>
      </c>
      <c r="AK80" s="53" t="n">
        <v>0.66</v>
      </c>
      <c r="AL80" s="51" t="n">
        <v>0.66</v>
      </c>
      <c r="AM80" s="51" t="n">
        <f aca="false">AVERAGEA(AN80, AL80)</f>
        <v>0.66</v>
      </c>
      <c r="AN80" s="51" t="n">
        <v>0.66</v>
      </c>
      <c r="AO80" s="53" t="s">
        <v>68</v>
      </c>
      <c r="AP80" s="54"/>
      <c r="AQ80" s="53" t="s">
        <v>68</v>
      </c>
      <c r="AR80" s="51" t="s">
        <v>68</v>
      </c>
      <c r="AS80" s="51"/>
      <c r="AT80" s="51" t="s">
        <v>68</v>
      </c>
      <c r="AU80" s="53" t="n">
        <v>2350</v>
      </c>
      <c r="AV80" s="54" t="n">
        <f aca="false">AVERAGEA(AW80, AU80)</f>
        <v>2500</v>
      </c>
      <c r="AW80" s="53" t="n">
        <v>2650</v>
      </c>
      <c r="AX80" s="51" t="n">
        <v>55.1</v>
      </c>
      <c r="AY80" s="51" t="n">
        <f aca="false">AVERAGEA(AZ80, AX80)</f>
        <v>58.6</v>
      </c>
      <c r="AZ80" s="51" t="n">
        <v>62.1</v>
      </c>
      <c r="BA80" s="55" t="s">
        <v>69</v>
      </c>
      <c r="BB80" s="55"/>
      <c r="BC80" s="55" t="s">
        <v>69</v>
      </c>
      <c r="BD80" s="56" t="s">
        <v>68</v>
      </c>
      <c r="BE80" s="56"/>
      <c r="BF80" s="56" t="s">
        <v>68</v>
      </c>
      <c r="BG80" s="55" t="s">
        <v>69</v>
      </c>
      <c r="BH80" s="55"/>
      <c r="BI80" s="55" t="s">
        <v>69</v>
      </c>
      <c r="BJ80" s="56" t="s">
        <v>68</v>
      </c>
      <c r="BK80" s="51"/>
      <c r="BL80" s="56" t="s">
        <v>68</v>
      </c>
      <c r="BM80" s="55" t="s">
        <v>69</v>
      </c>
      <c r="BN80" s="55"/>
      <c r="BO80" s="55" t="s">
        <v>69</v>
      </c>
      <c r="BP80" s="56" t="s">
        <v>68</v>
      </c>
      <c r="BQ80" s="56"/>
      <c r="BR80" s="56" t="s">
        <v>68</v>
      </c>
      <c r="BS80" s="55" t="s">
        <v>68</v>
      </c>
      <c r="BT80" s="55"/>
      <c r="BU80" s="57" t="s">
        <v>68</v>
      </c>
      <c r="BV80" s="56" t="s">
        <v>68</v>
      </c>
      <c r="BW80" s="56"/>
      <c r="BX80" s="56" t="s">
        <v>68</v>
      </c>
      <c r="BY80" s="55"/>
      <c r="BZ80" s="55"/>
      <c r="CA80" s="57"/>
      <c r="CB80" s="56"/>
      <c r="CC80" s="56"/>
      <c r="CD80" s="56"/>
      <c r="CE80" s="55"/>
      <c r="CF80" s="55"/>
      <c r="CG80" s="57"/>
    </row>
    <row r="81" s="18" customFormat="true" ht="40.15" hidden="false" customHeight="true" outlineLevel="0" collapsed="false">
      <c r="B81" s="58" t="s">
        <v>74</v>
      </c>
      <c r="C81" s="59" t="s">
        <v>75</v>
      </c>
      <c r="D81" s="59" t="s">
        <v>76</v>
      </c>
      <c r="E81" s="60"/>
      <c r="F81" s="61" t="s">
        <v>77</v>
      </c>
      <c r="G81" s="60"/>
      <c r="H81" s="25"/>
      <c r="I81" s="25" t="e">
        <f aca="false">AVERAGE(H81,J81)</f>
        <v>#DIV/0!</v>
      </c>
      <c r="J81" s="25"/>
      <c r="K81" s="27" t="s">
        <v>55</v>
      </c>
      <c r="L81" s="27"/>
      <c r="M81" s="27" t="s">
        <v>55</v>
      </c>
      <c r="N81" s="25" t="n">
        <v>55.38</v>
      </c>
      <c r="O81" s="25" t="n">
        <f aca="false">AVERAGE(N81,P81)</f>
        <v>58.63</v>
      </c>
      <c r="P81" s="25" t="n">
        <v>61.88</v>
      </c>
      <c r="Q81" s="27" t="s">
        <v>55</v>
      </c>
      <c r="R81" s="27"/>
      <c r="S81" s="27" t="s">
        <v>55</v>
      </c>
      <c r="T81" s="28" t="s">
        <v>55</v>
      </c>
      <c r="U81" s="30"/>
      <c r="V81" s="29" t="s">
        <v>55</v>
      </c>
      <c r="W81" s="27" t="s">
        <v>55</v>
      </c>
      <c r="X81" s="27"/>
      <c r="Y81" s="27" t="s">
        <v>55</v>
      </c>
      <c r="Z81" s="28" t="s">
        <v>55</v>
      </c>
      <c r="AA81" s="30"/>
      <c r="AB81" s="30" t="s">
        <v>55</v>
      </c>
      <c r="AC81" s="27" t="n">
        <v>84</v>
      </c>
      <c r="AD81" s="27" t="n">
        <f aca="false">AVERAGEA(AE81,AC81)</f>
        <v>87.7</v>
      </c>
      <c r="AE81" s="27" t="n">
        <v>91.4</v>
      </c>
      <c r="AF81" s="29" t="n">
        <v>50</v>
      </c>
      <c r="AG81" s="30" t="n">
        <f aca="false">AVERAGEA(AH81, AF81)</f>
        <v>32.5</v>
      </c>
      <c r="AH81" s="29" t="n">
        <v>15</v>
      </c>
      <c r="AI81" s="27" t="n">
        <v>0.83</v>
      </c>
      <c r="AJ81" s="27" t="n">
        <f aca="false">AVERAGEA(AK81, AI81)</f>
        <v>6.415</v>
      </c>
      <c r="AK81" s="27" t="n">
        <v>12</v>
      </c>
      <c r="AL81" s="29" t="n">
        <v>0.83</v>
      </c>
      <c r="AM81" s="30" t="n">
        <f aca="false">AVERAGEA(AN81, AL81)</f>
        <v>6.415</v>
      </c>
      <c r="AN81" s="29" t="n">
        <v>12</v>
      </c>
      <c r="AO81" s="27" t="n">
        <v>0.25</v>
      </c>
      <c r="AP81" s="62" t="n">
        <f aca="false">AVERAGEA(AQ81, AO81)</f>
        <v>3.125</v>
      </c>
      <c r="AQ81" s="27" t="n">
        <v>6</v>
      </c>
      <c r="AR81" s="29" t="n">
        <v>0.5</v>
      </c>
      <c r="AS81" s="30" t="n">
        <f aca="false">AVERAGEA(AT81, AR81)</f>
        <v>3.25</v>
      </c>
      <c r="AT81" s="29" t="n">
        <v>6</v>
      </c>
      <c r="AU81" s="27" t="n">
        <v>590</v>
      </c>
      <c r="AV81" s="27" t="n">
        <f aca="false">AVERAGEA(AW81, AU81)</f>
        <v>900</v>
      </c>
      <c r="AW81" s="27" t="n">
        <v>1210</v>
      </c>
      <c r="AX81" s="29" t="n">
        <v>17</v>
      </c>
      <c r="AY81" s="30" t="n">
        <f aca="false">AVERAGEA(AZ81, AX81)</f>
        <v>18.5</v>
      </c>
      <c r="AZ81" s="29" t="n">
        <v>20</v>
      </c>
      <c r="BA81" s="27" t="n">
        <v>1.3</v>
      </c>
      <c r="BB81" s="27" t="n">
        <f aca="false">AVERAGEA(BC81, BA81)</f>
        <v>3.15</v>
      </c>
      <c r="BC81" s="27" t="n">
        <v>5</v>
      </c>
      <c r="BD81" s="29" t="n">
        <v>1.5</v>
      </c>
      <c r="BE81" s="30" t="n">
        <f aca="false">AVERAGEA(BD81,BF81)</f>
        <v>13.85</v>
      </c>
      <c r="BF81" s="29" t="n">
        <v>26.2</v>
      </c>
      <c r="BG81" s="27" t="n">
        <v>1.5</v>
      </c>
      <c r="BH81" s="27" t="n">
        <f aca="false">AVERAGEA(BG81,BI81)</f>
        <v>21.4</v>
      </c>
      <c r="BI81" s="27" t="n">
        <v>41.3</v>
      </c>
      <c r="BJ81" s="29" t="n">
        <v>3.5</v>
      </c>
      <c r="BK81" s="30" t="n">
        <f aca="false">AVERAGEA(BJ81,BL81)</f>
        <v>39.725</v>
      </c>
      <c r="BL81" s="29" t="n">
        <v>75.95</v>
      </c>
      <c r="BM81" s="27" t="n">
        <v>0.25</v>
      </c>
      <c r="BN81" s="27" t="n">
        <f aca="false">AVERAGEA(BO81, BM81)</f>
        <v>0.375</v>
      </c>
      <c r="BO81" s="27" t="n">
        <v>0.5</v>
      </c>
      <c r="BP81" s="29" t="s">
        <v>68</v>
      </c>
      <c r="BQ81" s="30"/>
      <c r="BR81" s="29" t="s">
        <v>68</v>
      </c>
      <c r="BS81" s="27" t="s">
        <v>68</v>
      </c>
      <c r="BT81" s="27"/>
      <c r="BU81" s="31" t="s">
        <v>68</v>
      </c>
      <c r="BV81" s="29" t="s">
        <v>68</v>
      </c>
      <c r="BW81" s="30"/>
      <c r="BX81" s="29" t="s">
        <v>68</v>
      </c>
      <c r="BY81" s="27"/>
      <c r="BZ81" s="27"/>
      <c r="CA81" s="31"/>
      <c r="CB81" s="29"/>
      <c r="CC81" s="30"/>
      <c r="CD81" s="29"/>
      <c r="CE81" s="27"/>
      <c r="CF81" s="27"/>
      <c r="CG81" s="31"/>
    </row>
    <row r="82" s="18" customFormat="true" ht="41.75" hidden="false" customHeight="false" outlineLevel="0" collapsed="false">
      <c r="B82" s="58"/>
      <c r="C82" s="59"/>
      <c r="D82" s="59"/>
      <c r="E82" s="60"/>
      <c r="F82" s="63" t="s">
        <v>78</v>
      </c>
      <c r="G82" s="60"/>
      <c r="H82" s="24"/>
      <c r="I82" s="24" t="e">
        <f aca="false">AVERAGE(H82,J82)</f>
        <v>#DIV/0!</v>
      </c>
      <c r="J82" s="24"/>
      <c r="K82" s="34" t="s">
        <v>55</v>
      </c>
      <c r="L82" s="35"/>
      <c r="M82" s="34" t="s">
        <v>55</v>
      </c>
      <c r="N82" s="24" t="n">
        <v>52.88</v>
      </c>
      <c r="O82" s="24" t="n">
        <f aca="false">AVERAGE(N82,P82)</f>
        <v>54.125</v>
      </c>
      <c r="P82" s="24" t="n">
        <v>55.37</v>
      </c>
      <c r="Q82" s="34" t="s">
        <v>55</v>
      </c>
      <c r="R82" s="35"/>
      <c r="S82" s="34" t="s">
        <v>55</v>
      </c>
      <c r="T82" s="36" t="s">
        <v>55</v>
      </c>
      <c r="U82" s="37"/>
      <c r="V82" s="36" t="s">
        <v>55</v>
      </c>
      <c r="W82" s="34" t="s">
        <v>55</v>
      </c>
      <c r="X82" s="35"/>
      <c r="Y82" s="34" t="s">
        <v>55</v>
      </c>
      <c r="Z82" s="36" t="s">
        <v>55</v>
      </c>
      <c r="AA82" s="37"/>
      <c r="AB82" s="37" t="s">
        <v>55</v>
      </c>
      <c r="AC82" s="34" t="n">
        <v>84</v>
      </c>
      <c r="AD82" s="35" t="n">
        <f aca="false">AVERAGEA(AE82,AC82)</f>
        <v>87.7</v>
      </c>
      <c r="AE82" s="34" t="n">
        <v>91.4</v>
      </c>
      <c r="AF82" s="37" t="n">
        <v>50</v>
      </c>
      <c r="AG82" s="38" t="n">
        <f aca="false">AVERAGEA(AH82, AF82)</f>
        <v>32.5</v>
      </c>
      <c r="AH82" s="36" t="n">
        <v>15</v>
      </c>
      <c r="AI82" s="35" t="n">
        <v>0.83</v>
      </c>
      <c r="AJ82" s="39" t="n">
        <f aca="false">AVERAGEA(AK82, AI82)</f>
        <v>6.415</v>
      </c>
      <c r="AK82" s="35" t="n">
        <v>12</v>
      </c>
      <c r="AL82" s="37" t="n">
        <v>0.83</v>
      </c>
      <c r="AM82" s="38" t="n">
        <f aca="false">AVERAGEA(AN82, AL82)</f>
        <v>6.415</v>
      </c>
      <c r="AN82" s="37" t="n">
        <v>12</v>
      </c>
      <c r="AO82" s="35" t="n">
        <v>0.25</v>
      </c>
      <c r="AP82" s="64" t="n">
        <f aca="false">AVERAGEA(AQ82, AO82)</f>
        <v>3.125</v>
      </c>
      <c r="AQ82" s="35" t="n">
        <v>6</v>
      </c>
      <c r="AR82" s="37" t="n">
        <v>0.5</v>
      </c>
      <c r="AS82" s="38" t="n">
        <f aca="false">AVERAGEA(AT82, AR82)</f>
        <v>3.25</v>
      </c>
      <c r="AT82" s="37" t="n">
        <v>6</v>
      </c>
      <c r="AU82" s="35" t="n">
        <v>590</v>
      </c>
      <c r="AV82" s="39" t="n">
        <f aca="false">AVERAGEA(AW82, AU82)</f>
        <v>900</v>
      </c>
      <c r="AW82" s="35" t="n">
        <v>1210</v>
      </c>
      <c r="AX82" s="37" t="n">
        <v>17</v>
      </c>
      <c r="AY82" s="38" t="n">
        <f aca="false">AVERAGEA(AZ82, AX82)</f>
        <v>18.5</v>
      </c>
      <c r="AZ82" s="37" t="n">
        <v>20</v>
      </c>
      <c r="BA82" s="34" t="n">
        <v>1.3</v>
      </c>
      <c r="BB82" s="35" t="n">
        <f aca="false">AVERAGEA(BC82, BA82)</f>
        <v>3.15</v>
      </c>
      <c r="BC82" s="34" t="n">
        <v>5</v>
      </c>
      <c r="BD82" s="37" t="n">
        <v>1.5</v>
      </c>
      <c r="BE82" s="37" t="n">
        <f aca="false">AVERAGEA(BD82,BF82)</f>
        <v>13.85</v>
      </c>
      <c r="BF82" s="36" t="n">
        <v>26.2</v>
      </c>
      <c r="BG82" s="34" t="n">
        <v>1.5</v>
      </c>
      <c r="BH82" s="35" t="n">
        <f aca="false">AVERAGEA(BG82,BI82)</f>
        <v>21.4</v>
      </c>
      <c r="BI82" s="34" t="n">
        <v>41.3</v>
      </c>
      <c r="BJ82" s="37" t="n">
        <v>3.5</v>
      </c>
      <c r="BK82" s="37" t="n">
        <f aca="false">AVERAGEA(BJ82,BL82)</f>
        <v>39.725</v>
      </c>
      <c r="BL82" s="36" t="n">
        <v>75.95</v>
      </c>
      <c r="BM82" s="34" t="n">
        <v>0.25</v>
      </c>
      <c r="BN82" s="35" t="n">
        <f aca="false">AVERAGEA(BO82, BM82)</f>
        <v>0.375</v>
      </c>
      <c r="BO82" s="34" t="n">
        <v>0.5</v>
      </c>
      <c r="BP82" s="37" t="s">
        <v>68</v>
      </c>
      <c r="BQ82" s="37"/>
      <c r="BR82" s="36" t="s">
        <v>68</v>
      </c>
      <c r="BS82" s="34" t="s">
        <v>68</v>
      </c>
      <c r="BT82" s="35"/>
      <c r="BU82" s="40" t="s">
        <v>68</v>
      </c>
      <c r="BV82" s="37" t="s">
        <v>68</v>
      </c>
      <c r="BW82" s="37"/>
      <c r="BX82" s="36" t="s">
        <v>68</v>
      </c>
      <c r="BY82" s="34"/>
      <c r="BZ82" s="35"/>
      <c r="CA82" s="40"/>
      <c r="CB82" s="37"/>
      <c r="CC82" s="37"/>
      <c r="CD82" s="36"/>
      <c r="CE82" s="34"/>
      <c r="CF82" s="35"/>
      <c r="CG82" s="40"/>
    </row>
    <row r="83" s="18" customFormat="true" ht="41.75" hidden="false" customHeight="false" outlineLevel="0" collapsed="false">
      <c r="B83" s="58"/>
      <c r="C83" s="59"/>
      <c r="D83" s="59"/>
      <c r="E83" s="60"/>
      <c r="F83" s="63" t="s">
        <v>79</v>
      </c>
      <c r="G83" s="60"/>
      <c r="H83" s="24"/>
      <c r="I83" s="24" t="e">
        <f aca="false">AVERAGE(H83,J83)</f>
        <v>#DIV/0!</v>
      </c>
      <c r="J83" s="24"/>
      <c r="K83" s="34" t="s">
        <v>55</v>
      </c>
      <c r="L83" s="35"/>
      <c r="M83" s="34" t="s">
        <v>55</v>
      </c>
      <c r="N83" s="24" t="n">
        <v>51.97</v>
      </c>
      <c r="O83" s="24" t="n">
        <f aca="false">AVERAGE(N83,P83)</f>
        <v>52.42</v>
      </c>
      <c r="P83" s="24" t="n">
        <v>52.87</v>
      </c>
      <c r="Q83" s="34" t="s">
        <v>55</v>
      </c>
      <c r="R83" s="35"/>
      <c r="S83" s="34" t="s">
        <v>55</v>
      </c>
      <c r="T83" s="36" t="s">
        <v>55</v>
      </c>
      <c r="U83" s="37"/>
      <c r="V83" s="36" t="s">
        <v>55</v>
      </c>
      <c r="W83" s="34" t="s">
        <v>55</v>
      </c>
      <c r="X83" s="35"/>
      <c r="Y83" s="34" t="s">
        <v>55</v>
      </c>
      <c r="Z83" s="36" t="s">
        <v>55</v>
      </c>
      <c r="AA83" s="37"/>
      <c r="AB83" s="37" t="s">
        <v>55</v>
      </c>
      <c r="AC83" s="34" t="n">
        <v>84</v>
      </c>
      <c r="AD83" s="35" t="n">
        <f aca="false">AVERAGEA(AE83,AC83)</f>
        <v>87.7</v>
      </c>
      <c r="AE83" s="34" t="n">
        <v>91.4</v>
      </c>
      <c r="AF83" s="37" t="n">
        <v>50</v>
      </c>
      <c r="AG83" s="38" t="n">
        <f aca="false">AVERAGEA(AH83, AF83)</f>
        <v>32.5</v>
      </c>
      <c r="AH83" s="36" t="n">
        <v>15</v>
      </c>
      <c r="AI83" s="35" t="n">
        <v>0.83</v>
      </c>
      <c r="AJ83" s="39" t="n">
        <f aca="false">AVERAGEA(AK83, AI83)</f>
        <v>6.415</v>
      </c>
      <c r="AK83" s="35" t="n">
        <v>12</v>
      </c>
      <c r="AL83" s="37" t="n">
        <v>0.83</v>
      </c>
      <c r="AM83" s="38" t="n">
        <f aca="false">AVERAGEA(AN83, AL83)</f>
        <v>6.415</v>
      </c>
      <c r="AN83" s="37" t="n">
        <v>12</v>
      </c>
      <c r="AO83" s="35" t="n">
        <v>0.25</v>
      </c>
      <c r="AP83" s="64" t="n">
        <f aca="false">AVERAGEA(AQ83, AO83)</f>
        <v>3.125</v>
      </c>
      <c r="AQ83" s="35" t="n">
        <v>6</v>
      </c>
      <c r="AR83" s="37" t="n">
        <v>0.5</v>
      </c>
      <c r="AS83" s="38" t="n">
        <f aca="false">AVERAGEA(AT83, AR83)</f>
        <v>3.25</v>
      </c>
      <c r="AT83" s="37" t="n">
        <v>6</v>
      </c>
      <c r="AU83" s="35" t="n">
        <v>590</v>
      </c>
      <c r="AV83" s="39" t="n">
        <f aca="false">AVERAGEA(AW83, AU83)</f>
        <v>900</v>
      </c>
      <c r="AW83" s="35" t="n">
        <v>1210</v>
      </c>
      <c r="AX83" s="37" t="n">
        <v>17</v>
      </c>
      <c r="AY83" s="38" t="n">
        <f aca="false">AVERAGEA(AZ83, AX83)</f>
        <v>18.5</v>
      </c>
      <c r="AZ83" s="37" t="n">
        <v>20</v>
      </c>
      <c r="BA83" s="34" t="n">
        <v>1.3</v>
      </c>
      <c r="BB83" s="35" t="n">
        <f aca="false">AVERAGEA(BC83, BA83)</f>
        <v>3.15</v>
      </c>
      <c r="BC83" s="34" t="n">
        <v>5</v>
      </c>
      <c r="BD83" s="37" t="n">
        <v>1.5</v>
      </c>
      <c r="BE83" s="37" t="n">
        <f aca="false">AVERAGEA(BD83,BF83)</f>
        <v>13.85</v>
      </c>
      <c r="BF83" s="36" t="n">
        <v>26.2</v>
      </c>
      <c r="BG83" s="34" t="n">
        <v>1.5</v>
      </c>
      <c r="BH83" s="35" t="n">
        <f aca="false">AVERAGEA(BG83,BI83)</f>
        <v>21.4</v>
      </c>
      <c r="BI83" s="34" t="n">
        <v>41.3</v>
      </c>
      <c r="BJ83" s="37" t="n">
        <v>3.5</v>
      </c>
      <c r="BK83" s="37" t="n">
        <f aca="false">AVERAGEA(BJ83,BL83)</f>
        <v>39.725</v>
      </c>
      <c r="BL83" s="36" t="n">
        <v>75.95</v>
      </c>
      <c r="BM83" s="34" t="n">
        <v>0.25</v>
      </c>
      <c r="BN83" s="35" t="n">
        <f aca="false">AVERAGEA(BO83, BM83)</f>
        <v>0.375</v>
      </c>
      <c r="BO83" s="34" t="n">
        <v>0.5</v>
      </c>
      <c r="BP83" s="37" t="s">
        <v>68</v>
      </c>
      <c r="BQ83" s="37"/>
      <c r="BR83" s="36" t="s">
        <v>68</v>
      </c>
      <c r="BS83" s="34" t="s">
        <v>68</v>
      </c>
      <c r="BT83" s="35"/>
      <c r="BU83" s="40" t="s">
        <v>68</v>
      </c>
      <c r="BV83" s="37" t="s">
        <v>68</v>
      </c>
      <c r="BW83" s="37"/>
      <c r="BX83" s="36" t="s">
        <v>68</v>
      </c>
      <c r="BY83" s="34"/>
      <c r="BZ83" s="35"/>
      <c r="CA83" s="40"/>
      <c r="CB83" s="37"/>
      <c r="CC83" s="37"/>
      <c r="CD83" s="36"/>
      <c r="CE83" s="34"/>
      <c r="CF83" s="35"/>
      <c r="CG83" s="40"/>
    </row>
    <row r="84" s="18" customFormat="true" ht="41.75" hidden="false" customHeight="false" outlineLevel="0" collapsed="false">
      <c r="B84" s="58"/>
      <c r="C84" s="59"/>
      <c r="D84" s="59"/>
      <c r="E84" s="60"/>
      <c r="F84" s="63" t="s">
        <v>80</v>
      </c>
      <c r="G84" s="60"/>
      <c r="H84" s="24"/>
      <c r="I84" s="24" t="e">
        <f aca="false">AVERAGE(H84,J84)</f>
        <v>#DIV/0!</v>
      </c>
      <c r="J84" s="24"/>
      <c r="K84" s="34" t="s">
        <v>55</v>
      </c>
      <c r="L84" s="35"/>
      <c r="M84" s="34" t="s">
        <v>55</v>
      </c>
      <c r="N84" s="24" t="n">
        <v>51.89</v>
      </c>
      <c r="O84" s="24" t="n">
        <f aca="false">AVERAGE(N84,P84)</f>
        <v>51.925</v>
      </c>
      <c r="P84" s="24" t="n">
        <v>51.96</v>
      </c>
      <c r="Q84" s="34" t="s">
        <v>55</v>
      </c>
      <c r="R84" s="35"/>
      <c r="S84" s="34" t="s">
        <v>55</v>
      </c>
      <c r="T84" s="36" t="s">
        <v>55</v>
      </c>
      <c r="U84" s="37"/>
      <c r="V84" s="36" t="s">
        <v>55</v>
      </c>
      <c r="W84" s="34" t="s">
        <v>55</v>
      </c>
      <c r="X84" s="35"/>
      <c r="Y84" s="34" t="s">
        <v>55</v>
      </c>
      <c r="Z84" s="36" t="s">
        <v>55</v>
      </c>
      <c r="AA84" s="37"/>
      <c r="AB84" s="37" t="s">
        <v>55</v>
      </c>
      <c r="AC84" s="34" t="n">
        <v>84</v>
      </c>
      <c r="AD84" s="35" t="n">
        <f aca="false">AVERAGEA(AE84,AC84)</f>
        <v>87.7</v>
      </c>
      <c r="AE84" s="34" t="n">
        <v>91.4</v>
      </c>
      <c r="AF84" s="37" t="n">
        <v>50</v>
      </c>
      <c r="AG84" s="38" t="n">
        <f aca="false">AVERAGEA(AH84, AF84)</f>
        <v>32.5</v>
      </c>
      <c r="AH84" s="36" t="n">
        <v>15</v>
      </c>
      <c r="AI84" s="35" t="n">
        <v>0.83</v>
      </c>
      <c r="AJ84" s="39" t="n">
        <f aca="false">AVERAGEA(AK84, AI84)</f>
        <v>6.415</v>
      </c>
      <c r="AK84" s="35" t="n">
        <v>12</v>
      </c>
      <c r="AL84" s="37" t="n">
        <v>0.83</v>
      </c>
      <c r="AM84" s="38" t="n">
        <f aca="false">AVERAGEA(AN84, AL84)</f>
        <v>6.415</v>
      </c>
      <c r="AN84" s="37" t="n">
        <v>12</v>
      </c>
      <c r="AO84" s="35" t="n">
        <v>0.25</v>
      </c>
      <c r="AP84" s="64" t="n">
        <f aca="false">AVERAGEA(AQ84, AO84)</f>
        <v>3.125</v>
      </c>
      <c r="AQ84" s="35" t="n">
        <v>6</v>
      </c>
      <c r="AR84" s="37" t="n">
        <v>0.5</v>
      </c>
      <c r="AS84" s="38" t="n">
        <f aca="false">AVERAGEA(AT84, AR84)</f>
        <v>3.25</v>
      </c>
      <c r="AT84" s="37" t="n">
        <v>6</v>
      </c>
      <c r="AU84" s="35" t="n">
        <v>590</v>
      </c>
      <c r="AV84" s="39" t="n">
        <f aca="false">AVERAGEA(AW84, AU84)</f>
        <v>900</v>
      </c>
      <c r="AW84" s="35" t="n">
        <v>1210</v>
      </c>
      <c r="AX84" s="37" t="n">
        <v>17</v>
      </c>
      <c r="AY84" s="38" t="n">
        <f aca="false">AVERAGEA(AZ84, AX84)</f>
        <v>18.5</v>
      </c>
      <c r="AZ84" s="37" t="n">
        <v>20</v>
      </c>
      <c r="BA84" s="34" t="n">
        <v>1.3</v>
      </c>
      <c r="BB84" s="35" t="n">
        <f aca="false">AVERAGEA(BC84, BA84)</f>
        <v>3.15</v>
      </c>
      <c r="BC84" s="34" t="n">
        <v>5</v>
      </c>
      <c r="BD84" s="37" t="n">
        <v>1.5</v>
      </c>
      <c r="BE84" s="37" t="n">
        <f aca="false">AVERAGEA(BD84,BF84)</f>
        <v>13.85</v>
      </c>
      <c r="BF84" s="36" t="n">
        <v>26.2</v>
      </c>
      <c r="BG84" s="34" t="n">
        <v>1.5</v>
      </c>
      <c r="BH84" s="35" t="n">
        <f aca="false">AVERAGEA(BG84,BI84)</f>
        <v>21.4</v>
      </c>
      <c r="BI84" s="34" t="n">
        <v>41.3</v>
      </c>
      <c r="BJ84" s="37" t="n">
        <v>3.5</v>
      </c>
      <c r="BK84" s="37" t="n">
        <f aca="false">AVERAGEA(BJ84,BL84)</f>
        <v>39.725</v>
      </c>
      <c r="BL84" s="36" t="n">
        <v>75.95</v>
      </c>
      <c r="BM84" s="34" t="n">
        <v>0.25</v>
      </c>
      <c r="BN84" s="35" t="n">
        <f aca="false">AVERAGEA(BO84, BM84)</f>
        <v>0.375</v>
      </c>
      <c r="BO84" s="34" t="n">
        <v>0.5</v>
      </c>
      <c r="BP84" s="37" t="s">
        <v>68</v>
      </c>
      <c r="BQ84" s="37"/>
      <c r="BR84" s="36" t="s">
        <v>68</v>
      </c>
      <c r="BS84" s="34" t="s">
        <v>68</v>
      </c>
      <c r="BT84" s="35"/>
      <c r="BU84" s="40" t="s">
        <v>68</v>
      </c>
      <c r="BV84" s="37" t="s">
        <v>68</v>
      </c>
      <c r="BW84" s="37"/>
      <c r="BX84" s="36" t="s">
        <v>68</v>
      </c>
      <c r="BY84" s="34"/>
      <c r="BZ84" s="35"/>
      <c r="CA84" s="40"/>
      <c r="CB84" s="37"/>
      <c r="CC84" s="37"/>
      <c r="CD84" s="36"/>
      <c r="CE84" s="34"/>
      <c r="CF84" s="35"/>
      <c r="CG84" s="40"/>
    </row>
    <row r="85" s="18" customFormat="true" ht="26.4" hidden="false" customHeight="true" outlineLevel="0" collapsed="false">
      <c r="B85" s="58"/>
      <c r="C85" s="59" t="s">
        <v>75</v>
      </c>
      <c r="D85" s="65" t="s">
        <v>81</v>
      </c>
      <c r="E85" s="66" t="s">
        <v>82</v>
      </c>
      <c r="F85" s="63" t="s">
        <v>83</v>
      </c>
      <c r="G85" s="66" t="s">
        <v>84</v>
      </c>
      <c r="H85" s="24"/>
      <c r="I85" s="24" t="e">
        <f aca="false">AVERAGE(H85,J85)</f>
        <v>#DIV/0!</v>
      </c>
      <c r="J85" s="24"/>
      <c r="K85" s="34" t="s">
        <v>55</v>
      </c>
      <c r="L85" s="35"/>
      <c r="M85" s="34" t="s">
        <v>55</v>
      </c>
      <c r="N85" s="24" t="n">
        <v>53.39</v>
      </c>
      <c r="O85" s="24" t="n">
        <f aca="false">AVERAGE(N85,P85)</f>
        <v>55.34</v>
      </c>
      <c r="P85" s="24" t="n">
        <v>57.29</v>
      </c>
      <c r="Q85" s="34" t="s">
        <v>55</v>
      </c>
      <c r="R85" s="35"/>
      <c r="S85" s="34" t="s">
        <v>55</v>
      </c>
      <c r="T85" s="36" t="s">
        <v>55</v>
      </c>
      <c r="U85" s="37"/>
      <c r="V85" s="36" t="s">
        <v>55</v>
      </c>
      <c r="W85" s="34" t="s">
        <v>55</v>
      </c>
      <c r="X85" s="35"/>
      <c r="Y85" s="34" t="s">
        <v>55</v>
      </c>
      <c r="Z85" s="36" t="s">
        <v>55</v>
      </c>
      <c r="AA85" s="37"/>
      <c r="AB85" s="37" t="s">
        <v>55</v>
      </c>
      <c r="AC85" s="34" t="n">
        <v>84</v>
      </c>
      <c r="AD85" s="35" t="n">
        <f aca="false">AVERAGEA(AE85,AC85)</f>
        <v>87.7</v>
      </c>
      <c r="AE85" s="34" t="n">
        <v>91.4</v>
      </c>
      <c r="AF85" s="37" t="n">
        <v>60</v>
      </c>
      <c r="AG85" s="38" t="n">
        <f aca="false">AVERAGEA(AH85, AF85)</f>
        <v>37.5</v>
      </c>
      <c r="AH85" s="36" t="n">
        <v>15</v>
      </c>
      <c r="AI85" s="35" t="n">
        <v>0.83</v>
      </c>
      <c r="AJ85" s="35" t="n">
        <f aca="false">AVERAGEA(AK85, AI85)</f>
        <v>6.415</v>
      </c>
      <c r="AK85" s="35" t="n">
        <v>12</v>
      </c>
      <c r="AL85" s="37" t="n">
        <v>0.83</v>
      </c>
      <c r="AM85" s="38" t="n">
        <f aca="false">AVERAGEA(AN85, AL85)</f>
        <v>6.415</v>
      </c>
      <c r="AN85" s="36" t="n">
        <v>12</v>
      </c>
      <c r="AO85" s="34" t="n">
        <v>0.25</v>
      </c>
      <c r="AP85" s="64" t="n">
        <f aca="false">AVERAGEA(AQ85, AO85)</f>
        <v>2.125</v>
      </c>
      <c r="AQ85" s="34" t="n">
        <v>4</v>
      </c>
      <c r="AR85" s="37" t="n">
        <v>0.5</v>
      </c>
      <c r="AS85" s="37" t="n">
        <f aca="false">AVERAGEA(AT85, AR85)</f>
        <v>3.25</v>
      </c>
      <c r="AT85" s="36" t="n">
        <v>6</v>
      </c>
      <c r="AU85" s="34" t="n">
        <v>590</v>
      </c>
      <c r="AV85" s="35" t="n">
        <f aca="false">AVERAGEA(AW85, AU85)</f>
        <v>781</v>
      </c>
      <c r="AW85" s="34" t="n">
        <v>972</v>
      </c>
      <c r="AX85" s="37" t="n">
        <v>15.6</v>
      </c>
      <c r="AY85" s="37" t="n">
        <f aca="false">AVERAGEA(AZ85, AX85)</f>
        <v>15.6</v>
      </c>
      <c r="AZ85" s="36" t="n">
        <v>15.6</v>
      </c>
      <c r="BA85" s="34" t="n">
        <v>2.1</v>
      </c>
      <c r="BB85" s="35" t="n">
        <f aca="false">AVERAGEA(BC85, BA85)</f>
        <v>3.55</v>
      </c>
      <c r="BC85" s="34" t="n">
        <v>5</v>
      </c>
      <c r="BD85" s="37" t="n">
        <v>1.5</v>
      </c>
      <c r="BE85" s="37" t="n">
        <f aca="false">AVERAGEA(BD85,BF85)</f>
        <v>13.85</v>
      </c>
      <c r="BF85" s="36" t="n">
        <v>26.2</v>
      </c>
      <c r="BG85" s="34" t="n">
        <v>1.5</v>
      </c>
      <c r="BH85" s="35" t="n">
        <f aca="false">AVERAGEA(BG85,BI85)</f>
        <v>21.4</v>
      </c>
      <c r="BI85" s="34" t="n">
        <v>41.3</v>
      </c>
      <c r="BJ85" s="37" t="n">
        <v>3.5</v>
      </c>
      <c r="BK85" s="37" t="n">
        <f aca="false">AVERAGEA(BJ85,BL85)</f>
        <v>39.725</v>
      </c>
      <c r="BL85" s="36" t="n">
        <v>75.95</v>
      </c>
      <c r="BM85" s="34" t="n">
        <v>0.25</v>
      </c>
      <c r="BN85" s="35" t="n">
        <f aca="false">AVERAGEA(BO85, BM85)</f>
        <v>0.375</v>
      </c>
      <c r="BO85" s="34" t="n">
        <v>0.5</v>
      </c>
      <c r="BP85" s="37" t="n">
        <v>30</v>
      </c>
      <c r="BQ85" s="37" t="n">
        <f aca="false">AVERAGEA(BP85,BR85)</f>
        <v>60</v>
      </c>
      <c r="BR85" s="36" t="n">
        <v>90</v>
      </c>
      <c r="BS85" s="34" t="n">
        <v>1</v>
      </c>
      <c r="BT85" s="35" t="n">
        <f aca="false">AVERAGEA(BS85,BU85)</f>
        <v>2.5</v>
      </c>
      <c r="BU85" s="40" t="n">
        <v>4</v>
      </c>
      <c r="BV85" s="37" t="n">
        <v>2</v>
      </c>
      <c r="BW85" s="37" t="n">
        <f aca="false">AVERAGEA(BV85,BX85)</f>
        <v>3.5</v>
      </c>
      <c r="BX85" s="36" t="n">
        <v>5</v>
      </c>
      <c r="BY85" s="34"/>
      <c r="BZ85" s="35" t="e">
        <f aca="false">AVERAGEA(BY85,CA85)</f>
        <v>#DIV/0!</v>
      </c>
      <c r="CA85" s="40"/>
      <c r="CB85" s="37"/>
      <c r="CC85" s="37" t="e">
        <f aca="false">AVERAGEA(CB85,CD85)</f>
        <v>#DIV/0!</v>
      </c>
      <c r="CD85" s="36"/>
      <c r="CE85" s="34"/>
      <c r="CF85" s="35" t="e">
        <f aca="false">AVERAGEA(CE85,CG85)</f>
        <v>#DIV/0!</v>
      </c>
      <c r="CG85" s="40"/>
    </row>
    <row r="86" s="18" customFormat="true" ht="28.35" hidden="false" customHeight="false" outlineLevel="0" collapsed="false">
      <c r="B86" s="58"/>
      <c r="C86" s="59"/>
      <c r="D86" s="65"/>
      <c r="E86" s="66"/>
      <c r="F86" s="63" t="s">
        <v>85</v>
      </c>
      <c r="G86" s="66"/>
      <c r="H86" s="24"/>
      <c r="I86" s="24" t="e">
        <f aca="false">AVERAGE(H86,J86)</f>
        <v>#DIV/0!</v>
      </c>
      <c r="J86" s="24"/>
      <c r="K86" s="34" t="s">
        <v>55</v>
      </c>
      <c r="L86" s="35"/>
      <c r="M86" s="34" t="s">
        <v>55</v>
      </c>
      <c r="N86" s="24" t="n">
        <v>51.89</v>
      </c>
      <c r="O86" s="24" t="n">
        <f aca="false">AVERAGE(N86,P86)</f>
        <v>52.637</v>
      </c>
      <c r="P86" s="24" t="n">
        <v>53.384</v>
      </c>
      <c r="Q86" s="34" t="s">
        <v>55</v>
      </c>
      <c r="R86" s="35"/>
      <c r="S86" s="34" t="s">
        <v>55</v>
      </c>
      <c r="T86" s="36" t="s">
        <v>55</v>
      </c>
      <c r="U86" s="37"/>
      <c r="V86" s="36" t="s">
        <v>55</v>
      </c>
      <c r="W86" s="34" t="s">
        <v>55</v>
      </c>
      <c r="X86" s="35"/>
      <c r="Y86" s="34" t="s">
        <v>55</v>
      </c>
      <c r="Z86" s="36" t="s">
        <v>55</v>
      </c>
      <c r="AA86" s="37"/>
      <c r="AB86" s="37" t="s">
        <v>55</v>
      </c>
      <c r="AC86" s="34" t="n">
        <v>84</v>
      </c>
      <c r="AD86" s="35" t="n">
        <f aca="false">AVERAGEA(AE86,AC86)</f>
        <v>87.7</v>
      </c>
      <c r="AE86" s="34" t="n">
        <v>91.4</v>
      </c>
      <c r="AF86" s="37" t="n">
        <v>60</v>
      </c>
      <c r="AG86" s="38" t="n">
        <f aca="false">AVERAGEA(AH86, AF86)</f>
        <v>37.5</v>
      </c>
      <c r="AH86" s="36" t="n">
        <v>15</v>
      </c>
      <c r="AI86" s="35" t="n">
        <v>0.83</v>
      </c>
      <c r="AJ86" s="35" t="n">
        <f aca="false">AVERAGEA(AK86, AI86)</f>
        <v>6.415</v>
      </c>
      <c r="AK86" s="35" t="n">
        <v>12</v>
      </c>
      <c r="AL86" s="37" t="n">
        <v>0.83</v>
      </c>
      <c r="AM86" s="38" t="n">
        <f aca="false">AVERAGEA(AN86, AL86)</f>
        <v>6.415</v>
      </c>
      <c r="AN86" s="36" t="n">
        <v>12</v>
      </c>
      <c r="AO86" s="34" t="n">
        <v>0.25</v>
      </c>
      <c r="AP86" s="64" t="n">
        <f aca="false">AVERAGEA(AQ86, AO86)</f>
        <v>2.125</v>
      </c>
      <c r="AQ86" s="34" t="n">
        <v>4</v>
      </c>
      <c r="AR86" s="37" t="n">
        <v>0.5</v>
      </c>
      <c r="AS86" s="37" t="n">
        <f aca="false">AVERAGEA(AT86, AR86)</f>
        <v>3.25</v>
      </c>
      <c r="AT86" s="36" t="n">
        <v>6</v>
      </c>
      <c r="AU86" s="34" t="n">
        <v>590</v>
      </c>
      <c r="AV86" s="35" t="n">
        <f aca="false">AVERAGEA(AW86, AU86)</f>
        <v>781</v>
      </c>
      <c r="AW86" s="34" t="n">
        <v>972</v>
      </c>
      <c r="AX86" s="37" t="n">
        <v>15.6</v>
      </c>
      <c r="AY86" s="37" t="n">
        <f aca="false">AVERAGEA(AZ86, AX86)</f>
        <v>15.6</v>
      </c>
      <c r="AZ86" s="36" t="n">
        <v>15.6</v>
      </c>
      <c r="BA86" s="34" t="n">
        <v>2.1</v>
      </c>
      <c r="BB86" s="35" t="n">
        <f aca="false">AVERAGEA(BC86, BA86)</f>
        <v>3.55</v>
      </c>
      <c r="BC86" s="34" t="n">
        <v>5</v>
      </c>
      <c r="BD86" s="37" t="n">
        <v>1.5</v>
      </c>
      <c r="BE86" s="37" t="n">
        <f aca="false">AVERAGEA(BD86,BF86)</f>
        <v>13.85</v>
      </c>
      <c r="BF86" s="36" t="n">
        <v>26.2</v>
      </c>
      <c r="BG86" s="34" t="n">
        <v>1.5</v>
      </c>
      <c r="BH86" s="35" t="n">
        <f aca="false">AVERAGEA(BG86,BI86)</f>
        <v>21.4</v>
      </c>
      <c r="BI86" s="34" t="n">
        <v>41.3</v>
      </c>
      <c r="BJ86" s="37" t="n">
        <v>3.5</v>
      </c>
      <c r="BK86" s="37" t="n">
        <f aca="false">AVERAGEA(BJ86,BL86)</f>
        <v>39.725</v>
      </c>
      <c r="BL86" s="36" t="n">
        <v>75.95</v>
      </c>
      <c r="BM86" s="34" t="n">
        <v>0.25</v>
      </c>
      <c r="BN86" s="35" t="n">
        <f aca="false">AVERAGEA(BO86, BM86)</f>
        <v>0.375</v>
      </c>
      <c r="BO86" s="34" t="n">
        <v>0.5</v>
      </c>
      <c r="BP86" s="37" t="n">
        <v>30</v>
      </c>
      <c r="BQ86" s="37" t="n">
        <f aca="false">AVERAGEA(BP86,BR86)</f>
        <v>60</v>
      </c>
      <c r="BR86" s="36" t="n">
        <v>90</v>
      </c>
      <c r="BS86" s="34" t="n">
        <v>1</v>
      </c>
      <c r="BT86" s="35" t="n">
        <f aca="false">AVERAGEA(BS86,BU86)</f>
        <v>2.5</v>
      </c>
      <c r="BU86" s="40" t="n">
        <v>4</v>
      </c>
      <c r="BV86" s="37" t="n">
        <v>2</v>
      </c>
      <c r="BW86" s="37" t="n">
        <f aca="false">AVERAGEA(BV86,BX86)</f>
        <v>3.5</v>
      </c>
      <c r="BX86" s="36" t="n">
        <v>5</v>
      </c>
      <c r="BY86" s="34"/>
      <c r="BZ86" s="35" t="e">
        <f aca="false">AVERAGEA(BY86,CA86)</f>
        <v>#DIV/0!</v>
      </c>
      <c r="CA86" s="40"/>
      <c r="CB86" s="37"/>
      <c r="CC86" s="37" t="e">
        <f aca="false">AVERAGEA(CB86,CD86)</f>
        <v>#DIV/0!</v>
      </c>
      <c r="CD86" s="36"/>
      <c r="CE86" s="34"/>
      <c r="CF86" s="35" t="e">
        <f aca="false">AVERAGEA(CE86,CG86)</f>
        <v>#DIV/0!</v>
      </c>
      <c r="CG86" s="40"/>
    </row>
    <row r="87" s="18" customFormat="true" ht="28.35" hidden="false" customHeight="false" outlineLevel="0" collapsed="false">
      <c r="B87" s="58"/>
      <c r="C87" s="59"/>
      <c r="D87" s="65"/>
      <c r="E87" s="66"/>
      <c r="F87" s="63" t="s">
        <v>86</v>
      </c>
      <c r="G87" s="66"/>
      <c r="H87" s="24"/>
      <c r="I87" s="24" t="e">
        <f aca="false">AVERAGE(H87,J87)</f>
        <v>#DIV/0!</v>
      </c>
      <c r="J87" s="24"/>
      <c r="K87" s="34" t="s">
        <v>55</v>
      </c>
      <c r="L87" s="35"/>
      <c r="M87" s="34" t="s">
        <v>55</v>
      </c>
      <c r="N87" s="24" t="n">
        <v>51.344</v>
      </c>
      <c r="O87" s="24" t="n">
        <f aca="false">AVERAGE(N87,P87)</f>
        <v>51.614</v>
      </c>
      <c r="P87" s="24" t="n">
        <v>51.884</v>
      </c>
      <c r="Q87" s="34" t="s">
        <v>55</v>
      </c>
      <c r="R87" s="35"/>
      <c r="S87" s="34" t="s">
        <v>55</v>
      </c>
      <c r="T87" s="36" t="s">
        <v>55</v>
      </c>
      <c r="U87" s="37"/>
      <c r="V87" s="36" t="s">
        <v>55</v>
      </c>
      <c r="W87" s="34" t="s">
        <v>55</v>
      </c>
      <c r="X87" s="35"/>
      <c r="Y87" s="34" t="s">
        <v>55</v>
      </c>
      <c r="Z87" s="36" t="s">
        <v>55</v>
      </c>
      <c r="AA87" s="37"/>
      <c r="AB87" s="37" t="s">
        <v>55</v>
      </c>
      <c r="AC87" s="34" t="n">
        <v>84</v>
      </c>
      <c r="AD87" s="35" t="n">
        <f aca="false">AVERAGEA(AE87,AC87)</f>
        <v>87.7</v>
      </c>
      <c r="AE87" s="34" t="n">
        <v>91.4</v>
      </c>
      <c r="AF87" s="37" t="n">
        <v>60</v>
      </c>
      <c r="AG87" s="38" t="n">
        <f aca="false">AVERAGEA(AH87, AF87)</f>
        <v>37.5</v>
      </c>
      <c r="AH87" s="36" t="n">
        <v>15</v>
      </c>
      <c r="AI87" s="35" t="n">
        <v>0.83</v>
      </c>
      <c r="AJ87" s="35" t="n">
        <f aca="false">AVERAGEA(AK87, AI87)</f>
        <v>6.415</v>
      </c>
      <c r="AK87" s="35" t="n">
        <v>12</v>
      </c>
      <c r="AL87" s="37" t="n">
        <v>0.83</v>
      </c>
      <c r="AM87" s="38" t="n">
        <f aca="false">AVERAGEA(AN87, AL87)</f>
        <v>6.415</v>
      </c>
      <c r="AN87" s="36" t="n">
        <v>12</v>
      </c>
      <c r="AO87" s="34" t="n">
        <v>0.25</v>
      </c>
      <c r="AP87" s="64" t="n">
        <f aca="false">AVERAGEA(AQ87, AO87)</f>
        <v>2.125</v>
      </c>
      <c r="AQ87" s="34" t="n">
        <v>4</v>
      </c>
      <c r="AR87" s="37" t="n">
        <v>0.5</v>
      </c>
      <c r="AS87" s="37" t="n">
        <f aca="false">AVERAGEA(AT87, AR87)</f>
        <v>3.25</v>
      </c>
      <c r="AT87" s="36" t="n">
        <v>6</v>
      </c>
      <c r="AU87" s="34" t="n">
        <v>590</v>
      </c>
      <c r="AV87" s="35" t="n">
        <f aca="false">AVERAGEA(AW87, AU87)</f>
        <v>781</v>
      </c>
      <c r="AW87" s="34" t="n">
        <v>972</v>
      </c>
      <c r="AX87" s="37" t="n">
        <v>15.6</v>
      </c>
      <c r="AY87" s="37" t="n">
        <f aca="false">AVERAGEA(AZ87, AX87)</f>
        <v>15.6</v>
      </c>
      <c r="AZ87" s="36" t="n">
        <v>15.6</v>
      </c>
      <c r="BA87" s="34" t="n">
        <v>2.1</v>
      </c>
      <c r="BB87" s="35" t="n">
        <f aca="false">AVERAGEA(BC87, BA87)</f>
        <v>3.55</v>
      </c>
      <c r="BC87" s="34" t="n">
        <v>5</v>
      </c>
      <c r="BD87" s="37" t="n">
        <v>1.5</v>
      </c>
      <c r="BE87" s="37" t="n">
        <f aca="false">AVERAGEA(BD87,BF87)</f>
        <v>13.85</v>
      </c>
      <c r="BF87" s="36" t="n">
        <v>26.2</v>
      </c>
      <c r="BG87" s="34" t="n">
        <v>1.5</v>
      </c>
      <c r="BH87" s="35" t="n">
        <f aca="false">AVERAGEA(BG87,BI87)</f>
        <v>21.4</v>
      </c>
      <c r="BI87" s="34" t="n">
        <v>41.3</v>
      </c>
      <c r="BJ87" s="37" t="n">
        <v>3.5</v>
      </c>
      <c r="BK87" s="37" t="n">
        <f aca="false">AVERAGEA(BJ87,BL87)</f>
        <v>39.725</v>
      </c>
      <c r="BL87" s="36" t="n">
        <v>75.95</v>
      </c>
      <c r="BM87" s="34" t="n">
        <v>0.25</v>
      </c>
      <c r="BN87" s="35" t="n">
        <f aca="false">AVERAGEA(BO87, BM87)</f>
        <v>0.375</v>
      </c>
      <c r="BO87" s="34" t="n">
        <v>0.5</v>
      </c>
      <c r="BP87" s="37" t="n">
        <v>30</v>
      </c>
      <c r="BQ87" s="37" t="n">
        <f aca="false">AVERAGEA(BP87,BR87)</f>
        <v>60</v>
      </c>
      <c r="BR87" s="36" t="n">
        <v>90</v>
      </c>
      <c r="BS87" s="34" t="n">
        <v>1</v>
      </c>
      <c r="BT87" s="35" t="n">
        <f aca="false">AVERAGEA(BS87,BU87)</f>
        <v>2.5</v>
      </c>
      <c r="BU87" s="40" t="n">
        <v>4</v>
      </c>
      <c r="BV87" s="37" t="n">
        <v>2</v>
      </c>
      <c r="BW87" s="37" t="n">
        <f aca="false">AVERAGEA(BV87,BX87)</f>
        <v>3.5</v>
      </c>
      <c r="BX87" s="36" t="n">
        <v>5</v>
      </c>
      <c r="BY87" s="34"/>
      <c r="BZ87" s="35" t="e">
        <f aca="false">AVERAGEA(BY87,CA87)</f>
        <v>#DIV/0!</v>
      </c>
      <c r="CA87" s="40"/>
      <c r="CB87" s="37"/>
      <c r="CC87" s="37" t="e">
        <f aca="false">AVERAGEA(CB87,CD87)</f>
        <v>#DIV/0!</v>
      </c>
      <c r="CD87" s="36"/>
      <c r="CE87" s="34"/>
      <c r="CF87" s="35" t="e">
        <f aca="false">AVERAGEA(CE87,CG87)</f>
        <v>#DIV/0!</v>
      </c>
      <c r="CG87" s="40"/>
    </row>
    <row r="88" s="18" customFormat="true" ht="28.35" hidden="false" customHeight="false" outlineLevel="0" collapsed="false">
      <c r="B88" s="58"/>
      <c r="C88" s="59"/>
      <c r="D88" s="65"/>
      <c r="E88" s="66"/>
      <c r="F88" s="63" t="s">
        <v>87</v>
      </c>
      <c r="G88" s="66"/>
      <c r="H88" s="24"/>
      <c r="I88" s="24" t="e">
        <f aca="false">AVERAGE(H88,J88)</f>
        <v>#DIV/0!</v>
      </c>
      <c r="J88" s="24"/>
      <c r="K88" s="34" t="s">
        <v>55</v>
      </c>
      <c r="L88" s="35"/>
      <c r="M88" s="34" t="s">
        <v>55</v>
      </c>
      <c r="N88" s="24" t="n">
        <v>51.296</v>
      </c>
      <c r="O88" s="24" t="n">
        <f aca="false">AVERAGE(N88,P88)</f>
        <v>51.317</v>
      </c>
      <c r="P88" s="24" t="n">
        <v>51.338</v>
      </c>
      <c r="Q88" s="34" t="s">
        <v>55</v>
      </c>
      <c r="R88" s="35"/>
      <c r="S88" s="34" t="s">
        <v>55</v>
      </c>
      <c r="T88" s="36" t="s">
        <v>55</v>
      </c>
      <c r="U88" s="37"/>
      <c r="V88" s="36" t="s">
        <v>55</v>
      </c>
      <c r="W88" s="34" t="s">
        <v>55</v>
      </c>
      <c r="X88" s="35"/>
      <c r="Y88" s="34" t="s">
        <v>55</v>
      </c>
      <c r="Z88" s="36" t="s">
        <v>55</v>
      </c>
      <c r="AA88" s="37"/>
      <c r="AB88" s="37" t="s">
        <v>55</v>
      </c>
      <c r="AC88" s="34" t="n">
        <v>84</v>
      </c>
      <c r="AD88" s="35" t="n">
        <f aca="false">AVERAGEA(AE88,AC88)</f>
        <v>87.7</v>
      </c>
      <c r="AE88" s="34" t="n">
        <v>91.4</v>
      </c>
      <c r="AF88" s="37" t="n">
        <v>60</v>
      </c>
      <c r="AG88" s="38" t="n">
        <f aca="false">AVERAGEA(AH88, AF88)</f>
        <v>37.5</v>
      </c>
      <c r="AH88" s="36" t="n">
        <v>15</v>
      </c>
      <c r="AI88" s="35" t="n">
        <v>0.83</v>
      </c>
      <c r="AJ88" s="35" t="n">
        <f aca="false">AVERAGEA(AK88, AI88)</f>
        <v>6.415</v>
      </c>
      <c r="AK88" s="35" t="n">
        <v>12</v>
      </c>
      <c r="AL88" s="37" t="n">
        <v>0.83</v>
      </c>
      <c r="AM88" s="38" t="n">
        <f aca="false">AVERAGEA(AN88, AL88)</f>
        <v>6.415</v>
      </c>
      <c r="AN88" s="36" t="n">
        <v>12</v>
      </c>
      <c r="AO88" s="34" t="n">
        <v>0.25</v>
      </c>
      <c r="AP88" s="64" t="n">
        <f aca="false">AVERAGEA(AQ88, AO88)</f>
        <v>2.125</v>
      </c>
      <c r="AQ88" s="34" t="n">
        <v>4</v>
      </c>
      <c r="AR88" s="37" t="n">
        <v>0.5</v>
      </c>
      <c r="AS88" s="37" t="n">
        <f aca="false">AVERAGEA(AT88, AR88)</f>
        <v>3.25</v>
      </c>
      <c r="AT88" s="36" t="n">
        <v>6</v>
      </c>
      <c r="AU88" s="34" t="n">
        <v>590</v>
      </c>
      <c r="AV88" s="35" t="n">
        <f aca="false">AVERAGEA(AW88, AU88)</f>
        <v>781</v>
      </c>
      <c r="AW88" s="34" t="n">
        <v>972</v>
      </c>
      <c r="AX88" s="37" t="n">
        <v>15.6</v>
      </c>
      <c r="AY88" s="37" t="n">
        <f aca="false">AVERAGEA(AZ88, AX88)</f>
        <v>15.6</v>
      </c>
      <c r="AZ88" s="36" t="n">
        <v>15.6</v>
      </c>
      <c r="BA88" s="34" t="n">
        <v>2.1</v>
      </c>
      <c r="BB88" s="35" t="n">
        <f aca="false">AVERAGEA(BC88, BA88)</f>
        <v>3.55</v>
      </c>
      <c r="BC88" s="34" t="n">
        <v>5</v>
      </c>
      <c r="BD88" s="37" t="n">
        <v>1.5</v>
      </c>
      <c r="BE88" s="37" t="n">
        <f aca="false">AVERAGEA(BD88,BF88)</f>
        <v>13.85</v>
      </c>
      <c r="BF88" s="36" t="n">
        <v>26.2</v>
      </c>
      <c r="BG88" s="34" t="n">
        <v>1.5</v>
      </c>
      <c r="BH88" s="35" t="n">
        <f aca="false">AVERAGEA(BG88,BI88)</f>
        <v>21.4</v>
      </c>
      <c r="BI88" s="34" t="n">
        <v>41.3</v>
      </c>
      <c r="BJ88" s="37" t="n">
        <v>3.5</v>
      </c>
      <c r="BK88" s="37" t="n">
        <f aca="false">AVERAGEA(BJ88,BL88)</f>
        <v>39.725</v>
      </c>
      <c r="BL88" s="36" t="n">
        <v>75.95</v>
      </c>
      <c r="BM88" s="34" t="n">
        <v>0.25</v>
      </c>
      <c r="BN88" s="35" t="n">
        <f aca="false">AVERAGEA(BO88, BM88)</f>
        <v>0.375</v>
      </c>
      <c r="BO88" s="34" t="n">
        <v>0.5</v>
      </c>
      <c r="BP88" s="37" t="n">
        <v>30</v>
      </c>
      <c r="BQ88" s="37" t="n">
        <f aca="false">AVERAGEA(BP88,BR88)</f>
        <v>60</v>
      </c>
      <c r="BR88" s="36" t="n">
        <v>90</v>
      </c>
      <c r="BS88" s="34" t="n">
        <v>1</v>
      </c>
      <c r="BT88" s="35" t="n">
        <f aca="false">AVERAGEA(BS88,BU88)</f>
        <v>2.5</v>
      </c>
      <c r="BU88" s="40" t="n">
        <v>4</v>
      </c>
      <c r="BV88" s="37" t="n">
        <v>2</v>
      </c>
      <c r="BW88" s="37" t="n">
        <f aca="false">AVERAGEA(BV88,BX88)</f>
        <v>3.5</v>
      </c>
      <c r="BX88" s="36" t="n">
        <v>5</v>
      </c>
      <c r="BY88" s="34"/>
      <c r="BZ88" s="35" t="e">
        <f aca="false">AVERAGEA(BY88,CA88)</f>
        <v>#DIV/0!</v>
      </c>
      <c r="CA88" s="40"/>
      <c r="CB88" s="37"/>
      <c r="CC88" s="37" t="e">
        <f aca="false">AVERAGEA(CB88,CD88)</f>
        <v>#DIV/0!</v>
      </c>
      <c r="CD88" s="36"/>
      <c r="CE88" s="34"/>
      <c r="CF88" s="35" t="e">
        <f aca="false">AVERAGEA(CE88,CG88)</f>
        <v>#DIV/0!</v>
      </c>
      <c r="CG88" s="40"/>
    </row>
    <row r="89" s="18" customFormat="true" ht="26.4" hidden="false" customHeight="true" outlineLevel="0" collapsed="false">
      <c r="B89" s="58"/>
      <c r="C89" s="59"/>
      <c r="D89" s="65"/>
      <c r="E89" s="66" t="s">
        <v>88</v>
      </c>
      <c r="F89" s="63" t="s">
        <v>89</v>
      </c>
      <c r="G89" s="66" t="s">
        <v>90</v>
      </c>
      <c r="H89" s="24"/>
      <c r="I89" s="24" t="e">
        <f aca="false">AVERAGE(H89,J89)</f>
        <v>#DIV/0!</v>
      </c>
      <c r="J89" s="24"/>
      <c r="K89" s="34" t="s">
        <v>55</v>
      </c>
      <c r="L89" s="35"/>
      <c r="M89" s="34" t="s">
        <v>55</v>
      </c>
      <c r="N89" s="24" t="n">
        <v>58.0513857997815</v>
      </c>
      <c r="O89" s="24" t="n">
        <f aca="false">AVERAGE(N89,P89)</f>
        <v>59.3502843515189</v>
      </c>
      <c r="P89" s="24" t="n">
        <v>60.6491829032563</v>
      </c>
      <c r="Q89" s="34" t="s">
        <v>55</v>
      </c>
      <c r="R89" s="35"/>
      <c r="S89" s="34" t="s">
        <v>55</v>
      </c>
      <c r="T89" s="36" t="s">
        <v>55</v>
      </c>
      <c r="U89" s="37"/>
      <c r="V89" s="36" t="s">
        <v>55</v>
      </c>
      <c r="W89" s="34" t="s">
        <v>55</v>
      </c>
      <c r="X89" s="35"/>
      <c r="Y89" s="34" t="s">
        <v>55</v>
      </c>
      <c r="Z89" s="36" t="s">
        <v>55</v>
      </c>
      <c r="AA89" s="37"/>
      <c r="AB89" s="37" t="s">
        <v>55</v>
      </c>
      <c r="AC89" s="34" t="n">
        <v>84</v>
      </c>
      <c r="AD89" s="35" t="n">
        <f aca="false">AVERAGEA(AE89,AC89)</f>
        <v>87.7</v>
      </c>
      <c r="AE89" s="34" t="n">
        <v>91.4</v>
      </c>
      <c r="AF89" s="37" t="n">
        <v>60</v>
      </c>
      <c r="AG89" s="38" t="n">
        <f aca="false">AVERAGEA(AH89, AF89)</f>
        <v>37.5</v>
      </c>
      <c r="AH89" s="36" t="n">
        <v>15</v>
      </c>
      <c r="AI89" s="35" t="n">
        <v>0.83</v>
      </c>
      <c r="AJ89" s="35" t="n">
        <f aca="false">AVERAGEA(AK89, AI89)</f>
        <v>6.415</v>
      </c>
      <c r="AK89" s="35" t="n">
        <v>12</v>
      </c>
      <c r="AL89" s="37" t="n">
        <v>0.83</v>
      </c>
      <c r="AM89" s="38" t="n">
        <f aca="false">AVERAGEA(AN89, AL89)</f>
        <v>6.415</v>
      </c>
      <c r="AN89" s="36" t="n">
        <v>12</v>
      </c>
      <c r="AO89" s="34" t="n">
        <v>0.25</v>
      </c>
      <c r="AP89" s="64" t="n">
        <f aca="false">AVERAGEA(AQ89, AO89)</f>
        <v>1.625</v>
      </c>
      <c r="AQ89" s="34" t="n">
        <v>3</v>
      </c>
      <c r="AR89" s="37" t="n">
        <v>0.5</v>
      </c>
      <c r="AS89" s="37" t="n">
        <f aca="false">AVERAGEA(AT89, AR89)</f>
        <v>1.75</v>
      </c>
      <c r="AT89" s="36" t="n">
        <v>3</v>
      </c>
      <c r="AU89" s="34" t="n">
        <v>590</v>
      </c>
      <c r="AV89" s="35" t="n">
        <f aca="false">AVERAGEA(AW89, AU89)</f>
        <v>781</v>
      </c>
      <c r="AW89" s="34" t="n">
        <v>972</v>
      </c>
      <c r="AX89" s="37" t="n">
        <v>15.6</v>
      </c>
      <c r="AY89" s="37" t="n">
        <f aca="false">AVERAGEA(AZ89, AX89)</f>
        <v>15.6</v>
      </c>
      <c r="AZ89" s="36" t="n">
        <v>15.6</v>
      </c>
      <c r="BA89" s="34" t="n">
        <v>2.1</v>
      </c>
      <c r="BB89" s="35" t="n">
        <f aca="false">AVERAGEA(BC89, BA89)</f>
        <v>3.55</v>
      </c>
      <c r="BC89" s="34" t="n">
        <v>5</v>
      </c>
      <c r="BD89" s="37" t="n">
        <v>1.5</v>
      </c>
      <c r="BE89" s="37" t="n">
        <f aca="false">AVERAGEA(BD89,BF89)</f>
        <v>13.85</v>
      </c>
      <c r="BF89" s="36" t="n">
        <v>26.2</v>
      </c>
      <c r="BG89" s="34" t="n">
        <v>1.5</v>
      </c>
      <c r="BH89" s="35" t="n">
        <f aca="false">AVERAGEA(BG89,BI89)</f>
        <v>21.4</v>
      </c>
      <c r="BI89" s="34" t="n">
        <v>41.3</v>
      </c>
      <c r="BJ89" s="37" t="n">
        <v>3.5</v>
      </c>
      <c r="BK89" s="37" t="n">
        <f aca="false">AVERAGEA(BJ89,BL89)</f>
        <v>39.725</v>
      </c>
      <c r="BL89" s="36" t="n">
        <v>75.95</v>
      </c>
      <c r="BM89" s="34" t="n">
        <v>0.25</v>
      </c>
      <c r="BN89" s="35" t="n">
        <f aca="false">AVERAGEA(BO89, BM89)</f>
        <v>0.375</v>
      </c>
      <c r="BO89" s="34" t="n">
        <v>0.5</v>
      </c>
      <c r="BP89" s="37" t="n">
        <v>30</v>
      </c>
      <c r="BQ89" s="37"/>
      <c r="BR89" s="36" t="n">
        <v>60</v>
      </c>
      <c r="BS89" s="34" t="n">
        <v>1</v>
      </c>
      <c r="BT89" s="35"/>
      <c r="BU89" s="40" t="n">
        <v>1.5</v>
      </c>
      <c r="BV89" s="37" t="n">
        <v>2</v>
      </c>
      <c r="BW89" s="37" t="n">
        <f aca="false">AVERAGEA(BV89,BX89)</f>
        <v>2.5</v>
      </c>
      <c r="BX89" s="36" t="n">
        <v>3</v>
      </c>
      <c r="BY89" s="34"/>
      <c r="BZ89" s="35"/>
      <c r="CA89" s="40"/>
      <c r="CB89" s="37"/>
      <c r="CC89" s="37" t="e">
        <f aca="false">AVERAGEA(CB89,CD89)</f>
        <v>#DIV/0!</v>
      </c>
      <c r="CD89" s="36"/>
      <c r="CE89" s="34"/>
      <c r="CF89" s="35"/>
      <c r="CG89" s="40"/>
    </row>
    <row r="90" s="18" customFormat="true" ht="28.35" hidden="false" customHeight="false" outlineLevel="0" collapsed="false">
      <c r="B90" s="58"/>
      <c r="C90" s="59"/>
      <c r="D90" s="65"/>
      <c r="E90" s="66"/>
      <c r="F90" s="63" t="s">
        <v>91</v>
      </c>
      <c r="G90" s="66"/>
      <c r="H90" s="24"/>
      <c r="I90" s="24" t="e">
        <f aca="false">AVERAGE(H90,J90)</f>
        <v>#DIV/0!</v>
      </c>
      <c r="J90" s="24"/>
      <c r="K90" s="34" t="s">
        <v>55</v>
      </c>
      <c r="L90" s="35"/>
      <c r="M90" s="34" t="s">
        <v>55</v>
      </c>
      <c r="N90" s="24" t="n">
        <v>55.0966196323963</v>
      </c>
      <c r="O90" s="24" t="n">
        <f aca="false">AVERAGE(N90,P90)</f>
        <v>56.5705397689767</v>
      </c>
      <c r="P90" s="24" t="n">
        <v>58.044459905557</v>
      </c>
      <c r="Q90" s="34" t="s">
        <v>55</v>
      </c>
      <c r="R90" s="35"/>
      <c r="S90" s="34" t="s">
        <v>55</v>
      </c>
      <c r="T90" s="36" t="s">
        <v>55</v>
      </c>
      <c r="U90" s="37"/>
      <c r="V90" s="36" t="s">
        <v>55</v>
      </c>
      <c r="W90" s="34" t="s">
        <v>55</v>
      </c>
      <c r="X90" s="35"/>
      <c r="Y90" s="34" t="s">
        <v>55</v>
      </c>
      <c r="Z90" s="36" t="s">
        <v>55</v>
      </c>
      <c r="AA90" s="37"/>
      <c r="AB90" s="37" t="s">
        <v>55</v>
      </c>
      <c r="AC90" s="34" t="n">
        <v>84</v>
      </c>
      <c r="AD90" s="35" t="n">
        <f aca="false">AVERAGEA(AE90,AC90)</f>
        <v>87.7</v>
      </c>
      <c r="AE90" s="34" t="n">
        <v>91.4</v>
      </c>
      <c r="AF90" s="37" t="n">
        <v>60</v>
      </c>
      <c r="AG90" s="38" t="n">
        <f aca="false">AVERAGEA(AH90, AF90)</f>
        <v>37.5</v>
      </c>
      <c r="AH90" s="36" t="n">
        <v>15</v>
      </c>
      <c r="AI90" s="35" t="n">
        <v>0.83</v>
      </c>
      <c r="AJ90" s="35" t="n">
        <f aca="false">AVERAGEA(AK90, AI90)</f>
        <v>6.415</v>
      </c>
      <c r="AK90" s="35" t="n">
        <v>12</v>
      </c>
      <c r="AL90" s="37" t="n">
        <v>0.83</v>
      </c>
      <c r="AM90" s="38" t="n">
        <f aca="false">AVERAGEA(AN90, AL90)</f>
        <v>6.415</v>
      </c>
      <c r="AN90" s="36" t="n">
        <v>12</v>
      </c>
      <c r="AO90" s="34" t="n">
        <v>0.25</v>
      </c>
      <c r="AP90" s="64" t="n">
        <f aca="false">AVERAGEA(AQ90, AO90)</f>
        <v>1.625</v>
      </c>
      <c r="AQ90" s="34" t="n">
        <v>3</v>
      </c>
      <c r="AR90" s="37" t="n">
        <v>0.5</v>
      </c>
      <c r="AS90" s="37" t="n">
        <f aca="false">AVERAGEA(AT90, AR90)</f>
        <v>1.75</v>
      </c>
      <c r="AT90" s="36" t="n">
        <v>3</v>
      </c>
      <c r="AU90" s="34" t="n">
        <v>590</v>
      </c>
      <c r="AV90" s="35" t="n">
        <f aca="false">AVERAGEA(AW90, AU90)</f>
        <v>781</v>
      </c>
      <c r="AW90" s="34" t="n">
        <v>972</v>
      </c>
      <c r="AX90" s="37" t="n">
        <v>15.6</v>
      </c>
      <c r="AY90" s="37" t="n">
        <f aca="false">AVERAGEA(AZ90, AX90)</f>
        <v>15.6</v>
      </c>
      <c r="AZ90" s="36" t="n">
        <v>15.6</v>
      </c>
      <c r="BA90" s="34" t="n">
        <v>2.1</v>
      </c>
      <c r="BB90" s="35" t="n">
        <f aca="false">AVERAGEA(BC90, BA90)</f>
        <v>3.55</v>
      </c>
      <c r="BC90" s="34" t="n">
        <v>5</v>
      </c>
      <c r="BD90" s="37" t="n">
        <v>1.5</v>
      </c>
      <c r="BE90" s="37" t="n">
        <f aca="false">AVERAGEA(BD90,BF90)</f>
        <v>13.85</v>
      </c>
      <c r="BF90" s="36" t="n">
        <v>26.2</v>
      </c>
      <c r="BG90" s="34" t="n">
        <v>1.5</v>
      </c>
      <c r="BH90" s="35" t="n">
        <f aca="false">AVERAGEA(BG90,BI90)</f>
        <v>21.4</v>
      </c>
      <c r="BI90" s="34" t="n">
        <v>41.3</v>
      </c>
      <c r="BJ90" s="37" t="n">
        <v>3.5</v>
      </c>
      <c r="BK90" s="37" t="n">
        <f aca="false">AVERAGEA(BJ90,BL90)</f>
        <v>39.725</v>
      </c>
      <c r="BL90" s="36" t="n">
        <v>75.95</v>
      </c>
      <c r="BM90" s="34" t="n">
        <v>0.25</v>
      </c>
      <c r="BN90" s="35" t="n">
        <f aca="false">AVERAGEA(BO90, BM90)</f>
        <v>0.375</v>
      </c>
      <c r="BO90" s="34" t="n">
        <v>0.5</v>
      </c>
      <c r="BP90" s="37" t="n">
        <v>30</v>
      </c>
      <c r="BQ90" s="37"/>
      <c r="BR90" s="36" t="n">
        <v>60</v>
      </c>
      <c r="BS90" s="34" t="n">
        <v>1</v>
      </c>
      <c r="BT90" s="35"/>
      <c r="BU90" s="40" t="n">
        <v>1.5</v>
      </c>
      <c r="BV90" s="37" t="n">
        <v>2</v>
      </c>
      <c r="BW90" s="37" t="n">
        <f aca="false">AVERAGEA(BV90,BX90)</f>
        <v>2.5</v>
      </c>
      <c r="BX90" s="36" t="n">
        <v>3</v>
      </c>
      <c r="BY90" s="34"/>
      <c r="BZ90" s="35"/>
      <c r="CA90" s="40"/>
      <c r="CB90" s="37"/>
      <c r="CC90" s="37" t="e">
        <f aca="false">AVERAGEA(CB90,CD90)</f>
        <v>#DIV/0!</v>
      </c>
      <c r="CD90" s="36"/>
      <c r="CE90" s="34"/>
      <c r="CF90" s="35"/>
      <c r="CG90" s="40"/>
    </row>
    <row r="91" s="18" customFormat="true" ht="28.35" hidden="false" customHeight="false" outlineLevel="0" collapsed="false">
      <c r="B91" s="58"/>
      <c r="C91" s="59"/>
      <c r="D91" s="65"/>
      <c r="E91" s="66"/>
      <c r="F91" s="63" t="s">
        <v>92</v>
      </c>
      <c r="G91" s="66"/>
      <c r="H91" s="24"/>
      <c r="I91" s="24" t="e">
        <f aca="false">AVERAGE(H91,J91)</f>
        <v>#DIV/0!</v>
      </c>
      <c r="J91" s="24"/>
      <c r="K91" s="34" t="s">
        <v>55</v>
      </c>
      <c r="L91" s="35"/>
      <c r="M91" s="34" t="s">
        <v>55</v>
      </c>
      <c r="N91" s="24" t="n">
        <v>49.8329809406148</v>
      </c>
      <c r="O91" s="24" t="n">
        <f aca="false">AVERAGE(N91,P91)</f>
        <v>52.4532572362791</v>
      </c>
      <c r="P91" s="24" t="n">
        <v>55.0735335319433</v>
      </c>
      <c r="Q91" s="34" t="s">
        <v>55</v>
      </c>
      <c r="R91" s="35"/>
      <c r="S91" s="34" t="s">
        <v>55</v>
      </c>
      <c r="T91" s="36" t="s">
        <v>55</v>
      </c>
      <c r="U91" s="37"/>
      <c r="V91" s="36" t="s">
        <v>55</v>
      </c>
      <c r="W91" s="34" t="s">
        <v>55</v>
      </c>
      <c r="X91" s="35"/>
      <c r="Y91" s="34" t="s">
        <v>55</v>
      </c>
      <c r="Z91" s="36" t="s">
        <v>55</v>
      </c>
      <c r="AA91" s="37"/>
      <c r="AB91" s="37" t="s">
        <v>55</v>
      </c>
      <c r="AC91" s="34" t="n">
        <v>84</v>
      </c>
      <c r="AD91" s="35" t="n">
        <f aca="false">AVERAGEA(AE91,AC91)</f>
        <v>87.7</v>
      </c>
      <c r="AE91" s="34" t="n">
        <v>91.4</v>
      </c>
      <c r="AF91" s="37" t="n">
        <v>60</v>
      </c>
      <c r="AG91" s="38" t="n">
        <f aca="false">AVERAGEA(AH91, AF91)</f>
        <v>37.5</v>
      </c>
      <c r="AH91" s="36" t="n">
        <v>15</v>
      </c>
      <c r="AI91" s="35" t="n">
        <v>0.83</v>
      </c>
      <c r="AJ91" s="35" t="n">
        <f aca="false">AVERAGEA(AK91, AI91)</f>
        <v>6.415</v>
      </c>
      <c r="AK91" s="35" t="n">
        <v>12</v>
      </c>
      <c r="AL91" s="37" t="n">
        <v>0.83</v>
      </c>
      <c r="AM91" s="38" t="n">
        <f aca="false">AVERAGEA(AN91, AL91)</f>
        <v>6.415</v>
      </c>
      <c r="AN91" s="36" t="n">
        <v>12</v>
      </c>
      <c r="AO91" s="34" t="n">
        <v>0.25</v>
      </c>
      <c r="AP91" s="64" t="n">
        <f aca="false">AVERAGEA(AQ91, AO91)</f>
        <v>1.625</v>
      </c>
      <c r="AQ91" s="34" t="n">
        <v>3</v>
      </c>
      <c r="AR91" s="37" t="n">
        <v>0.5</v>
      </c>
      <c r="AS91" s="37" t="n">
        <f aca="false">AVERAGEA(AT91, AR91)</f>
        <v>1.75</v>
      </c>
      <c r="AT91" s="36" t="n">
        <v>3</v>
      </c>
      <c r="AU91" s="34" t="n">
        <v>590</v>
      </c>
      <c r="AV91" s="35" t="n">
        <f aca="false">AVERAGEA(AW91, AU91)</f>
        <v>781</v>
      </c>
      <c r="AW91" s="34" t="n">
        <v>972</v>
      </c>
      <c r="AX91" s="37" t="n">
        <v>15.6</v>
      </c>
      <c r="AY91" s="37" t="n">
        <f aca="false">AVERAGEA(AZ91, AX91)</f>
        <v>15.6</v>
      </c>
      <c r="AZ91" s="36" t="n">
        <v>15.6</v>
      </c>
      <c r="BA91" s="34" t="n">
        <v>2.1</v>
      </c>
      <c r="BB91" s="35" t="n">
        <f aca="false">AVERAGEA(BC91, BA91)</f>
        <v>3.55</v>
      </c>
      <c r="BC91" s="34" t="n">
        <v>5</v>
      </c>
      <c r="BD91" s="37" t="n">
        <v>1.5</v>
      </c>
      <c r="BE91" s="37" t="n">
        <f aca="false">AVERAGEA(BD91,BF91)</f>
        <v>13.85</v>
      </c>
      <c r="BF91" s="36" t="n">
        <v>26.2</v>
      </c>
      <c r="BG91" s="34" t="n">
        <v>1.5</v>
      </c>
      <c r="BH91" s="35" t="n">
        <f aca="false">AVERAGEA(BG91,BI91)</f>
        <v>21.4</v>
      </c>
      <c r="BI91" s="34" t="n">
        <v>41.3</v>
      </c>
      <c r="BJ91" s="37" t="n">
        <v>3.5</v>
      </c>
      <c r="BK91" s="37" t="n">
        <f aca="false">AVERAGEA(BJ91,BL91)</f>
        <v>39.725</v>
      </c>
      <c r="BL91" s="36" t="n">
        <v>75.95</v>
      </c>
      <c r="BM91" s="34" t="n">
        <v>0.25</v>
      </c>
      <c r="BN91" s="35" t="n">
        <f aca="false">AVERAGEA(BO91, BM91)</f>
        <v>0.375</v>
      </c>
      <c r="BO91" s="34" t="n">
        <v>0.5</v>
      </c>
      <c r="BP91" s="37" t="n">
        <v>30</v>
      </c>
      <c r="BQ91" s="37"/>
      <c r="BR91" s="36" t="n">
        <v>60</v>
      </c>
      <c r="BS91" s="34" t="n">
        <v>1</v>
      </c>
      <c r="BT91" s="35"/>
      <c r="BU91" s="40" t="n">
        <v>1.5</v>
      </c>
      <c r="BV91" s="37" t="n">
        <v>2</v>
      </c>
      <c r="BW91" s="37" t="n">
        <f aca="false">AVERAGEA(BV91,BX91)</f>
        <v>2.5</v>
      </c>
      <c r="BX91" s="36" t="n">
        <v>3</v>
      </c>
      <c r="BY91" s="34"/>
      <c r="BZ91" s="35"/>
      <c r="CA91" s="40"/>
      <c r="CB91" s="37"/>
      <c r="CC91" s="37" t="e">
        <f aca="false">AVERAGEA(CB91,CD91)</f>
        <v>#DIV/0!</v>
      </c>
      <c r="CD91" s="36"/>
      <c r="CE91" s="34"/>
      <c r="CF91" s="35"/>
      <c r="CG91" s="40"/>
    </row>
    <row r="92" s="18" customFormat="true" ht="28.35" hidden="false" customHeight="false" outlineLevel="0" collapsed="false">
      <c r="B92" s="58"/>
      <c r="C92" s="59"/>
      <c r="D92" s="65"/>
      <c r="E92" s="66"/>
      <c r="F92" s="63" t="s">
        <v>93</v>
      </c>
      <c r="G92" s="66"/>
      <c r="H92" s="24"/>
      <c r="I92" s="24" t="e">
        <f aca="false">AVERAGE(H92,J92)</f>
        <v>#DIV/0!</v>
      </c>
      <c r="J92" s="24"/>
      <c r="K92" s="34" t="s">
        <v>55</v>
      </c>
      <c r="L92" s="35"/>
      <c r="M92" s="34" t="s">
        <v>55</v>
      </c>
      <c r="N92" s="24" t="n">
        <v>45.47</v>
      </c>
      <c r="O92" s="24" t="n">
        <f aca="false">AVERAGE(N92,P92)</f>
        <v>47.5294118602507</v>
      </c>
      <c r="P92" s="24" t="n">
        <v>49.5888237205014</v>
      </c>
      <c r="Q92" s="34" t="s">
        <v>55</v>
      </c>
      <c r="R92" s="35"/>
      <c r="S92" s="34" t="s">
        <v>55</v>
      </c>
      <c r="T92" s="36" t="s">
        <v>55</v>
      </c>
      <c r="U92" s="37"/>
      <c r="V92" s="36" t="s">
        <v>55</v>
      </c>
      <c r="W92" s="34" t="s">
        <v>55</v>
      </c>
      <c r="X92" s="35"/>
      <c r="Y92" s="34" t="s">
        <v>55</v>
      </c>
      <c r="Z92" s="36" t="s">
        <v>55</v>
      </c>
      <c r="AA92" s="37"/>
      <c r="AB92" s="37" t="s">
        <v>55</v>
      </c>
      <c r="AC92" s="34" t="n">
        <v>84</v>
      </c>
      <c r="AD92" s="35" t="n">
        <f aca="false">AVERAGEA(AE92,AC92)</f>
        <v>87.7</v>
      </c>
      <c r="AE92" s="34" t="n">
        <v>91.4</v>
      </c>
      <c r="AF92" s="37" t="n">
        <v>60</v>
      </c>
      <c r="AG92" s="38" t="n">
        <f aca="false">AVERAGEA(AH92, AF92)</f>
        <v>37.5</v>
      </c>
      <c r="AH92" s="36" t="n">
        <v>15</v>
      </c>
      <c r="AI92" s="35" t="n">
        <v>0.83</v>
      </c>
      <c r="AJ92" s="35" t="n">
        <f aca="false">AVERAGEA(AK92, AI92)</f>
        <v>6.415</v>
      </c>
      <c r="AK92" s="35" t="n">
        <v>12</v>
      </c>
      <c r="AL92" s="37" t="n">
        <v>0.83</v>
      </c>
      <c r="AM92" s="38" t="n">
        <f aca="false">AVERAGEA(AN92, AL92)</f>
        <v>6.415</v>
      </c>
      <c r="AN92" s="36" t="n">
        <v>12</v>
      </c>
      <c r="AO92" s="34" t="n">
        <v>0.25</v>
      </c>
      <c r="AP92" s="64" t="n">
        <f aca="false">AVERAGEA(AQ92, AO92)</f>
        <v>1.625</v>
      </c>
      <c r="AQ92" s="34" t="n">
        <v>3</v>
      </c>
      <c r="AR92" s="37" t="n">
        <v>0.5</v>
      </c>
      <c r="AS92" s="37" t="n">
        <f aca="false">AVERAGEA(AT92, AR92)</f>
        <v>1.75</v>
      </c>
      <c r="AT92" s="36" t="n">
        <v>3</v>
      </c>
      <c r="AU92" s="34" t="n">
        <v>590</v>
      </c>
      <c r="AV92" s="35" t="n">
        <f aca="false">AVERAGEA(AW92, AU92)</f>
        <v>781</v>
      </c>
      <c r="AW92" s="34" t="n">
        <v>972</v>
      </c>
      <c r="AX92" s="37" t="n">
        <v>15.6</v>
      </c>
      <c r="AY92" s="37" t="n">
        <f aca="false">AVERAGEA(AZ92, AX92)</f>
        <v>15.6</v>
      </c>
      <c r="AZ92" s="36" t="n">
        <v>15.6</v>
      </c>
      <c r="BA92" s="34" t="n">
        <v>2.1</v>
      </c>
      <c r="BB92" s="35" t="n">
        <f aca="false">AVERAGEA(BC92, BA92)</f>
        <v>3.55</v>
      </c>
      <c r="BC92" s="34" t="n">
        <v>5</v>
      </c>
      <c r="BD92" s="37" t="n">
        <v>1.5</v>
      </c>
      <c r="BE92" s="37" t="n">
        <f aca="false">AVERAGEA(BD92,BF92)</f>
        <v>13.85</v>
      </c>
      <c r="BF92" s="36" t="n">
        <v>26.2</v>
      </c>
      <c r="BG92" s="34" t="n">
        <v>1.5</v>
      </c>
      <c r="BH92" s="35" t="n">
        <f aca="false">AVERAGEA(BG92,BI92)</f>
        <v>21.4</v>
      </c>
      <c r="BI92" s="34" t="n">
        <v>41.3</v>
      </c>
      <c r="BJ92" s="37" t="n">
        <v>3.5</v>
      </c>
      <c r="BK92" s="37" t="n">
        <f aca="false">AVERAGEA(BJ92,BL92)</f>
        <v>39.725</v>
      </c>
      <c r="BL92" s="36" t="n">
        <v>75.95</v>
      </c>
      <c r="BM92" s="34" t="n">
        <v>0.25</v>
      </c>
      <c r="BN92" s="35" t="n">
        <f aca="false">AVERAGEA(BO92, BM92)</f>
        <v>0.375</v>
      </c>
      <c r="BO92" s="34" t="n">
        <v>0.5</v>
      </c>
      <c r="BP92" s="37" t="n">
        <v>30</v>
      </c>
      <c r="BQ92" s="37"/>
      <c r="BR92" s="36" t="n">
        <v>60</v>
      </c>
      <c r="BS92" s="34" t="n">
        <v>1</v>
      </c>
      <c r="BT92" s="35"/>
      <c r="BU92" s="40" t="n">
        <v>1.5</v>
      </c>
      <c r="BV92" s="37" t="n">
        <v>2</v>
      </c>
      <c r="BW92" s="37" t="n">
        <f aca="false">AVERAGEA(BV92,BX92)</f>
        <v>2.5</v>
      </c>
      <c r="BX92" s="36" t="n">
        <v>3</v>
      </c>
      <c r="BY92" s="34"/>
      <c r="BZ92" s="35"/>
      <c r="CA92" s="40"/>
      <c r="CB92" s="37"/>
      <c r="CC92" s="37" t="e">
        <f aca="false">AVERAGEA(CB92,CD92)</f>
        <v>#DIV/0!</v>
      </c>
      <c r="CD92" s="36"/>
      <c r="CE92" s="34"/>
      <c r="CF92" s="35"/>
      <c r="CG92" s="40"/>
    </row>
    <row r="93" s="18" customFormat="true" ht="26.4" hidden="false" customHeight="true" outlineLevel="0" collapsed="false">
      <c r="B93" s="58"/>
      <c r="C93" s="59"/>
      <c r="D93" s="65"/>
      <c r="E93" s="66" t="s">
        <v>94</v>
      </c>
      <c r="F93" s="63" t="s">
        <v>89</v>
      </c>
      <c r="G93" s="66" t="s">
        <v>95</v>
      </c>
      <c r="H93" s="24"/>
      <c r="I93" s="24" t="e">
        <f aca="false">AVERAGE(H93,J93)</f>
        <v>#DIV/0!</v>
      </c>
      <c r="J93" s="24"/>
      <c r="K93" s="34" t="s">
        <v>55</v>
      </c>
      <c r="L93" s="35"/>
      <c r="M93" s="34" t="s">
        <v>55</v>
      </c>
      <c r="N93" s="24" t="n">
        <v>60.505</v>
      </c>
      <c r="O93" s="24" t="n">
        <f aca="false">AVERAGE(N93,P93)</f>
        <v>60.7975</v>
      </c>
      <c r="P93" s="24" t="n">
        <v>61.09</v>
      </c>
      <c r="Q93" s="34" t="s">
        <v>55</v>
      </c>
      <c r="R93" s="35"/>
      <c r="S93" s="34" t="s">
        <v>55</v>
      </c>
      <c r="T93" s="36" t="s">
        <v>55</v>
      </c>
      <c r="U93" s="37"/>
      <c r="V93" s="36" t="s">
        <v>55</v>
      </c>
      <c r="W93" s="34" t="s">
        <v>55</v>
      </c>
      <c r="X93" s="35"/>
      <c r="Y93" s="34" t="s">
        <v>55</v>
      </c>
      <c r="Z93" s="36" t="s">
        <v>55</v>
      </c>
      <c r="AA93" s="37"/>
      <c r="AB93" s="37" t="s">
        <v>55</v>
      </c>
      <c r="AC93" s="34" t="n">
        <v>84</v>
      </c>
      <c r="AD93" s="35" t="n">
        <f aca="false">AVERAGEA(AE93,AC93)</f>
        <v>87.7</v>
      </c>
      <c r="AE93" s="34" t="n">
        <v>91.4</v>
      </c>
      <c r="AF93" s="37" t="n">
        <v>50</v>
      </c>
      <c r="AG93" s="38" t="n">
        <f aca="false">AVERAGEA(AH93, AF93)</f>
        <v>32.5</v>
      </c>
      <c r="AH93" s="36" t="n">
        <v>15</v>
      </c>
      <c r="AI93" s="35" t="n">
        <v>0.83</v>
      </c>
      <c r="AJ93" s="35" t="n">
        <f aca="false">AVERAGEA(AK93, AI93)</f>
        <v>6.415</v>
      </c>
      <c r="AK93" s="35" t="n">
        <v>12</v>
      </c>
      <c r="AL93" s="37" t="n">
        <v>0.83</v>
      </c>
      <c r="AM93" s="38" t="n">
        <f aca="false">AVERAGEA(AN93, AL93)</f>
        <v>6.415</v>
      </c>
      <c r="AN93" s="36" t="n">
        <v>12</v>
      </c>
      <c r="AO93" s="34" t="n">
        <v>0.25</v>
      </c>
      <c r="AP93" s="64" t="n">
        <f aca="false">AVERAGEA(AQ93, AO93)</f>
        <v>1.125</v>
      </c>
      <c r="AQ93" s="34" t="n">
        <v>2</v>
      </c>
      <c r="AR93" s="37" t="n">
        <v>0.5</v>
      </c>
      <c r="AS93" s="37" t="n">
        <f aca="false">AVERAGEA(AT93, AR93)</f>
        <v>1.25</v>
      </c>
      <c r="AT93" s="36" t="n">
        <v>2</v>
      </c>
      <c r="AU93" s="34" t="n">
        <v>590</v>
      </c>
      <c r="AV93" s="35" t="n">
        <f aca="false">AVERAGEA(AW93, AU93)</f>
        <v>900</v>
      </c>
      <c r="AW93" s="34" t="n">
        <v>1210</v>
      </c>
      <c r="AX93" s="37" t="n">
        <v>17</v>
      </c>
      <c r="AY93" s="38" t="n">
        <f aca="false">AVERAGEA(AZ93, AX93)</f>
        <v>18.5</v>
      </c>
      <c r="AZ93" s="37" t="n">
        <v>20</v>
      </c>
      <c r="BA93" s="34" t="n">
        <v>1.3</v>
      </c>
      <c r="BB93" s="35" t="n">
        <f aca="false">AVERAGEA(BC93, BA93)</f>
        <v>3.15</v>
      </c>
      <c r="BC93" s="34" t="n">
        <v>5</v>
      </c>
      <c r="BD93" s="37" t="n">
        <v>1.5</v>
      </c>
      <c r="BE93" s="37" t="n">
        <f aca="false">AVERAGEA(BD93,BF93)</f>
        <v>13.85</v>
      </c>
      <c r="BF93" s="36" t="n">
        <v>26.2</v>
      </c>
      <c r="BG93" s="34" t="n">
        <v>1.5</v>
      </c>
      <c r="BH93" s="35" t="n">
        <f aca="false">AVERAGEA(BG93,BI93)</f>
        <v>21.4</v>
      </c>
      <c r="BI93" s="34" t="n">
        <v>41.3</v>
      </c>
      <c r="BJ93" s="37" t="n">
        <v>3.5</v>
      </c>
      <c r="BK93" s="37" t="n">
        <f aca="false">AVERAGEA(BJ93,BL93)</f>
        <v>39.725</v>
      </c>
      <c r="BL93" s="36" t="n">
        <v>75.95</v>
      </c>
      <c r="BM93" s="34" t="n">
        <v>0.25</v>
      </c>
      <c r="BN93" s="35" t="n">
        <f aca="false">AVERAGEA(BO93, BM93)</f>
        <v>0.375</v>
      </c>
      <c r="BO93" s="34" t="n">
        <v>0.5</v>
      </c>
      <c r="BP93" s="37" t="n">
        <v>30</v>
      </c>
      <c r="BQ93" s="37"/>
      <c r="BR93" s="36" t="n">
        <v>60</v>
      </c>
      <c r="BS93" s="34" t="n">
        <v>1</v>
      </c>
      <c r="BT93" s="35"/>
      <c r="BU93" s="40" t="n">
        <v>1.5</v>
      </c>
      <c r="BV93" s="37" t="n">
        <v>2</v>
      </c>
      <c r="BW93" s="37" t="n">
        <f aca="false">AVERAGEA(BV93,BX93)</f>
        <v>2.5</v>
      </c>
      <c r="BX93" s="36" t="n">
        <v>3</v>
      </c>
      <c r="BY93" s="34"/>
      <c r="BZ93" s="35"/>
      <c r="CA93" s="40"/>
      <c r="CB93" s="37"/>
      <c r="CC93" s="37" t="e">
        <f aca="false">AVERAGEA(CB93,CD93)</f>
        <v>#DIV/0!</v>
      </c>
      <c r="CD93" s="36"/>
      <c r="CE93" s="34"/>
      <c r="CF93" s="35"/>
      <c r="CG93" s="40"/>
    </row>
    <row r="94" s="18" customFormat="true" ht="28.35" hidden="false" customHeight="false" outlineLevel="0" collapsed="false">
      <c r="B94" s="58"/>
      <c r="C94" s="59"/>
      <c r="D94" s="65"/>
      <c r="E94" s="66"/>
      <c r="F94" s="63" t="s">
        <v>91</v>
      </c>
      <c r="G94" s="66"/>
      <c r="H94" s="24"/>
      <c r="I94" s="24" t="e">
        <f aca="false">AVERAGE(H94,J94)</f>
        <v>#DIV/0!</v>
      </c>
      <c r="J94" s="24"/>
      <c r="K94" s="34" t="s">
        <v>55</v>
      </c>
      <c r="L94" s="35"/>
      <c r="M94" s="34" t="s">
        <v>55</v>
      </c>
      <c r="N94" s="24" t="n">
        <v>60.28</v>
      </c>
      <c r="O94" s="24" t="n">
        <f aca="false">AVERAGE(N94,P94)</f>
        <v>60.39205</v>
      </c>
      <c r="P94" s="24" t="n">
        <v>60.5041</v>
      </c>
      <c r="Q94" s="34" t="s">
        <v>55</v>
      </c>
      <c r="R94" s="35"/>
      <c r="S94" s="34" t="s">
        <v>55</v>
      </c>
      <c r="T94" s="36" t="s">
        <v>55</v>
      </c>
      <c r="U94" s="37"/>
      <c r="V94" s="36" t="s">
        <v>55</v>
      </c>
      <c r="W94" s="34" t="s">
        <v>55</v>
      </c>
      <c r="X94" s="35"/>
      <c r="Y94" s="34" t="s">
        <v>55</v>
      </c>
      <c r="Z94" s="36" t="s">
        <v>55</v>
      </c>
      <c r="AA94" s="37"/>
      <c r="AB94" s="37" t="s">
        <v>55</v>
      </c>
      <c r="AC94" s="34" t="n">
        <v>84</v>
      </c>
      <c r="AD94" s="35" t="n">
        <f aca="false">AVERAGEA(AE94,AC94)</f>
        <v>87.7</v>
      </c>
      <c r="AE94" s="34" t="n">
        <v>91.4</v>
      </c>
      <c r="AF94" s="37" t="n">
        <v>50</v>
      </c>
      <c r="AG94" s="38" t="n">
        <f aca="false">AVERAGEA(AH94, AF94)</f>
        <v>32.5</v>
      </c>
      <c r="AH94" s="36" t="n">
        <v>15</v>
      </c>
      <c r="AI94" s="35" t="n">
        <v>0.83</v>
      </c>
      <c r="AJ94" s="35" t="n">
        <f aca="false">AVERAGEA(AK94, AI94)</f>
        <v>6.415</v>
      </c>
      <c r="AK94" s="35" t="n">
        <v>12</v>
      </c>
      <c r="AL94" s="37" t="n">
        <v>0.83</v>
      </c>
      <c r="AM94" s="38" t="n">
        <f aca="false">AVERAGEA(AN94, AL94)</f>
        <v>6.415</v>
      </c>
      <c r="AN94" s="36" t="n">
        <v>12</v>
      </c>
      <c r="AO94" s="34" t="n">
        <v>0.25</v>
      </c>
      <c r="AP94" s="64" t="n">
        <f aca="false">AVERAGEA(AQ94, AO94)</f>
        <v>1.125</v>
      </c>
      <c r="AQ94" s="34" t="n">
        <v>2</v>
      </c>
      <c r="AR94" s="37" t="n">
        <v>0.5</v>
      </c>
      <c r="AS94" s="37" t="n">
        <f aca="false">AVERAGEA(AT94, AR94)</f>
        <v>1.25</v>
      </c>
      <c r="AT94" s="36" t="n">
        <v>2</v>
      </c>
      <c r="AU94" s="34" t="n">
        <v>590</v>
      </c>
      <c r="AV94" s="35" t="n">
        <f aca="false">AVERAGEA(AW94, AU94)</f>
        <v>900</v>
      </c>
      <c r="AW94" s="34" t="n">
        <v>1210</v>
      </c>
      <c r="AX94" s="37" t="n">
        <v>17</v>
      </c>
      <c r="AY94" s="38" t="n">
        <f aca="false">AVERAGEA(AZ94, AX94)</f>
        <v>18.5</v>
      </c>
      <c r="AZ94" s="37" t="n">
        <v>20</v>
      </c>
      <c r="BA94" s="34" t="n">
        <v>1.3</v>
      </c>
      <c r="BB94" s="35" t="n">
        <f aca="false">AVERAGEA(BC94, BA94)</f>
        <v>3.15</v>
      </c>
      <c r="BC94" s="34" t="n">
        <v>5</v>
      </c>
      <c r="BD94" s="36" t="n">
        <v>1.5</v>
      </c>
      <c r="BE94" s="37" t="n">
        <f aca="false">AVERAGEA(BD94,BF94)</f>
        <v>13.85</v>
      </c>
      <c r="BF94" s="36" t="n">
        <v>26.2</v>
      </c>
      <c r="BG94" s="34" t="n">
        <v>1.5</v>
      </c>
      <c r="BH94" s="35" t="n">
        <f aca="false">AVERAGEA(BG94,BI94)</f>
        <v>21.4</v>
      </c>
      <c r="BI94" s="34" t="n">
        <v>41.3</v>
      </c>
      <c r="BJ94" s="37" t="n">
        <v>3.5</v>
      </c>
      <c r="BK94" s="37" t="n">
        <f aca="false">AVERAGEA(BJ94,BL94)</f>
        <v>39.725</v>
      </c>
      <c r="BL94" s="36" t="n">
        <v>75.95</v>
      </c>
      <c r="BM94" s="34" t="n">
        <v>0.25</v>
      </c>
      <c r="BN94" s="35" t="n">
        <f aca="false">AVERAGEA(BO94, BM94)</f>
        <v>0.375</v>
      </c>
      <c r="BO94" s="34" t="n">
        <v>0.5</v>
      </c>
      <c r="BP94" s="37" t="n">
        <v>30</v>
      </c>
      <c r="BQ94" s="37"/>
      <c r="BR94" s="36" t="n">
        <v>60</v>
      </c>
      <c r="BS94" s="34" t="n">
        <v>1</v>
      </c>
      <c r="BT94" s="35"/>
      <c r="BU94" s="40" t="n">
        <v>1.5</v>
      </c>
      <c r="BV94" s="37" t="n">
        <v>2</v>
      </c>
      <c r="BW94" s="37" t="n">
        <f aca="false">AVERAGEA(BV94,BX94)</f>
        <v>2.5</v>
      </c>
      <c r="BX94" s="36" t="n">
        <v>3</v>
      </c>
      <c r="BY94" s="34"/>
      <c r="BZ94" s="35"/>
      <c r="CA94" s="40"/>
      <c r="CB94" s="37"/>
      <c r="CC94" s="37" t="e">
        <f aca="false">AVERAGEA(CB94,CD94)</f>
        <v>#DIV/0!</v>
      </c>
      <c r="CD94" s="36"/>
      <c r="CE94" s="34"/>
      <c r="CF94" s="35"/>
      <c r="CG94" s="40"/>
    </row>
    <row r="95" s="18" customFormat="true" ht="28.35" hidden="false" customHeight="false" outlineLevel="0" collapsed="false">
      <c r="B95" s="58"/>
      <c r="C95" s="59"/>
      <c r="D95" s="65"/>
      <c r="E95" s="66"/>
      <c r="F95" s="63" t="s">
        <v>92</v>
      </c>
      <c r="G95" s="66"/>
      <c r="H95" s="24"/>
      <c r="I95" s="24" t="e">
        <f aca="false">AVERAGE(H95,J95)</f>
        <v>#DIV/0!</v>
      </c>
      <c r="J95" s="24"/>
      <c r="K95" s="34" t="s">
        <v>55</v>
      </c>
      <c r="L95" s="35"/>
      <c r="M95" s="34" t="s">
        <v>55</v>
      </c>
      <c r="N95" s="24" t="n">
        <v>60.1981</v>
      </c>
      <c r="O95" s="24" t="n">
        <f aca="false">AVERAGE(N95,P95)</f>
        <v>60.2386</v>
      </c>
      <c r="P95" s="24" t="n">
        <v>60.2791</v>
      </c>
      <c r="Q95" s="34" t="s">
        <v>55</v>
      </c>
      <c r="R95" s="35"/>
      <c r="S95" s="34" t="s">
        <v>55</v>
      </c>
      <c r="T95" s="36" t="s">
        <v>55</v>
      </c>
      <c r="U95" s="37"/>
      <c r="V95" s="36" t="s">
        <v>55</v>
      </c>
      <c r="W95" s="34" t="s">
        <v>55</v>
      </c>
      <c r="X95" s="35"/>
      <c r="Y95" s="34" t="s">
        <v>55</v>
      </c>
      <c r="Z95" s="36" t="s">
        <v>55</v>
      </c>
      <c r="AA95" s="37"/>
      <c r="AB95" s="37" t="s">
        <v>55</v>
      </c>
      <c r="AC95" s="34" t="n">
        <v>84</v>
      </c>
      <c r="AD95" s="35" t="n">
        <f aca="false">AVERAGEA(AE95,AC95)</f>
        <v>87.7</v>
      </c>
      <c r="AE95" s="34" t="n">
        <v>91.4</v>
      </c>
      <c r="AF95" s="37" t="n">
        <v>50</v>
      </c>
      <c r="AG95" s="38" t="n">
        <f aca="false">AVERAGEA(AH95, AF95)</f>
        <v>32.5</v>
      </c>
      <c r="AH95" s="36" t="n">
        <v>15</v>
      </c>
      <c r="AI95" s="35" t="n">
        <v>0.83</v>
      </c>
      <c r="AJ95" s="35" t="n">
        <f aca="false">AVERAGEA(AK95, AI95)</f>
        <v>6.415</v>
      </c>
      <c r="AK95" s="35" t="n">
        <v>12</v>
      </c>
      <c r="AL95" s="37" t="n">
        <v>0.83</v>
      </c>
      <c r="AM95" s="38" t="n">
        <f aca="false">AVERAGEA(AN95, AL95)</f>
        <v>6.415</v>
      </c>
      <c r="AN95" s="36" t="n">
        <v>12</v>
      </c>
      <c r="AO95" s="34" t="n">
        <v>0.25</v>
      </c>
      <c r="AP95" s="64" t="n">
        <f aca="false">AVERAGEA(AQ95, AO95)</f>
        <v>1.125</v>
      </c>
      <c r="AQ95" s="34" t="n">
        <v>2</v>
      </c>
      <c r="AR95" s="37" t="n">
        <v>0.5</v>
      </c>
      <c r="AS95" s="37" t="n">
        <f aca="false">AVERAGEA(AT95, AR95)</f>
        <v>1.25</v>
      </c>
      <c r="AT95" s="36" t="n">
        <v>2</v>
      </c>
      <c r="AU95" s="34" t="n">
        <v>590</v>
      </c>
      <c r="AV95" s="35" t="n">
        <f aca="false">AVERAGEA(AW95, AU95)</f>
        <v>900</v>
      </c>
      <c r="AW95" s="34" t="n">
        <v>1210</v>
      </c>
      <c r="AX95" s="37" t="n">
        <v>17</v>
      </c>
      <c r="AY95" s="38" t="n">
        <f aca="false">AVERAGEA(AZ95, AX95)</f>
        <v>18.5</v>
      </c>
      <c r="AZ95" s="37" t="n">
        <v>20</v>
      </c>
      <c r="BA95" s="34" t="n">
        <v>1.3</v>
      </c>
      <c r="BB95" s="35" t="n">
        <f aca="false">AVERAGEA(BC95, BA95)</f>
        <v>3.15</v>
      </c>
      <c r="BC95" s="34" t="n">
        <v>5</v>
      </c>
      <c r="BD95" s="36" t="n">
        <v>1.5</v>
      </c>
      <c r="BE95" s="37" t="n">
        <f aca="false">AVERAGEA(BD95,BF95)</f>
        <v>13.85</v>
      </c>
      <c r="BF95" s="36" t="n">
        <v>26.2</v>
      </c>
      <c r="BG95" s="34" t="n">
        <v>1.5</v>
      </c>
      <c r="BH95" s="35" t="n">
        <f aca="false">AVERAGEA(BG95,BI95)</f>
        <v>21.4</v>
      </c>
      <c r="BI95" s="34" t="n">
        <v>41.3</v>
      </c>
      <c r="BJ95" s="37" t="n">
        <v>3.5</v>
      </c>
      <c r="BK95" s="37" t="n">
        <f aca="false">AVERAGEA(BJ95,BL95)</f>
        <v>39.725</v>
      </c>
      <c r="BL95" s="36" t="n">
        <v>75.95</v>
      </c>
      <c r="BM95" s="34" t="n">
        <v>0.25</v>
      </c>
      <c r="BN95" s="35" t="n">
        <f aca="false">AVERAGEA(BO95, BM95)</f>
        <v>0.375</v>
      </c>
      <c r="BO95" s="34" t="n">
        <v>0.5</v>
      </c>
      <c r="BP95" s="37" t="n">
        <v>30</v>
      </c>
      <c r="BQ95" s="37"/>
      <c r="BR95" s="36" t="n">
        <v>60</v>
      </c>
      <c r="BS95" s="34" t="n">
        <v>1</v>
      </c>
      <c r="BT95" s="35"/>
      <c r="BU95" s="40" t="n">
        <v>1.5</v>
      </c>
      <c r="BV95" s="37" t="n">
        <v>2</v>
      </c>
      <c r="BW95" s="37" t="n">
        <f aca="false">AVERAGEA(BV95,BX95)</f>
        <v>2.5</v>
      </c>
      <c r="BX95" s="36" t="n">
        <v>3</v>
      </c>
      <c r="BY95" s="34"/>
      <c r="BZ95" s="35"/>
      <c r="CA95" s="40"/>
      <c r="CB95" s="37"/>
      <c r="CC95" s="37" t="e">
        <f aca="false">AVERAGEA(CB95,CD95)</f>
        <v>#DIV/0!</v>
      </c>
      <c r="CD95" s="36"/>
      <c r="CE95" s="34"/>
      <c r="CF95" s="35"/>
      <c r="CG95" s="40"/>
    </row>
    <row r="96" s="18" customFormat="true" ht="28.35" hidden="false" customHeight="false" outlineLevel="0" collapsed="false">
      <c r="B96" s="58"/>
      <c r="C96" s="59"/>
      <c r="D96" s="65"/>
      <c r="E96" s="66"/>
      <c r="F96" s="63" t="s">
        <v>93</v>
      </c>
      <c r="G96" s="66"/>
      <c r="H96" s="24"/>
      <c r="I96" s="24" t="e">
        <f aca="false">AVERAGE(H96,J96)</f>
        <v>#DIV/0!</v>
      </c>
      <c r="J96" s="24"/>
      <c r="K96" s="34" t="s">
        <v>55</v>
      </c>
      <c r="L96" s="35"/>
      <c r="M96" s="34" t="s">
        <v>55</v>
      </c>
      <c r="N96" s="24" t="n">
        <v>60.1909</v>
      </c>
      <c r="O96" s="24" t="n">
        <f aca="false">AVERAGE(N96,P96)</f>
        <v>60.19405</v>
      </c>
      <c r="P96" s="24" t="n">
        <v>60.1972</v>
      </c>
      <c r="Q96" s="34" t="s">
        <v>55</v>
      </c>
      <c r="R96" s="35"/>
      <c r="S96" s="34" t="s">
        <v>55</v>
      </c>
      <c r="T96" s="36" t="s">
        <v>55</v>
      </c>
      <c r="U96" s="37"/>
      <c r="V96" s="36" t="s">
        <v>55</v>
      </c>
      <c r="W96" s="34" t="s">
        <v>55</v>
      </c>
      <c r="X96" s="35"/>
      <c r="Y96" s="34" t="s">
        <v>55</v>
      </c>
      <c r="Z96" s="36" t="s">
        <v>55</v>
      </c>
      <c r="AA96" s="37"/>
      <c r="AB96" s="37" t="s">
        <v>55</v>
      </c>
      <c r="AC96" s="34" t="n">
        <v>84</v>
      </c>
      <c r="AD96" s="35" t="n">
        <f aca="false">AVERAGEA(AE96,AC96)</f>
        <v>87.7</v>
      </c>
      <c r="AE96" s="34" t="n">
        <v>91.4</v>
      </c>
      <c r="AF96" s="37" t="n">
        <v>50</v>
      </c>
      <c r="AG96" s="38" t="n">
        <f aca="false">AVERAGEA(AH96, AF96)</f>
        <v>32.5</v>
      </c>
      <c r="AH96" s="36" t="n">
        <v>15</v>
      </c>
      <c r="AI96" s="35" t="n">
        <v>0.83</v>
      </c>
      <c r="AJ96" s="35" t="n">
        <f aca="false">AVERAGEA(AK96, AI96)</f>
        <v>6.415</v>
      </c>
      <c r="AK96" s="35" t="n">
        <v>12</v>
      </c>
      <c r="AL96" s="37" t="n">
        <v>0.83</v>
      </c>
      <c r="AM96" s="38" t="n">
        <f aca="false">AVERAGEA(AN96, AL96)</f>
        <v>6.415</v>
      </c>
      <c r="AN96" s="36" t="n">
        <v>12</v>
      </c>
      <c r="AO96" s="34" t="n">
        <v>0.25</v>
      </c>
      <c r="AP96" s="64" t="n">
        <f aca="false">AVERAGEA(AQ96, AO96)</f>
        <v>1.125</v>
      </c>
      <c r="AQ96" s="34" t="n">
        <v>2</v>
      </c>
      <c r="AR96" s="37" t="n">
        <v>0.5</v>
      </c>
      <c r="AS96" s="37" t="n">
        <f aca="false">AVERAGEA(AT96, AR96)</f>
        <v>1.25</v>
      </c>
      <c r="AT96" s="36" t="n">
        <v>2</v>
      </c>
      <c r="AU96" s="34" t="n">
        <v>590</v>
      </c>
      <c r="AV96" s="35" t="n">
        <f aca="false">AVERAGEA(AW96, AU96)</f>
        <v>900</v>
      </c>
      <c r="AW96" s="34" t="n">
        <v>1210</v>
      </c>
      <c r="AX96" s="37" t="n">
        <v>17</v>
      </c>
      <c r="AY96" s="38" t="n">
        <f aca="false">AVERAGEA(AZ96, AX96)</f>
        <v>18.5</v>
      </c>
      <c r="AZ96" s="37" t="n">
        <v>20</v>
      </c>
      <c r="BA96" s="34" t="n">
        <v>1.3</v>
      </c>
      <c r="BB96" s="35" t="n">
        <f aca="false">AVERAGEA(BC96, BA96)</f>
        <v>3.15</v>
      </c>
      <c r="BC96" s="34" t="n">
        <v>5</v>
      </c>
      <c r="BD96" s="36" t="n">
        <v>1.5</v>
      </c>
      <c r="BE96" s="37" t="n">
        <f aca="false">AVERAGEA(BD96,BF96)</f>
        <v>13.85</v>
      </c>
      <c r="BF96" s="36" t="n">
        <v>26.2</v>
      </c>
      <c r="BG96" s="34" t="n">
        <v>1.5</v>
      </c>
      <c r="BH96" s="35" t="n">
        <f aca="false">AVERAGEA(BG96,BI96)</f>
        <v>21.4</v>
      </c>
      <c r="BI96" s="34" t="n">
        <v>41.3</v>
      </c>
      <c r="BJ96" s="37" t="n">
        <v>3.5</v>
      </c>
      <c r="BK96" s="37" t="n">
        <f aca="false">AVERAGEA(BJ96,BL96)</f>
        <v>39.725</v>
      </c>
      <c r="BL96" s="36" t="n">
        <v>75.95</v>
      </c>
      <c r="BM96" s="34" t="n">
        <v>0.25</v>
      </c>
      <c r="BN96" s="35" t="n">
        <f aca="false">AVERAGEA(BO96, BM96)</f>
        <v>0.375</v>
      </c>
      <c r="BO96" s="34" t="n">
        <v>0.5</v>
      </c>
      <c r="BP96" s="37" t="n">
        <v>30</v>
      </c>
      <c r="BQ96" s="37"/>
      <c r="BR96" s="36" t="n">
        <v>60</v>
      </c>
      <c r="BS96" s="34" t="n">
        <v>1</v>
      </c>
      <c r="BT96" s="35"/>
      <c r="BU96" s="40" t="n">
        <v>1.5</v>
      </c>
      <c r="BV96" s="37" t="n">
        <v>2</v>
      </c>
      <c r="BW96" s="37" t="n">
        <f aca="false">AVERAGEA(BV96,BX96)</f>
        <v>2.5</v>
      </c>
      <c r="BX96" s="36" t="n">
        <v>3</v>
      </c>
      <c r="BY96" s="34"/>
      <c r="BZ96" s="35"/>
      <c r="CA96" s="40"/>
      <c r="CB96" s="37"/>
      <c r="CC96" s="37" t="e">
        <f aca="false">AVERAGEA(CB96,CD96)</f>
        <v>#DIV/0!</v>
      </c>
      <c r="CD96" s="36"/>
      <c r="CE96" s="34"/>
      <c r="CF96" s="35"/>
      <c r="CG96" s="40"/>
    </row>
    <row r="97" s="18" customFormat="true" ht="26.4" hidden="false" customHeight="true" outlineLevel="0" collapsed="false">
      <c r="B97" s="58"/>
      <c r="C97" s="59"/>
      <c r="D97" s="65"/>
      <c r="E97" s="66" t="s">
        <v>96</v>
      </c>
      <c r="F97" s="63" t="s">
        <v>89</v>
      </c>
      <c r="G97" s="66" t="s">
        <v>97</v>
      </c>
      <c r="H97" s="24"/>
      <c r="I97" s="24" t="e">
        <f aca="false">AVERAGE(H97,J97)</f>
        <v>#DIV/0!</v>
      </c>
      <c r="J97" s="24"/>
      <c r="K97" s="34" t="s">
        <v>55</v>
      </c>
      <c r="L97" s="35"/>
      <c r="M97" s="34" t="s">
        <v>55</v>
      </c>
      <c r="N97" s="24" t="n">
        <v>61.26</v>
      </c>
      <c r="O97" s="24" t="n">
        <f aca="false">AVERAGE(N97,P97)</f>
        <v>61.91</v>
      </c>
      <c r="P97" s="24" t="n">
        <v>62.56</v>
      </c>
      <c r="Q97" s="34" t="s">
        <v>55</v>
      </c>
      <c r="R97" s="35"/>
      <c r="S97" s="34" t="s">
        <v>55</v>
      </c>
      <c r="T97" s="36" t="s">
        <v>55</v>
      </c>
      <c r="U97" s="37"/>
      <c r="V97" s="36" t="s">
        <v>55</v>
      </c>
      <c r="W97" s="34" t="s">
        <v>55</v>
      </c>
      <c r="X97" s="35"/>
      <c r="Y97" s="34" t="s">
        <v>55</v>
      </c>
      <c r="Z97" s="36" t="s">
        <v>55</v>
      </c>
      <c r="AA97" s="37"/>
      <c r="AB97" s="37" t="s">
        <v>55</v>
      </c>
      <c r="AC97" s="34" t="n">
        <v>84</v>
      </c>
      <c r="AD97" s="35" t="n">
        <f aca="false">AVERAGEA(AE97,AC97)</f>
        <v>87.7</v>
      </c>
      <c r="AE97" s="34" t="n">
        <v>91.4</v>
      </c>
      <c r="AF97" s="37" t="n">
        <v>50</v>
      </c>
      <c r="AG97" s="38" t="n">
        <f aca="false">AVERAGEA(AH97, AF97)</f>
        <v>32.5</v>
      </c>
      <c r="AH97" s="36" t="n">
        <v>15</v>
      </c>
      <c r="AI97" s="35" t="n">
        <v>0.83</v>
      </c>
      <c r="AJ97" s="35" t="n">
        <f aca="false">AVERAGEA(AK97, AI97)</f>
        <v>6.415</v>
      </c>
      <c r="AK97" s="35" t="n">
        <v>12</v>
      </c>
      <c r="AL97" s="37" t="n">
        <v>0.83</v>
      </c>
      <c r="AM97" s="38" t="n">
        <f aca="false">AVERAGEA(AN97, AL97)</f>
        <v>6.415</v>
      </c>
      <c r="AN97" s="36" t="n">
        <v>12</v>
      </c>
      <c r="AO97" s="34" t="n">
        <v>0.25</v>
      </c>
      <c r="AP97" s="64" t="n">
        <f aca="false">AVERAGEA(AQ97, AO97)</f>
        <v>1.125</v>
      </c>
      <c r="AQ97" s="34" t="n">
        <v>2</v>
      </c>
      <c r="AR97" s="37" t="n">
        <v>0.5</v>
      </c>
      <c r="AS97" s="37" t="n">
        <f aca="false">AVERAGEA(AT97, AR97)</f>
        <v>1.25</v>
      </c>
      <c r="AT97" s="36" t="n">
        <v>2</v>
      </c>
      <c r="AU97" s="34" t="n">
        <v>590</v>
      </c>
      <c r="AV97" s="35" t="n">
        <f aca="false">AVERAGEA(AW97, AU97)</f>
        <v>900</v>
      </c>
      <c r="AW97" s="34" t="n">
        <v>1210</v>
      </c>
      <c r="AX97" s="37" t="n">
        <v>17</v>
      </c>
      <c r="AY97" s="38" t="n">
        <f aca="false">AVERAGEA(AZ97, AX97)</f>
        <v>18.5</v>
      </c>
      <c r="AZ97" s="37" t="n">
        <v>20</v>
      </c>
      <c r="BA97" s="34" t="n">
        <v>1.3</v>
      </c>
      <c r="BB97" s="35" t="n">
        <f aca="false">AVERAGEA(BC97, BA97)</f>
        <v>3.15</v>
      </c>
      <c r="BC97" s="34" t="n">
        <v>5</v>
      </c>
      <c r="BD97" s="36" t="n">
        <v>1.5</v>
      </c>
      <c r="BE97" s="37" t="n">
        <f aca="false">AVERAGEA(BD97,BF97)</f>
        <v>13.85</v>
      </c>
      <c r="BF97" s="36" t="n">
        <v>26.2</v>
      </c>
      <c r="BG97" s="34" t="n">
        <v>1.5</v>
      </c>
      <c r="BH97" s="35" t="n">
        <f aca="false">AVERAGEA(BG97,BI97)</f>
        <v>21.4</v>
      </c>
      <c r="BI97" s="34" t="n">
        <v>41.3</v>
      </c>
      <c r="BJ97" s="37" t="n">
        <v>3.5</v>
      </c>
      <c r="BK97" s="37" t="n">
        <f aca="false">AVERAGEA(BJ97,BL97)</f>
        <v>39.725</v>
      </c>
      <c r="BL97" s="36" t="n">
        <v>75.95</v>
      </c>
      <c r="BM97" s="34" t="n">
        <v>0.25</v>
      </c>
      <c r="BN97" s="35" t="n">
        <f aca="false">AVERAGEA(BO97, BM97)</f>
        <v>0.375</v>
      </c>
      <c r="BO97" s="34" t="n">
        <v>0.5</v>
      </c>
      <c r="BP97" s="37" t="n">
        <v>30</v>
      </c>
      <c r="BQ97" s="37"/>
      <c r="BR97" s="36" t="n">
        <v>60</v>
      </c>
      <c r="BS97" s="34" t="n">
        <v>1</v>
      </c>
      <c r="BT97" s="35"/>
      <c r="BU97" s="40" t="n">
        <v>1.5</v>
      </c>
      <c r="BV97" s="37" t="n">
        <v>2</v>
      </c>
      <c r="BW97" s="37" t="n">
        <f aca="false">AVERAGEA(BV97,BX97)</f>
        <v>2.5</v>
      </c>
      <c r="BX97" s="36" t="n">
        <v>3</v>
      </c>
      <c r="BY97" s="34"/>
      <c r="BZ97" s="35"/>
      <c r="CA97" s="40"/>
      <c r="CB97" s="37"/>
      <c r="CC97" s="37" t="e">
        <f aca="false">AVERAGEA(CB97,CD97)</f>
        <v>#DIV/0!</v>
      </c>
      <c r="CD97" s="36"/>
      <c r="CE97" s="34"/>
      <c r="CF97" s="35"/>
      <c r="CG97" s="40"/>
    </row>
    <row r="98" s="18" customFormat="true" ht="28.35" hidden="false" customHeight="false" outlineLevel="0" collapsed="false">
      <c r="B98" s="58"/>
      <c r="C98" s="59"/>
      <c r="D98" s="65"/>
      <c r="E98" s="66"/>
      <c r="F98" s="63" t="s">
        <v>91</v>
      </c>
      <c r="G98" s="66"/>
      <c r="H98" s="24"/>
      <c r="I98" s="24" t="e">
        <f aca="false">AVERAGE(H98,J98)</f>
        <v>#DIV/0!</v>
      </c>
      <c r="J98" s="24"/>
      <c r="K98" s="34" t="s">
        <v>55</v>
      </c>
      <c r="L98" s="35"/>
      <c r="M98" s="34" t="s">
        <v>55</v>
      </c>
      <c r="N98" s="24" t="n">
        <v>60.76</v>
      </c>
      <c r="O98" s="24" t="n">
        <f aca="false">AVERAGE(N98,P98)</f>
        <v>61.009</v>
      </c>
      <c r="P98" s="24" t="n">
        <v>61.258</v>
      </c>
      <c r="Q98" s="34" t="s">
        <v>55</v>
      </c>
      <c r="R98" s="35"/>
      <c r="S98" s="34" t="s">
        <v>55</v>
      </c>
      <c r="T98" s="36" t="s">
        <v>55</v>
      </c>
      <c r="U98" s="37"/>
      <c r="V98" s="36" t="s">
        <v>55</v>
      </c>
      <c r="W98" s="34" t="s">
        <v>55</v>
      </c>
      <c r="X98" s="35"/>
      <c r="Y98" s="34" t="s">
        <v>55</v>
      </c>
      <c r="Z98" s="36" t="s">
        <v>55</v>
      </c>
      <c r="AA98" s="37"/>
      <c r="AB98" s="37" t="s">
        <v>55</v>
      </c>
      <c r="AC98" s="34" t="n">
        <v>84</v>
      </c>
      <c r="AD98" s="35" t="n">
        <f aca="false">AVERAGEA(AE98,AC98)</f>
        <v>87.7</v>
      </c>
      <c r="AE98" s="34" t="n">
        <v>91.4</v>
      </c>
      <c r="AF98" s="37" t="n">
        <v>50</v>
      </c>
      <c r="AG98" s="38" t="n">
        <f aca="false">AVERAGEA(AH98, AF98)</f>
        <v>32.5</v>
      </c>
      <c r="AH98" s="36" t="n">
        <v>15</v>
      </c>
      <c r="AI98" s="35" t="n">
        <v>0.83</v>
      </c>
      <c r="AJ98" s="35" t="n">
        <f aca="false">AVERAGEA(AK98, AI98)</f>
        <v>6.415</v>
      </c>
      <c r="AK98" s="35" t="n">
        <v>12</v>
      </c>
      <c r="AL98" s="37" t="n">
        <v>0.83</v>
      </c>
      <c r="AM98" s="38" t="n">
        <f aca="false">AVERAGEA(AN98, AL98)</f>
        <v>6.415</v>
      </c>
      <c r="AN98" s="36" t="n">
        <v>12</v>
      </c>
      <c r="AO98" s="34" t="n">
        <v>0.25</v>
      </c>
      <c r="AP98" s="64" t="n">
        <f aca="false">AVERAGEA(AQ98, AO98)</f>
        <v>1.125</v>
      </c>
      <c r="AQ98" s="34" t="n">
        <v>2</v>
      </c>
      <c r="AR98" s="37" t="n">
        <v>0.5</v>
      </c>
      <c r="AS98" s="37" t="n">
        <f aca="false">AVERAGEA(AT98, AR98)</f>
        <v>1.25</v>
      </c>
      <c r="AT98" s="36" t="n">
        <v>2</v>
      </c>
      <c r="AU98" s="34" t="n">
        <v>590</v>
      </c>
      <c r="AV98" s="35" t="n">
        <f aca="false">AVERAGEA(AW98, AU98)</f>
        <v>900</v>
      </c>
      <c r="AW98" s="34" t="n">
        <v>1210</v>
      </c>
      <c r="AX98" s="37" t="n">
        <v>17</v>
      </c>
      <c r="AY98" s="38" t="n">
        <f aca="false">AVERAGEA(AZ98, AX98)</f>
        <v>18.5</v>
      </c>
      <c r="AZ98" s="37" t="n">
        <v>20</v>
      </c>
      <c r="BA98" s="34" t="n">
        <v>1.3</v>
      </c>
      <c r="BB98" s="35" t="n">
        <f aca="false">AVERAGEA(BC98, BA98)</f>
        <v>3.15</v>
      </c>
      <c r="BC98" s="34" t="n">
        <v>5</v>
      </c>
      <c r="BD98" s="36" t="n">
        <v>1.5</v>
      </c>
      <c r="BE98" s="37" t="n">
        <f aca="false">AVERAGEA(BD98,BF98)</f>
        <v>13.85</v>
      </c>
      <c r="BF98" s="36" t="n">
        <v>26.2</v>
      </c>
      <c r="BG98" s="34" t="n">
        <v>1.5</v>
      </c>
      <c r="BH98" s="35" t="n">
        <f aca="false">AVERAGEA(BG98,BI98)</f>
        <v>21.4</v>
      </c>
      <c r="BI98" s="34" t="n">
        <v>41.3</v>
      </c>
      <c r="BJ98" s="37" t="n">
        <v>3.5</v>
      </c>
      <c r="BK98" s="37" t="n">
        <f aca="false">AVERAGEA(BJ98,BL98)</f>
        <v>39.725</v>
      </c>
      <c r="BL98" s="36" t="n">
        <v>75.95</v>
      </c>
      <c r="BM98" s="34" t="n">
        <v>0.25</v>
      </c>
      <c r="BN98" s="35" t="n">
        <f aca="false">AVERAGEA(BO98, BM98)</f>
        <v>0.375</v>
      </c>
      <c r="BO98" s="34" t="n">
        <v>0.5</v>
      </c>
      <c r="BP98" s="37" t="n">
        <v>30</v>
      </c>
      <c r="BQ98" s="37"/>
      <c r="BR98" s="36" t="n">
        <v>60</v>
      </c>
      <c r="BS98" s="34" t="n">
        <v>1</v>
      </c>
      <c r="BT98" s="35"/>
      <c r="BU98" s="40" t="n">
        <v>1.5</v>
      </c>
      <c r="BV98" s="37" t="n">
        <v>2</v>
      </c>
      <c r="BW98" s="37" t="n">
        <f aca="false">AVERAGEA(BV98,BX98)</f>
        <v>2.5</v>
      </c>
      <c r="BX98" s="36" t="n">
        <v>3</v>
      </c>
      <c r="BY98" s="34"/>
      <c r="BZ98" s="35"/>
      <c r="CA98" s="40"/>
      <c r="CB98" s="37"/>
      <c r="CC98" s="37" t="e">
        <f aca="false">AVERAGEA(CB98,CD98)</f>
        <v>#DIV/0!</v>
      </c>
      <c r="CD98" s="36"/>
      <c r="CE98" s="34"/>
      <c r="CF98" s="35"/>
      <c r="CG98" s="40"/>
    </row>
    <row r="99" s="18" customFormat="true" ht="28.35" hidden="false" customHeight="false" outlineLevel="0" collapsed="false">
      <c r="B99" s="58"/>
      <c r="C99" s="59"/>
      <c r="D99" s="65"/>
      <c r="E99" s="66"/>
      <c r="F99" s="63" t="s">
        <v>92</v>
      </c>
      <c r="G99" s="66"/>
      <c r="H99" s="24"/>
      <c r="I99" s="24" t="e">
        <f aca="false">AVERAGE(H99,J99)</f>
        <v>#DIV/0!</v>
      </c>
      <c r="J99" s="24"/>
      <c r="K99" s="34" t="s">
        <v>55</v>
      </c>
      <c r="L99" s="35"/>
      <c r="M99" s="34" t="s">
        <v>55</v>
      </c>
      <c r="N99" s="24" t="n">
        <v>60.578</v>
      </c>
      <c r="O99" s="24" t="n">
        <f aca="false">AVERAGE(N99,P99)</f>
        <v>60.668</v>
      </c>
      <c r="P99" s="24" t="n">
        <v>60.758</v>
      </c>
      <c r="Q99" s="34" t="s">
        <v>55</v>
      </c>
      <c r="R99" s="35"/>
      <c r="S99" s="34" t="s">
        <v>55</v>
      </c>
      <c r="T99" s="36" t="s">
        <v>55</v>
      </c>
      <c r="U99" s="37"/>
      <c r="V99" s="36" t="s">
        <v>55</v>
      </c>
      <c r="W99" s="34" t="s">
        <v>55</v>
      </c>
      <c r="X99" s="35"/>
      <c r="Y99" s="34" t="s">
        <v>55</v>
      </c>
      <c r="Z99" s="36" t="s">
        <v>55</v>
      </c>
      <c r="AA99" s="37"/>
      <c r="AB99" s="37" t="s">
        <v>55</v>
      </c>
      <c r="AC99" s="34" t="n">
        <v>84</v>
      </c>
      <c r="AD99" s="35" t="n">
        <f aca="false">AVERAGEA(AE99,AC99)</f>
        <v>87.7</v>
      </c>
      <c r="AE99" s="34" t="n">
        <v>91.4</v>
      </c>
      <c r="AF99" s="37" t="n">
        <v>50</v>
      </c>
      <c r="AG99" s="38" t="n">
        <f aca="false">AVERAGEA(AH99, AF99)</f>
        <v>32.5</v>
      </c>
      <c r="AH99" s="36" t="n">
        <v>15</v>
      </c>
      <c r="AI99" s="35" t="n">
        <v>0.83</v>
      </c>
      <c r="AJ99" s="35" t="n">
        <f aca="false">AVERAGEA(AK99, AI99)</f>
        <v>6.415</v>
      </c>
      <c r="AK99" s="35" t="n">
        <v>12</v>
      </c>
      <c r="AL99" s="37" t="n">
        <v>0.83</v>
      </c>
      <c r="AM99" s="38" t="n">
        <f aca="false">AVERAGEA(AN99, AL99)</f>
        <v>6.415</v>
      </c>
      <c r="AN99" s="36" t="n">
        <v>12</v>
      </c>
      <c r="AO99" s="34" t="n">
        <v>0.25</v>
      </c>
      <c r="AP99" s="64" t="n">
        <f aca="false">AVERAGEA(AQ99, AO99)</f>
        <v>1.125</v>
      </c>
      <c r="AQ99" s="34" t="n">
        <v>2</v>
      </c>
      <c r="AR99" s="37" t="n">
        <v>0.5</v>
      </c>
      <c r="AS99" s="37" t="n">
        <f aca="false">AVERAGEA(AT99, AR99)</f>
        <v>1.25</v>
      </c>
      <c r="AT99" s="36" t="n">
        <v>2</v>
      </c>
      <c r="AU99" s="34" t="n">
        <v>590</v>
      </c>
      <c r="AV99" s="35" t="n">
        <f aca="false">AVERAGEA(AW99, AU99)</f>
        <v>900</v>
      </c>
      <c r="AW99" s="34" t="n">
        <v>1210</v>
      </c>
      <c r="AX99" s="37" t="n">
        <v>17</v>
      </c>
      <c r="AY99" s="38" t="n">
        <f aca="false">AVERAGEA(AZ99, AX99)</f>
        <v>18.5</v>
      </c>
      <c r="AZ99" s="37" t="n">
        <v>20</v>
      </c>
      <c r="BA99" s="34" t="n">
        <v>1.3</v>
      </c>
      <c r="BB99" s="35" t="n">
        <f aca="false">AVERAGEA(BC99, BA99)</f>
        <v>3.15</v>
      </c>
      <c r="BC99" s="34" t="n">
        <v>5</v>
      </c>
      <c r="BD99" s="36" t="n">
        <v>1.5</v>
      </c>
      <c r="BE99" s="37" t="n">
        <f aca="false">AVERAGEA(BD99,BF99)</f>
        <v>13.85</v>
      </c>
      <c r="BF99" s="36" t="n">
        <v>26.2</v>
      </c>
      <c r="BG99" s="34" t="n">
        <v>1.5</v>
      </c>
      <c r="BH99" s="35" t="n">
        <f aca="false">AVERAGEA(BG99,BI99)</f>
        <v>21.4</v>
      </c>
      <c r="BI99" s="34" t="n">
        <v>41.3</v>
      </c>
      <c r="BJ99" s="37" t="n">
        <v>3.5</v>
      </c>
      <c r="BK99" s="37" t="n">
        <f aca="false">AVERAGEA(BJ99,BL99)</f>
        <v>39.725</v>
      </c>
      <c r="BL99" s="36" t="n">
        <v>75.95</v>
      </c>
      <c r="BM99" s="34" t="n">
        <v>0.25</v>
      </c>
      <c r="BN99" s="35" t="n">
        <f aca="false">AVERAGEA(BO99, BM99)</f>
        <v>0.375</v>
      </c>
      <c r="BO99" s="34" t="n">
        <v>0.5</v>
      </c>
      <c r="BP99" s="37" t="n">
        <v>30</v>
      </c>
      <c r="BQ99" s="37"/>
      <c r="BR99" s="36" t="n">
        <v>60</v>
      </c>
      <c r="BS99" s="34" t="n">
        <v>1</v>
      </c>
      <c r="BT99" s="35"/>
      <c r="BU99" s="40" t="n">
        <v>1.5</v>
      </c>
      <c r="BV99" s="37" t="n">
        <v>2</v>
      </c>
      <c r="BW99" s="37" t="n">
        <f aca="false">AVERAGEA(BV99,BX99)</f>
        <v>2.5</v>
      </c>
      <c r="BX99" s="36" t="n">
        <v>3</v>
      </c>
      <c r="BY99" s="34"/>
      <c r="BZ99" s="35"/>
      <c r="CA99" s="40"/>
      <c r="CB99" s="37"/>
      <c r="CC99" s="37" t="e">
        <f aca="false">AVERAGEA(CB99,CD99)</f>
        <v>#DIV/0!</v>
      </c>
      <c r="CD99" s="36"/>
      <c r="CE99" s="34"/>
      <c r="CF99" s="35"/>
      <c r="CG99" s="40"/>
    </row>
    <row r="100" s="18" customFormat="true" ht="28.35" hidden="false" customHeight="false" outlineLevel="0" collapsed="false">
      <c r="B100" s="58"/>
      <c r="C100" s="59"/>
      <c r="D100" s="65"/>
      <c r="E100" s="66"/>
      <c r="F100" s="63" t="s">
        <v>93</v>
      </c>
      <c r="G100" s="66"/>
      <c r="H100" s="24"/>
      <c r="I100" s="24" t="e">
        <f aca="false">AVERAGE(H100,J100)</f>
        <v>#DIV/0!</v>
      </c>
      <c r="J100" s="24"/>
      <c r="K100" s="34" t="s">
        <v>55</v>
      </c>
      <c r="L100" s="35"/>
      <c r="M100" s="34" t="s">
        <v>55</v>
      </c>
      <c r="N100" s="24" t="n">
        <v>60.562</v>
      </c>
      <c r="O100" s="24" t="n">
        <f aca="false">AVERAGE(N100,P100)</f>
        <v>60.569</v>
      </c>
      <c r="P100" s="24" t="n">
        <v>60.576</v>
      </c>
      <c r="Q100" s="34" t="s">
        <v>55</v>
      </c>
      <c r="R100" s="35"/>
      <c r="S100" s="34" t="s">
        <v>55</v>
      </c>
      <c r="T100" s="36" t="s">
        <v>55</v>
      </c>
      <c r="U100" s="37"/>
      <c r="V100" s="36" t="s">
        <v>55</v>
      </c>
      <c r="W100" s="34" t="s">
        <v>55</v>
      </c>
      <c r="X100" s="35"/>
      <c r="Y100" s="34" t="s">
        <v>55</v>
      </c>
      <c r="Z100" s="36" t="s">
        <v>55</v>
      </c>
      <c r="AA100" s="37"/>
      <c r="AB100" s="37" t="s">
        <v>55</v>
      </c>
      <c r="AC100" s="34" t="n">
        <v>84</v>
      </c>
      <c r="AD100" s="35" t="n">
        <f aca="false">AVERAGEA(AE100,AC100)</f>
        <v>87.7</v>
      </c>
      <c r="AE100" s="34" t="n">
        <v>91.4</v>
      </c>
      <c r="AF100" s="37" t="n">
        <v>50</v>
      </c>
      <c r="AG100" s="38" t="n">
        <f aca="false">AVERAGEA(AH100, AF100)</f>
        <v>32.5</v>
      </c>
      <c r="AH100" s="36" t="n">
        <v>15</v>
      </c>
      <c r="AI100" s="35" t="n">
        <v>0.83</v>
      </c>
      <c r="AJ100" s="35" t="n">
        <f aca="false">AVERAGEA(AK100, AI100)</f>
        <v>6.415</v>
      </c>
      <c r="AK100" s="35" t="n">
        <v>12</v>
      </c>
      <c r="AL100" s="37" t="n">
        <v>0.83</v>
      </c>
      <c r="AM100" s="38" t="n">
        <f aca="false">AVERAGEA(AN100, AL100)</f>
        <v>6.415</v>
      </c>
      <c r="AN100" s="36" t="n">
        <v>12</v>
      </c>
      <c r="AO100" s="34" t="n">
        <v>0.25</v>
      </c>
      <c r="AP100" s="64" t="n">
        <f aca="false">AVERAGEA(AQ100, AO100)</f>
        <v>1.125</v>
      </c>
      <c r="AQ100" s="34" t="n">
        <v>2</v>
      </c>
      <c r="AR100" s="37" t="n">
        <v>0.5</v>
      </c>
      <c r="AS100" s="37" t="n">
        <f aca="false">AVERAGEA(AT100, AR100)</f>
        <v>1.25</v>
      </c>
      <c r="AT100" s="36" t="n">
        <v>2</v>
      </c>
      <c r="AU100" s="34" t="n">
        <v>590</v>
      </c>
      <c r="AV100" s="35" t="n">
        <f aca="false">AVERAGEA(AW100, AU100)</f>
        <v>900</v>
      </c>
      <c r="AW100" s="34" t="n">
        <v>1210</v>
      </c>
      <c r="AX100" s="37" t="n">
        <v>17</v>
      </c>
      <c r="AY100" s="38" t="n">
        <f aca="false">AVERAGEA(AZ100, AX100)</f>
        <v>18.5</v>
      </c>
      <c r="AZ100" s="37" t="n">
        <v>20</v>
      </c>
      <c r="BA100" s="34" t="n">
        <v>1.3</v>
      </c>
      <c r="BB100" s="35" t="n">
        <f aca="false">AVERAGEA(BC100, BA100)</f>
        <v>3.15</v>
      </c>
      <c r="BC100" s="34" t="n">
        <v>5</v>
      </c>
      <c r="BD100" s="36" t="n">
        <v>1.5</v>
      </c>
      <c r="BE100" s="38" t="n">
        <f aca="false">AVERAGEA(BD100,BF100)</f>
        <v>13.85</v>
      </c>
      <c r="BF100" s="37" t="n">
        <v>26.2</v>
      </c>
      <c r="BG100" s="34" t="n">
        <v>1.5</v>
      </c>
      <c r="BH100" s="35" t="n">
        <f aca="false">AVERAGEA(BG100,BI100)</f>
        <v>21.4</v>
      </c>
      <c r="BI100" s="34" t="n">
        <v>41.3</v>
      </c>
      <c r="BJ100" s="37" t="n">
        <v>3.5</v>
      </c>
      <c r="BK100" s="37" t="n">
        <f aca="false">AVERAGEA(BJ100,BL100)</f>
        <v>39.725</v>
      </c>
      <c r="BL100" s="36" t="n">
        <v>75.95</v>
      </c>
      <c r="BM100" s="34" t="n">
        <v>0.25</v>
      </c>
      <c r="BN100" s="35" t="n">
        <f aca="false">AVERAGEA(BO100, BM100)</f>
        <v>0.375</v>
      </c>
      <c r="BO100" s="34" t="n">
        <v>0.5</v>
      </c>
      <c r="BP100" s="37" t="n">
        <v>30</v>
      </c>
      <c r="BQ100" s="38"/>
      <c r="BR100" s="36" t="n">
        <v>60</v>
      </c>
      <c r="BS100" s="34" t="n">
        <v>1</v>
      </c>
      <c r="BT100" s="35"/>
      <c r="BU100" s="40" t="n">
        <v>1.5</v>
      </c>
      <c r="BV100" s="37" t="n">
        <v>2</v>
      </c>
      <c r="BW100" s="38" t="n">
        <f aca="false">AVERAGEA(BV100,BX100)</f>
        <v>2.5</v>
      </c>
      <c r="BX100" s="36" t="n">
        <v>3</v>
      </c>
      <c r="BY100" s="34"/>
      <c r="BZ100" s="35"/>
      <c r="CA100" s="40"/>
      <c r="CB100" s="37"/>
      <c r="CC100" s="38" t="e">
        <f aca="false">AVERAGEA(CB100,CD100)</f>
        <v>#DIV/0!</v>
      </c>
      <c r="CD100" s="36"/>
      <c r="CE100" s="34"/>
      <c r="CF100" s="35"/>
      <c r="CG100" s="40"/>
    </row>
    <row r="101" s="18" customFormat="true" ht="28.35" hidden="false" customHeight="false" outlineLevel="0" collapsed="false">
      <c r="B101" s="58"/>
      <c r="C101" s="65" t="s">
        <v>98</v>
      </c>
      <c r="D101" s="65" t="s">
        <v>76</v>
      </c>
      <c r="E101" s="67"/>
      <c r="F101" s="63" t="s">
        <v>89</v>
      </c>
      <c r="G101" s="67"/>
      <c r="H101" s="24"/>
      <c r="I101" s="24" t="e">
        <f aca="false">AVERAGE(H101,J101)</f>
        <v>#DIV/0!</v>
      </c>
      <c r="J101" s="24"/>
      <c r="K101" s="34" t="s">
        <v>55</v>
      </c>
      <c r="L101" s="35"/>
      <c r="M101" s="34" t="s">
        <v>55</v>
      </c>
      <c r="N101" s="24" t="n">
        <v>48.3701120188662</v>
      </c>
      <c r="O101" s="24" t="n">
        <f aca="false">AVERAGE(N101,P101)</f>
        <v>49.7424882354571</v>
      </c>
      <c r="P101" s="24" t="n">
        <v>51.1148644520479</v>
      </c>
      <c r="Q101" s="34" t="s">
        <v>55</v>
      </c>
      <c r="R101" s="35"/>
      <c r="S101" s="34" t="s">
        <v>55</v>
      </c>
      <c r="T101" s="36" t="s">
        <v>55</v>
      </c>
      <c r="U101" s="37"/>
      <c r="V101" s="36" t="s">
        <v>55</v>
      </c>
      <c r="W101" s="34" t="s">
        <v>55</v>
      </c>
      <c r="X101" s="35"/>
      <c r="Y101" s="34" t="s">
        <v>55</v>
      </c>
      <c r="Z101" s="36" t="s">
        <v>55</v>
      </c>
      <c r="AA101" s="37"/>
      <c r="AB101" s="37" t="s">
        <v>55</v>
      </c>
      <c r="AC101" s="34" t="n">
        <v>60</v>
      </c>
      <c r="AD101" s="35" t="n">
        <f aca="false">AVERAGEA(AE101,AC101)</f>
        <v>75.05</v>
      </c>
      <c r="AE101" s="34" t="n">
        <v>90.1</v>
      </c>
      <c r="AF101" s="37" t="n">
        <v>50</v>
      </c>
      <c r="AG101" s="38" t="n">
        <f aca="false">AVERAGEA(AH101, AF101)</f>
        <v>35</v>
      </c>
      <c r="AH101" s="36" t="n">
        <v>20</v>
      </c>
      <c r="AI101" s="35" t="n">
        <v>0.83</v>
      </c>
      <c r="AJ101" s="35" t="n">
        <f aca="false">AVERAGEA(AK101, AI101)</f>
        <v>15.415</v>
      </c>
      <c r="AK101" s="34" t="n">
        <v>30</v>
      </c>
      <c r="AL101" s="37" t="n">
        <v>0.83</v>
      </c>
      <c r="AM101" s="38" t="n">
        <f aca="false">AVERAGEA(AN101, AL101)</f>
        <v>15.415</v>
      </c>
      <c r="AN101" s="36" t="n">
        <v>30</v>
      </c>
      <c r="AO101" s="34" t="n">
        <v>0.1</v>
      </c>
      <c r="AP101" s="64" t="n">
        <f aca="false">AVERAGEA(AQ101, AO101)</f>
        <v>0.55</v>
      </c>
      <c r="AQ101" s="34" t="n">
        <v>1</v>
      </c>
      <c r="AR101" s="37" t="n">
        <v>0.25</v>
      </c>
      <c r="AS101" s="37" t="n">
        <f aca="false">AVERAGEA(AT101, AR101)</f>
        <v>0.625</v>
      </c>
      <c r="AT101" s="36" t="n">
        <v>1</v>
      </c>
      <c r="AU101" s="34" t="n">
        <v>370</v>
      </c>
      <c r="AV101" s="35" t="n">
        <f aca="false">AVERAGEA(AW101, AU101)</f>
        <v>550</v>
      </c>
      <c r="AW101" s="34" t="n">
        <v>730</v>
      </c>
      <c r="AX101" s="37" t="n">
        <v>9</v>
      </c>
      <c r="AY101" s="37" t="n">
        <f aca="false">AVERAGEA(AZ101, AX101)</f>
        <v>16.5</v>
      </c>
      <c r="AZ101" s="36" t="n">
        <v>24</v>
      </c>
      <c r="BA101" s="34" t="n">
        <v>0.8</v>
      </c>
      <c r="BB101" s="35" t="n">
        <f aca="false">AVERAGEA(BC101, BA101)</f>
        <v>2.4</v>
      </c>
      <c r="BC101" s="34" t="n">
        <v>4</v>
      </c>
      <c r="BD101" s="36" t="n">
        <v>0.02</v>
      </c>
      <c r="BE101" s="37" t="n">
        <f aca="false">AVERAGEA(BD101,BF101)</f>
        <v>12.01</v>
      </c>
      <c r="BF101" s="36" t="n">
        <v>24</v>
      </c>
      <c r="BG101" s="34" t="n">
        <v>0.02</v>
      </c>
      <c r="BH101" s="35" t="n">
        <f aca="false">AVERAGEA(BG101,BI101)</f>
        <v>47.26</v>
      </c>
      <c r="BI101" s="34" t="n">
        <v>94.5</v>
      </c>
      <c r="BJ101" s="37" t="n">
        <v>0.06</v>
      </c>
      <c r="BK101" s="37" t="n">
        <f aca="false">AVERAGEA(BJ101,BL101)</f>
        <v>38.53</v>
      </c>
      <c r="BL101" s="36" t="n">
        <v>77</v>
      </c>
      <c r="BM101" s="34" t="n">
        <v>0.66</v>
      </c>
      <c r="BN101" s="35" t="n">
        <f aca="false">AVERAGEA(BO101, BM101)</f>
        <v>0.73</v>
      </c>
      <c r="BO101" s="34" t="n">
        <v>0.8</v>
      </c>
      <c r="BP101" s="37" t="n">
        <v>4</v>
      </c>
      <c r="BQ101" s="37" t="n">
        <f aca="false">AVERAGEA(BP101,BR101)</f>
        <v>6</v>
      </c>
      <c r="BR101" s="36" t="n">
        <v>8</v>
      </c>
      <c r="BS101" s="34" t="s">
        <v>99</v>
      </c>
      <c r="BT101" s="35" t="s">
        <v>100</v>
      </c>
      <c r="BU101" s="40" t="s">
        <v>101</v>
      </c>
      <c r="BV101" s="37" t="s">
        <v>99</v>
      </c>
      <c r="BW101" s="37" t="s">
        <v>100</v>
      </c>
      <c r="BX101" s="36" t="s">
        <v>101</v>
      </c>
      <c r="BY101" s="34"/>
      <c r="BZ101" s="35" t="s">
        <v>100</v>
      </c>
      <c r="CA101" s="40"/>
      <c r="CB101" s="37"/>
      <c r="CC101" s="37" t="s">
        <v>100</v>
      </c>
      <c r="CD101" s="36"/>
      <c r="CE101" s="34"/>
      <c r="CF101" s="35" t="s">
        <v>100</v>
      </c>
      <c r="CG101" s="40"/>
    </row>
    <row r="102" s="18" customFormat="true" ht="28.35" hidden="false" customHeight="false" outlineLevel="0" collapsed="false">
      <c r="B102" s="58"/>
      <c r="C102" s="65"/>
      <c r="D102" s="65"/>
      <c r="E102" s="67"/>
      <c r="F102" s="63" t="s">
        <v>91</v>
      </c>
      <c r="G102" s="67"/>
      <c r="H102" s="24"/>
      <c r="I102" s="24" t="e">
        <f aca="false">AVERAGE(H102,J102)</f>
        <v>#DIV/0!</v>
      </c>
      <c r="J102" s="24"/>
      <c r="K102" s="34" t="s">
        <v>55</v>
      </c>
      <c r="L102" s="35"/>
      <c r="M102" s="34" t="s">
        <v>55</v>
      </c>
      <c r="N102" s="24" t="n">
        <v>42.5465671923017</v>
      </c>
      <c r="O102" s="24" t="n">
        <f aca="false">AVERAGE(N102,P102)</f>
        <v>45.4512546594961</v>
      </c>
      <c r="P102" s="24" t="n">
        <v>48.3559421266904</v>
      </c>
      <c r="Q102" s="34" t="s">
        <v>55</v>
      </c>
      <c r="R102" s="35"/>
      <c r="S102" s="34" t="s">
        <v>55</v>
      </c>
      <c r="T102" s="36" t="s">
        <v>55</v>
      </c>
      <c r="U102" s="37"/>
      <c r="V102" s="36" t="s">
        <v>55</v>
      </c>
      <c r="W102" s="34" t="s">
        <v>55</v>
      </c>
      <c r="X102" s="35"/>
      <c r="Y102" s="34" t="s">
        <v>55</v>
      </c>
      <c r="Z102" s="36" t="s">
        <v>55</v>
      </c>
      <c r="AA102" s="37"/>
      <c r="AB102" s="37" t="s">
        <v>55</v>
      </c>
      <c r="AC102" s="34" t="n">
        <v>60</v>
      </c>
      <c r="AD102" s="35" t="n">
        <f aca="false">AVERAGEA(AE102,AC102)</f>
        <v>75.05</v>
      </c>
      <c r="AE102" s="34" t="n">
        <v>90.1</v>
      </c>
      <c r="AF102" s="37" t="n">
        <v>50</v>
      </c>
      <c r="AG102" s="38" t="n">
        <f aca="false">AVERAGEA(AH102, AF102)</f>
        <v>35</v>
      </c>
      <c r="AH102" s="36" t="n">
        <v>20</v>
      </c>
      <c r="AI102" s="35" t="n">
        <v>0.83</v>
      </c>
      <c r="AJ102" s="35" t="n">
        <f aca="false">AVERAGEA(AK102, AI102)</f>
        <v>15.415</v>
      </c>
      <c r="AK102" s="34" t="n">
        <v>30</v>
      </c>
      <c r="AL102" s="37" t="n">
        <v>0.83</v>
      </c>
      <c r="AM102" s="38" t="n">
        <f aca="false">AVERAGEA(AN102, AL102)</f>
        <v>15.415</v>
      </c>
      <c r="AN102" s="36" t="n">
        <v>30</v>
      </c>
      <c r="AO102" s="34" t="n">
        <v>0.1</v>
      </c>
      <c r="AP102" s="64" t="n">
        <f aca="false">AVERAGEA(AQ102, AO102)</f>
        <v>0.55</v>
      </c>
      <c r="AQ102" s="34" t="n">
        <v>1</v>
      </c>
      <c r="AR102" s="37" t="n">
        <v>0.25</v>
      </c>
      <c r="AS102" s="37" t="n">
        <f aca="false">AVERAGEA(AT102, AR102)</f>
        <v>0.625</v>
      </c>
      <c r="AT102" s="36" t="n">
        <v>1</v>
      </c>
      <c r="AU102" s="34" t="n">
        <v>370</v>
      </c>
      <c r="AV102" s="35" t="n">
        <f aca="false">AVERAGEA(AW102, AU102)</f>
        <v>550</v>
      </c>
      <c r="AW102" s="34" t="n">
        <v>730</v>
      </c>
      <c r="AX102" s="37" t="n">
        <v>9</v>
      </c>
      <c r="AY102" s="37" t="n">
        <f aca="false">AVERAGEA(AZ102, AX102)</f>
        <v>16.5</v>
      </c>
      <c r="AZ102" s="36" t="n">
        <v>24</v>
      </c>
      <c r="BA102" s="34" t="n">
        <v>0.8</v>
      </c>
      <c r="BB102" s="35" t="n">
        <f aca="false">AVERAGEA(BC102, BA102)</f>
        <v>2.4</v>
      </c>
      <c r="BC102" s="34" t="n">
        <v>4</v>
      </c>
      <c r="BD102" s="37" t="n">
        <v>0.02</v>
      </c>
      <c r="BE102" s="37" t="n">
        <f aca="false">AVERAGEA(BD102,BF102)</f>
        <v>12.01</v>
      </c>
      <c r="BF102" s="36" t="n">
        <v>24</v>
      </c>
      <c r="BG102" s="34" t="n">
        <v>0.02</v>
      </c>
      <c r="BH102" s="35" t="n">
        <f aca="false">AVERAGEA(BG102,BI102)</f>
        <v>47.26</v>
      </c>
      <c r="BI102" s="34" t="n">
        <v>94.5</v>
      </c>
      <c r="BJ102" s="37" t="n">
        <v>0.06</v>
      </c>
      <c r="BK102" s="37" t="n">
        <f aca="false">AVERAGEA(BJ102,BL102)</f>
        <v>38.53</v>
      </c>
      <c r="BL102" s="36" t="n">
        <v>77</v>
      </c>
      <c r="BM102" s="34" t="n">
        <v>0.66</v>
      </c>
      <c r="BN102" s="35" t="n">
        <f aca="false">AVERAGEA(BO102, BM102)</f>
        <v>0.73</v>
      </c>
      <c r="BO102" s="34" t="n">
        <v>0.8</v>
      </c>
      <c r="BP102" s="37" t="n">
        <v>4</v>
      </c>
      <c r="BQ102" s="37" t="n">
        <f aca="false">AVERAGEA(BP102,BR102)</f>
        <v>6</v>
      </c>
      <c r="BR102" s="36" t="n">
        <v>8</v>
      </c>
      <c r="BS102" s="34" t="s">
        <v>99</v>
      </c>
      <c r="BT102" s="35" t="s">
        <v>100</v>
      </c>
      <c r="BU102" s="40" t="s">
        <v>101</v>
      </c>
      <c r="BV102" s="37" t="s">
        <v>99</v>
      </c>
      <c r="BW102" s="37" t="s">
        <v>100</v>
      </c>
      <c r="BX102" s="36" t="s">
        <v>101</v>
      </c>
      <c r="BY102" s="34"/>
      <c r="BZ102" s="35" t="s">
        <v>100</v>
      </c>
      <c r="CA102" s="40"/>
      <c r="CB102" s="37"/>
      <c r="CC102" s="37" t="s">
        <v>100</v>
      </c>
      <c r="CD102" s="36"/>
      <c r="CE102" s="34"/>
      <c r="CF102" s="35" t="s">
        <v>100</v>
      </c>
      <c r="CG102" s="40"/>
    </row>
    <row r="103" s="18" customFormat="true" ht="28.35" hidden="false" customHeight="false" outlineLevel="0" collapsed="false">
      <c r="B103" s="58"/>
      <c r="C103" s="65"/>
      <c r="D103" s="65"/>
      <c r="E103" s="67"/>
      <c r="F103" s="63" t="s">
        <v>92</v>
      </c>
      <c r="G103" s="67"/>
      <c r="H103" s="24"/>
      <c r="I103" s="24" t="e">
        <f aca="false">AVERAGE(H103,J103)</f>
        <v>#DIV/0!</v>
      </c>
      <c r="J103" s="24"/>
      <c r="K103" s="34" t="s">
        <v>55</v>
      </c>
      <c r="L103" s="35"/>
      <c r="M103" s="34" t="s">
        <v>55</v>
      </c>
      <c r="N103" s="24" t="n">
        <v>33.2490283595987</v>
      </c>
      <c r="O103" s="24" t="n">
        <f aca="false">AVERAGE(N103,P103)</f>
        <v>37.8759155447463</v>
      </c>
      <c r="P103" s="24" t="n">
        <v>42.5028027298939</v>
      </c>
      <c r="Q103" s="34" t="s">
        <v>55</v>
      </c>
      <c r="R103" s="35"/>
      <c r="S103" s="34" t="s">
        <v>55</v>
      </c>
      <c r="T103" s="36" t="s">
        <v>55</v>
      </c>
      <c r="U103" s="37"/>
      <c r="V103" s="36" t="s">
        <v>55</v>
      </c>
      <c r="W103" s="34" t="s">
        <v>55</v>
      </c>
      <c r="X103" s="35"/>
      <c r="Y103" s="34" t="s">
        <v>55</v>
      </c>
      <c r="Z103" s="36" t="s">
        <v>55</v>
      </c>
      <c r="AA103" s="37"/>
      <c r="AB103" s="37" t="s">
        <v>55</v>
      </c>
      <c r="AC103" s="34" t="n">
        <v>60</v>
      </c>
      <c r="AD103" s="35" t="n">
        <f aca="false">AVERAGEA(AE103,AC103)</f>
        <v>75.05</v>
      </c>
      <c r="AE103" s="34" t="n">
        <v>90.1</v>
      </c>
      <c r="AF103" s="37" t="n">
        <v>50</v>
      </c>
      <c r="AG103" s="38" t="n">
        <f aca="false">AVERAGEA(AH103, AF103)</f>
        <v>35</v>
      </c>
      <c r="AH103" s="36" t="n">
        <v>20</v>
      </c>
      <c r="AI103" s="35" t="n">
        <v>0.83</v>
      </c>
      <c r="AJ103" s="35" t="n">
        <f aca="false">AVERAGEA(AK103, AI103)</f>
        <v>15.415</v>
      </c>
      <c r="AK103" s="34" t="n">
        <v>30</v>
      </c>
      <c r="AL103" s="37" t="n">
        <v>0.83</v>
      </c>
      <c r="AM103" s="38" t="n">
        <f aca="false">AVERAGEA(AN103, AL103)</f>
        <v>15.415</v>
      </c>
      <c r="AN103" s="36" t="n">
        <v>30</v>
      </c>
      <c r="AO103" s="34" t="n">
        <v>0.1</v>
      </c>
      <c r="AP103" s="64" t="n">
        <f aca="false">AVERAGEA(AQ103, AO103)</f>
        <v>0.55</v>
      </c>
      <c r="AQ103" s="34" t="n">
        <v>1</v>
      </c>
      <c r="AR103" s="37" t="n">
        <v>0.25</v>
      </c>
      <c r="AS103" s="37" t="n">
        <f aca="false">AVERAGEA(AT103, AR103)</f>
        <v>0.625</v>
      </c>
      <c r="AT103" s="36" t="n">
        <v>1</v>
      </c>
      <c r="AU103" s="34" t="n">
        <v>370</v>
      </c>
      <c r="AV103" s="35" t="n">
        <f aca="false">AVERAGEA(AW103, AU103)</f>
        <v>550</v>
      </c>
      <c r="AW103" s="34" t="n">
        <v>730</v>
      </c>
      <c r="AX103" s="37" t="n">
        <v>9</v>
      </c>
      <c r="AY103" s="37" t="n">
        <f aca="false">AVERAGEA(AZ103, AX103)</f>
        <v>16.5</v>
      </c>
      <c r="AZ103" s="36" t="n">
        <v>24</v>
      </c>
      <c r="BA103" s="34" t="n">
        <v>0.8</v>
      </c>
      <c r="BB103" s="35" t="n">
        <f aca="false">AVERAGEA(BC103, BA103)</f>
        <v>2.4</v>
      </c>
      <c r="BC103" s="34" t="n">
        <v>4</v>
      </c>
      <c r="BD103" s="37" t="n">
        <v>0.02</v>
      </c>
      <c r="BE103" s="37" t="n">
        <f aca="false">AVERAGEA(BD103,BF103)</f>
        <v>12.01</v>
      </c>
      <c r="BF103" s="36" t="n">
        <v>24</v>
      </c>
      <c r="BG103" s="34" t="n">
        <v>0.02</v>
      </c>
      <c r="BH103" s="35" t="n">
        <f aca="false">AVERAGEA(BG103,BI103)</f>
        <v>47.26</v>
      </c>
      <c r="BI103" s="34" t="n">
        <v>94.5</v>
      </c>
      <c r="BJ103" s="37" t="n">
        <v>0.06</v>
      </c>
      <c r="BK103" s="37" t="n">
        <f aca="false">AVERAGEA(BJ103,BL103)</f>
        <v>38.53</v>
      </c>
      <c r="BL103" s="36" t="n">
        <v>77</v>
      </c>
      <c r="BM103" s="34" t="n">
        <v>0.66</v>
      </c>
      <c r="BN103" s="35" t="n">
        <f aca="false">AVERAGEA(BO103, BM103)</f>
        <v>0.73</v>
      </c>
      <c r="BO103" s="34" t="n">
        <v>0.8</v>
      </c>
      <c r="BP103" s="37" t="n">
        <v>4</v>
      </c>
      <c r="BQ103" s="37" t="n">
        <f aca="false">AVERAGEA(BP103,BR103)</f>
        <v>6</v>
      </c>
      <c r="BR103" s="36" t="n">
        <v>8</v>
      </c>
      <c r="BS103" s="34" t="s">
        <v>99</v>
      </c>
      <c r="BT103" s="35" t="s">
        <v>100</v>
      </c>
      <c r="BU103" s="40" t="s">
        <v>101</v>
      </c>
      <c r="BV103" s="37" t="s">
        <v>99</v>
      </c>
      <c r="BW103" s="37" t="s">
        <v>100</v>
      </c>
      <c r="BX103" s="36" t="s">
        <v>101</v>
      </c>
      <c r="BY103" s="34"/>
      <c r="BZ103" s="35" t="s">
        <v>100</v>
      </c>
      <c r="CA103" s="40"/>
      <c r="CB103" s="37"/>
      <c r="CC103" s="37" t="s">
        <v>100</v>
      </c>
      <c r="CD103" s="36"/>
      <c r="CE103" s="34"/>
      <c r="CF103" s="35" t="s">
        <v>100</v>
      </c>
      <c r="CG103" s="40"/>
    </row>
    <row r="104" s="18" customFormat="true" ht="28.35" hidden="false" customHeight="false" outlineLevel="0" collapsed="false">
      <c r="B104" s="58"/>
      <c r="C104" s="65"/>
      <c r="D104" s="65"/>
      <c r="E104" s="67"/>
      <c r="F104" s="63" t="s">
        <v>93</v>
      </c>
      <c r="G104" s="67"/>
      <c r="H104" s="24"/>
      <c r="I104" s="24" t="e">
        <f aca="false">AVERAGE(H104,J104)</f>
        <v>#DIV/0!</v>
      </c>
      <c r="J104" s="24"/>
      <c r="K104" s="34" t="s">
        <v>55</v>
      </c>
      <c r="L104" s="35"/>
      <c r="M104" s="34" t="s">
        <v>55</v>
      </c>
      <c r="N104" s="24" t="n">
        <v>26.55</v>
      </c>
      <c r="O104" s="24" t="n">
        <f aca="false">AVERAGE(N104,P104)</f>
        <v>29.7002105144203</v>
      </c>
      <c r="P104" s="24" t="n">
        <v>32.8504210288406</v>
      </c>
      <c r="Q104" s="34" t="s">
        <v>55</v>
      </c>
      <c r="R104" s="35"/>
      <c r="S104" s="34" t="s">
        <v>55</v>
      </c>
      <c r="T104" s="36" t="s">
        <v>55</v>
      </c>
      <c r="U104" s="37"/>
      <c r="V104" s="36" t="s">
        <v>55</v>
      </c>
      <c r="W104" s="34" t="s">
        <v>55</v>
      </c>
      <c r="X104" s="35"/>
      <c r="Y104" s="34" t="s">
        <v>55</v>
      </c>
      <c r="Z104" s="36" t="s">
        <v>55</v>
      </c>
      <c r="AA104" s="37"/>
      <c r="AB104" s="37" t="s">
        <v>55</v>
      </c>
      <c r="AC104" s="34" t="n">
        <v>60</v>
      </c>
      <c r="AD104" s="35" t="n">
        <f aca="false">AVERAGEA(AE104,AC104)</f>
        <v>75.05</v>
      </c>
      <c r="AE104" s="34" t="n">
        <v>90.1</v>
      </c>
      <c r="AF104" s="37" t="n">
        <v>50</v>
      </c>
      <c r="AG104" s="38" t="n">
        <f aca="false">AVERAGEA(AH104, AF104)</f>
        <v>35</v>
      </c>
      <c r="AH104" s="36" t="n">
        <v>20</v>
      </c>
      <c r="AI104" s="35" t="n">
        <v>0.83</v>
      </c>
      <c r="AJ104" s="35" t="n">
        <f aca="false">AVERAGEA(AK104, AI104)</f>
        <v>15.415</v>
      </c>
      <c r="AK104" s="34" t="n">
        <v>30</v>
      </c>
      <c r="AL104" s="37" t="n">
        <v>0.83</v>
      </c>
      <c r="AM104" s="38" t="n">
        <f aca="false">AVERAGEA(AN104, AL104)</f>
        <v>15.415</v>
      </c>
      <c r="AN104" s="36" t="n">
        <v>30</v>
      </c>
      <c r="AO104" s="34" t="n">
        <v>0.1</v>
      </c>
      <c r="AP104" s="64" t="n">
        <f aca="false">AVERAGEA(AQ104, AO104)</f>
        <v>0.55</v>
      </c>
      <c r="AQ104" s="34" t="n">
        <v>1</v>
      </c>
      <c r="AR104" s="37" t="n">
        <v>0.25</v>
      </c>
      <c r="AS104" s="37" t="n">
        <f aca="false">AVERAGEA(AT104, AR104)</f>
        <v>0.625</v>
      </c>
      <c r="AT104" s="36" t="n">
        <v>1</v>
      </c>
      <c r="AU104" s="34" t="n">
        <v>370</v>
      </c>
      <c r="AV104" s="35" t="n">
        <f aca="false">AVERAGEA(AW104, AU104)</f>
        <v>550</v>
      </c>
      <c r="AW104" s="34" t="n">
        <v>730</v>
      </c>
      <c r="AX104" s="37" t="n">
        <v>9</v>
      </c>
      <c r="AY104" s="37" t="n">
        <f aca="false">AVERAGEA(AZ104, AX104)</f>
        <v>16.5</v>
      </c>
      <c r="AZ104" s="36" t="n">
        <v>24</v>
      </c>
      <c r="BA104" s="34" t="n">
        <v>0.8</v>
      </c>
      <c r="BB104" s="35" t="n">
        <f aca="false">AVERAGEA(BC104, BA104)</f>
        <v>2.4</v>
      </c>
      <c r="BC104" s="34" t="n">
        <v>4</v>
      </c>
      <c r="BD104" s="37" t="n">
        <v>0.02</v>
      </c>
      <c r="BE104" s="37" t="n">
        <f aca="false">AVERAGEA(BD104,BF104)</f>
        <v>12.01</v>
      </c>
      <c r="BF104" s="36" t="n">
        <v>24</v>
      </c>
      <c r="BG104" s="34" t="n">
        <v>0.02</v>
      </c>
      <c r="BH104" s="35" t="n">
        <f aca="false">AVERAGEA(BG104,BI104)</f>
        <v>47.26</v>
      </c>
      <c r="BI104" s="34" t="n">
        <v>94.5</v>
      </c>
      <c r="BJ104" s="37" t="n">
        <v>0.06</v>
      </c>
      <c r="BK104" s="37" t="n">
        <f aca="false">AVERAGEA(BJ104,BL104)</f>
        <v>38.53</v>
      </c>
      <c r="BL104" s="36" t="n">
        <v>77</v>
      </c>
      <c r="BM104" s="34" t="n">
        <v>0.66</v>
      </c>
      <c r="BN104" s="35" t="n">
        <f aca="false">AVERAGEA(BO104, BM104)</f>
        <v>0.73</v>
      </c>
      <c r="BO104" s="34" t="n">
        <v>0.8</v>
      </c>
      <c r="BP104" s="37" t="n">
        <v>4</v>
      </c>
      <c r="BQ104" s="37" t="n">
        <f aca="false">AVERAGEA(BP104,BR104)</f>
        <v>6</v>
      </c>
      <c r="BR104" s="36" t="n">
        <v>8</v>
      </c>
      <c r="BS104" s="34" t="s">
        <v>99</v>
      </c>
      <c r="BT104" s="35" t="s">
        <v>100</v>
      </c>
      <c r="BU104" s="40" t="s">
        <v>101</v>
      </c>
      <c r="BV104" s="37" t="s">
        <v>99</v>
      </c>
      <c r="BW104" s="37" t="s">
        <v>100</v>
      </c>
      <c r="BX104" s="36" t="s">
        <v>101</v>
      </c>
      <c r="BY104" s="34"/>
      <c r="BZ104" s="35" t="s">
        <v>100</v>
      </c>
      <c r="CA104" s="40"/>
      <c r="CB104" s="37"/>
      <c r="CC104" s="37" t="s">
        <v>100</v>
      </c>
      <c r="CD104" s="36"/>
      <c r="CE104" s="34"/>
      <c r="CF104" s="35" t="s">
        <v>100</v>
      </c>
      <c r="CG104" s="40"/>
    </row>
    <row r="105" s="18" customFormat="true" ht="26.4" hidden="false" customHeight="true" outlineLevel="0" collapsed="false">
      <c r="B105" s="58"/>
      <c r="C105" s="65" t="s">
        <v>98</v>
      </c>
      <c r="D105" s="65" t="s">
        <v>81</v>
      </c>
      <c r="E105" s="66" t="s">
        <v>82</v>
      </c>
      <c r="F105" s="63" t="s">
        <v>89</v>
      </c>
      <c r="G105" s="66" t="s">
        <v>84</v>
      </c>
      <c r="H105" s="24"/>
      <c r="I105" s="24" t="e">
        <f aca="false">AVERAGE(H105,J105)</f>
        <v>#DIV/0!</v>
      </c>
      <c r="J105" s="24"/>
      <c r="K105" s="34" t="s">
        <v>55</v>
      </c>
      <c r="L105" s="35"/>
      <c r="M105" s="34" t="s">
        <v>55</v>
      </c>
      <c r="N105" s="24" t="n">
        <v>37.6602962916239</v>
      </c>
      <c r="O105" s="24" t="n">
        <f aca="false">AVERAGE(N105,P105)</f>
        <v>38.1413289879093</v>
      </c>
      <c r="P105" s="24" t="n">
        <v>38.6223616841948</v>
      </c>
      <c r="Q105" s="34" t="s">
        <v>55</v>
      </c>
      <c r="R105" s="35"/>
      <c r="S105" s="34" t="s">
        <v>55</v>
      </c>
      <c r="T105" s="36" t="s">
        <v>55</v>
      </c>
      <c r="U105" s="37"/>
      <c r="V105" s="36" t="s">
        <v>55</v>
      </c>
      <c r="W105" s="34" t="s">
        <v>55</v>
      </c>
      <c r="X105" s="35"/>
      <c r="Y105" s="34" t="s">
        <v>55</v>
      </c>
      <c r="Z105" s="36" t="s">
        <v>55</v>
      </c>
      <c r="AA105" s="37"/>
      <c r="AB105" s="37" t="s">
        <v>55</v>
      </c>
      <c r="AC105" s="34" t="n">
        <v>60</v>
      </c>
      <c r="AD105" s="35" t="n">
        <f aca="false">AVERAGEA(AE105,AC105)</f>
        <v>75.05</v>
      </c>
      <c r="AE105" s="34" t="n">
        <v>90.1</v>
      </c>
      <c r="AF105" s="37" t="n">
        <v>50</v>
      </c>
      <c r="AG105" s="38" t="n">
        <f aca="false">AVERAGEA(AH105, AF105)</f>
        <v>35</v>
      </c>
      <c r="AH105" s="36" t="n">
        <v>20</v>
      </c>
      <c r="AI105" s="35" t="n">
        <v>0.83</v>
      </c>
      <c r="AJ105" s="35" t="n">
        <f aca="false">AVERAGEA(AK105, AI105)</f>
        <v>15.415</v>
      </c>
      <c r="AK105" s="34" t="n">
        <v>30</v>
      </c>
      <c r="AL105" s="37" t="n">
        <v>0.83</v>
      </c>
      <c r="AM105" s="38" t="n">
        <f aca="false">AVERAGEA(AN105, AL105)</f>
        <v>15.415</v>
      </c>
      <c r="AN105" s="36" t="n">
        <v>30</v>
      </c>
      <c r="AO105" s="34" t="n">
        <v>0.1</v>
      </c>
      <c r="AP105" s="64" t="n">
        <f aca="false">AVERAGEA(AQ105, AO105)</f>
        <v>0.55</v>
      </c>
      <c r="AQ105" s="34" t="n">
        <v>1</v>
      </c>
      <c r="AR105" s="37" t="n">
        <v>0.25</v>
      </c>
      <c r="AS105" s="37" t="n">
        <f aca="false">AVERAGEA(AT105, AR105)</f>
        <v>0.625</v>
      </c>
      <c r="AT105" s="36" t="n">
        <v>1</v>
      </c>
      <c r="AU105" s="34" t="n">
        <v>370</v>
      </c>
      <c r="AV105" s="35" t="n">
        <f aca="false">AVERAGEA(AW105, AU105)</f>
        <v>510</v>
      </c>
      <c r="AW105" s="34" t="n">
        <v>650</v>
      </c>
      <c r="AX105" s="37" t="n">
        <v>9</v>
      </c>
      <c r="AY105" s="37" t="n">
        <f aca="false">AVERAGEA(AZ105, AX105)</f>
        <v>16.5</v>
      </c>
      <c r="AZ105" s="36" t="n">
        <v>24</v>
      </c>
      <c r="BA105" s="34" t="n">
        <v>0.8</v>
      </c>
      <c r="BB105" s="35" t="n">
        <f aca="false">AVERAGEA(BC105, BA105)</f>
        <v>1</v>
      </c>
      <c r="BC105" s="34" t="n">
        <v>1.2</v>
      </c>
      <c r="BD105" s="37" t="n">
        <v>0.02</v>
      </c>
      <c r="BE105" s="37" t="n">
        <f aca="false">AVERAGEA(BD105,BF105)</f>
        <v>12.01</v>
      </c>
      <c r="BF105" s="36" t="n">
        <v>24</v>
      </c>
      <c r="BG105" s="34" t="n">
        <v>0.02</v>
      </c>
      <c r="BH105" s="35" t="n">
        <f aca="false">AVERAGEA(BG105,BI105)</f>
        <v>47.26</v>
      </c>
      <c r="BI105" s="34" t="n">
        <v>94.5</v>
      </c>
      <c r="BJ105" s="37" t="n">
        <v>0.06</v>
      </c>
      <c r="BK105" s="37" t="n">
        <f aca="false">AVERAGEA(BJ105,BL105)</f>
        <v>38.53</v>
      </c>
      <c r="BL105" s="36" t="n">
        <v>77</v>
      </c>
      <c r="BM105" s="34" t="n">
        <v>0.66</v>
      </c>
      <c r="BN105" s="35" t="n">
        <f aca="false">AVERAGEA(BO105, BM105)</f>
        <v>0.73</v>
      </c>
      <c r="BO105" s="34" t="n">
        <v>0.8</v>
      </c>
      <c r="BP105" s="37" t="n">
        <v>0</v>
      </c>
      <c r="BQ105" s="37" t="n">
        <f aca="false">AVERAGEA(BP105,BR105)</f>
        <v>15</v>
      </c>
      <c r="BR105" s="36" t="n">
        <v>30</v>
      </c>
      <c r="BS105" s="34" t="n">
        <v>0</v>
      </c>
      <c r="BT105" s="35" t="n">
        <f aca="false">AVERAGEA(BS105,BU105)</f>
        <v>0.25</v>
      </c>
      <c r="BU105" s="40" t="n">
        <v>0.5</v>
      </c>
      <c r="BV105" s="37" t="n">
        <v>0</v>
      </c>
      <c r="BW105" s="37" t="n">
        <f aca="false">AVERAGEA(BV105,BX105)</f>
        <v>0.5</v>
      </c>
      <c r="BX105" s="36" t="n">
        <v>1</v>
      </c>
      <c r="BY105" s="34"/>
      <c r="BZ105" s="35" t="e">
        <f aca="false">AVERAGEA(BY105,CA105)</f>
        <v>#DIV/0!</v>
      </c>
      <c r="CA105" s="40"/>
      <c r="CB105" s="37"/>
      <c r="CC105" s="37" t="e">
        <f aca="false">AVERAGEA(CB105,CD105)</f>
        <v>#DIV/0!</v>
      </c>
      <c r="CD105" s="36"/>
      <c r="CE105" s="34"/>
      <c r="CF105" s="35" t="e">
        <f aca="false">AVERAGEA(CE105,CG105)</f>
        <v>#DIV/0!</v>
      </c>
      <c r="CG105" s="40"/>
    </row>
    <row r="106" s="18" customFormat="true" ht="28.35" hidden="false" customHeight="false" outlineLevel="0" collapsed="false">
      <c r="B106" s="58"/>
      <c r="C106" s="65"/>
      <c r="D106" s="65"/>
      <c r="E106" s="66"/>
      <c r="F106" s="63" t="s">
        <v>91</v>
      </c>
      <c r="G106" s="66"/>
      <c r="H106" s="24"/>
      <c r="I106" s="24" t="e">
        <f aca="false">AVERAGE(H106,J106)</f>
        <v>#DIV/0!</v>
      </c>
      <c r="J106" s="24"/>
      <c r="K106" s="34" t="s">
        <v>55</v>
      </c>
      <c r="L106" s="35"/>
      <c r="M106" s="34" t="s">
        <v>55</v>
      </c>
      <c r="N106" s="24" t="n">
        <v>35.5157792561089</v>
      </c>
      <c r="O106" s="24" t="n">
        <f aca="false">AVERAGE(N106,P106)</f>
        <v>36.5855164790602</v>
      </c>
      <c r="P106" s="24" t="n">
        <v>37.6552537020114</v>
      </c>
      <c r="Q106" s="34" t="s">
        <v>55</v>
      </c>
      <c r="R106" s="35"/>
      <c r="S106" s="34" t="s">
        <v>55</v>
      </c>
      <c r="T106" s="36" t="s">
        <v>55</v>
      </c>
      <c r="U106" s="37"/>
      <c r="V106" s="36" t="s">
        <v>55</v>
      </c>
      <c r="W106" s="34" t="s">
        <v>55</v>
      </c>
      <c r="X106" s="35"/>
      <c r="Y106" s="34" t="s">
        <v>55</v>
      </c>
      <c r="Z106" s="36" t="s">
        <v>55</v>
      </c>
      <c r="AA106" s="37"/>
      <c r="AB106" s="37" t="s">
        <v>55</v>
      </c>
      <c r="AC106" s="34" t="n">
        <v>60</v>
      </c>
      <c r="AD106" s="35" t="n">
        <f aca="false">AVERAGEA(AE106,AC106)</f>
        <v>75.05</v>
      </c>
      <c r="AE106" s="34" t="n">
        <v>90.1</v>
      </c>
      <c r="AF106" s="37" t="n">
        <v>50</v>
      </c>
      <c r="AG106" s="38" t="n">
        <f aca="false">AVERAGEA(AH106, AF106)</f>
        <v>35</v>
      </c>
      <c r="AH106" s="36" t="n">
        <v>20</v>
      </c>
      <c r="AI106" s="35" t="n">
        <v>0.83</v>
      </c>
      <c r="AJ106" s="35" t="n">
        <f aca="false">AVERAGEA(AK106, AI106)</f>
        <v>15.415</v>
      </c>
      <c r="AK106" s="34" t="n">
        <v>30</v>
      </c>
      <c r="AL106" s="37" t="n">
        <v>0.83</v>
      </c>
      <c r="AM106" s="38" t="n">
        <f aca="false">AVERAGEA(AN106, AL106)</f>
        <v>15.415</v>
      </c>
      <c r="AN106" s="36" t="n">
        <v>30</v>
      </c>
      <c r="AO106" s="34" t="n">
        <v>0.1</v>
      </c>
      <c r="AP106" s="64" t="n">
        <f aca="false">AVERAGEA(AQ106, AO106)</f>
        <v>0.55</v>
      </c>
      <c r="AQ106" s="34" t="n">
        <v>1</v>
      </c>
      <c r="AR106" s="37" t="n">
        <v>0.25</v>
      </c>
      <c r="AS106" s="37" t="n">
        <f aca="false">AVERAGEA(AT106, AR106)</f>
        <v>0.625</v>
      </c>
      <c r="AT106" s="36" t="n">
        <v>1</v>
      </c>
      <c r="AU106" s="34" t="n">
        <v>370</v>
      </c>
      <c r="AV106" s="35" t="n">
        <f aca="false">AVERAGEA(AW106, AU106)</f>
        <v>510</v>
      </c>
      <c r="AW106" s="34" t="n">
        <v>650</v>
      </c>
      <c r="AX106" s="37" t="n">
        <v>9</v>
      </c>
      <c r="AY106" s="37" t="n">
        <f aca="false">AVERAGEA(AZ106, AX106)</f>
        <v>16.5</v>
      </c>
      <c r="AZ106" s="36" t="n">
        <v>24</v>
      </c>
      <c r="BA106" s="34" t="n">
        <v>0.8</v>
      </c>
      <c r="BB106" s="35" t="n">
        <f aca="false">AVERAGEA(BC106, BA106)</f>
        <v>1</v>
      </c>
      <c r="BC106" s="34" t="n">
        <v>1.2</v>
      </c>
      <c r="BD106" s="37" t="n">
        <v>0.02</v>
      </c>
      <c r="BE106" s="37" t="n">
        <f aca="false">AVERAGEA(BD106,BF106)</f>
        <v>12.01</v>
      </c>
      <c r="BF106" s="36" t="n">
        <v>24</v>
      </c>
      <c r="BG106" s="34" t="n">
        <v>0.02</v>
      </c>
      <c r="BH106" s="35" t="n">
        <f aca="false">AVERAGEA(BG106,BI106)</f>
        <v>47.26</v>
      </c>
      <c r="BI106" s="34" t="n">
        <v>94.5</v>
      </c>
      <c r="BJ106" s="37" t="n">
        <v>0.06</v>
      </c>
      <c r="BK106" s="37" t="n">
        <f aca="false">AVERAGEA(BJ106,BL106)</f>
        <v>38.53</v>
      </c>
      <c r="BL106" s="36" t="n">
        <v>77</v>
      </c>
      <c r="BM106" s="34" t="n">
        <v>0.66</v>
      </c>
      <c r="BN106" s="35" t="n">
        <f aca="false">AVERAGEA(BO106, BM106)</f>
        <v>0.73</v>
      </c>
      <c r="BO106" s="34" t="n">
        <v>0.8</v>
      </c>
      <c r="BP106" s="37" t="n">
        <v>0</v>
      </c>
      <c r="BQ106" s="37" t="n">
        <f aca="false">AVERAGEA(BP106,BR106)</f>
        <v>15</v>
      </c>
      <c r="BR106" s="36" t="n">
        <v>30</v>
      </c>
      <c r="BS106" s="34" t="n">
        <v>0</v>
      </c>
      <c r="BT106" s="35" t="n">
        <f aca="false">AVERAGEA(BS106,BU106)</f>
        <v>0.25</v>
      </c>
      <c r="BU106" s="40" t="n">
        <v>0.5</v>
      </c>
      <c r="BV106" s="37" t="n">
        <v>0</v>
      </c>
      <c r="BW106" s="37" t="n">
        <f aca="false">AVERAGEA(BV106,BX106)</f>
        <v>0.5</v>
      </c>
      <c r="BX106" s="36" t="n">
        <v>1</v>
      </c>
      <c r="BY106" s="34"/>
      <c r="BZ106" s="35" t="e">
        <f aca="false">AVERAGEA(BY106,CA106)</f>
        <v>#DIV/0!</v>
      </c>
      <c r="CA106" s="40"/>
      <c r="CB106" s="37"/>
      <c r="CC106" s="37" t="e">
        <f aca="false">AVERAGEA(CB106,CD106)</f>
        <v>#DIV/0!</v>
      </c>
      <c r="CD106" s="36"/>
      <c r="CE106" s="34"/>
      <c r="CF106" s="35" t="e">
        <f aca="false">AVERAGEA(CE106,CG106)</f>
        <v>#DIV/0!</v>
      </c>
      <c r="CG106" s="40"/>
    </row>
    <row r="107" s="18" customFormat="true" ht="28.35" hidden="false" customHeight="false" outlineLevel="0" collapsed="false">
      <c r="B107" s="58"/>
      <c r="C107" s="65"/>
      <c r="D107" s="65"/>
      <c r="E107" s="66"/>
      <c r="F107" s="63" t="s">
        <v>92</v>
      </c>
      <c r="G107" s="66"/>
      <c r="H107" s="24"/>
      <c r="I107" s="24" t="e">
        <f aca="false">AVERAGE(H107,J107)</f>
        <v>#DIV/0!</v>
      </c>
      <c r="J107" s="24"/>
      <c r="K107" s="34" t="s">
        <v>55</v>
      </c>
      <c r="L107" s="35"/>
      <c r="M107" s="34" t="s">
        <v>55</v>
      </c>
      <c r="N107" s="24" t="n">
        <v>31.7307178592082</v>
      </c>
      <c r="O107" s="24" t="n">
        <f aca="false">AVERAGE(N107,P107)</f>
        <v>33.6148979967544</v>
      </c>
      <c r="P107" s="24" t="n">
        <v>35.4990781343005</v>
      </c>
      <c r="Q107" s="34" t="s">
        <v>55</v>
      </c>
      <c r="R107" s="35"/>
      <c r="S107" s="34" t="s">
        <v>55</v>
      </c>
      <c r="T107" s="36" t="s">
        <v>55</v>
      </c>
      <c r="U107" s="37"/>
      <c r="V107" s="36" t="s">
        <v>55</v>
      </c>
      <c r="W107" s="34" t="s">
        <v>55</v>
      </c>
      <c r="X107" s="35"/>
      <c r="Y107" s="34" t="s">
        <v>55</v>
      </c>
      <c r="Z107" s="36" t="s">
        <v>55</v>
      </c>
      <c r="AA107" s="37"/>
      <c r="AB107" s="37" t="s">
        <v>55</v>
      </c>
      <c r="AC107" s="34" t="n">
        <v>60</v>
      </c>
      <c r="AD107" s="35" t="n">
        <f aca="false">AVERAGEA(AE107,AC107)</f>
        <v>75.05</v>
      </c>
      <c r="AE107" s="34" t="n">
        <v>90.1</v>
      </c>
      <c r="AF107" s="37" t="n">
        <v>50</v>
      </c>
      <c r="AG107" s="38" t="n">
        <f aca="false">AVERAGEA(AH107, AF107)</f>
        <v>35</v>
      </c>
      <c r="AH107" s="36" t="n">
        <v>20</v>
      </c>
      <c r="AI107" s="35" t="n">
        <v>0.83</v>
      </c>
      <c r="AJ107" s="35" t="n">
        <f aca="false">AVERAGEA(AK107, AI107)</f>
        <v>15.415</v>
      </c>
      <c r="AK107" s="34" t="n">
        <v>30</v>
      </c>
      <c r="AL107" s="37" t="n">
        <v>0.83</v>
      </c>
      <c r="AM107" s="38" t="n">
        <f aca="false">AVERAGEA(AN107, AL107)</f>
        <v>15.415</v>
      </c>
      <c r="AN107" s="36" t="n">
        <v>30</v>
      </c>
      <c r="AO107" s="34" t="n">
        <v>0.1</v>
      </c>
      <c r="AP107" s="64" t="n">
        <f aca="false">AVERAGEA(AQ107, AO107)</f>
        <v>0.55</v>
      </c>
      <c r="AQ107" s="34" t="n">
        <v>1</v>
      </c>
      <c r="AR107" s="37" t="n">
        <v>0.25</v>
      </c>
      <c r="AS107" s="37" t="n">
        <f aca="false">AVERAGEA(AT107, AR107)</f>
        <v>0.625</v>
      </c>
      <c r="AT107" s="36" t="n">
        <v>1</v>
      </c>
      <c r="AU107" s="34" t="n">
        <v>370</v>
      </c>
      <c r="AV107" s="35" t="n">
        <f aca="false">AVERAGEA(AW107, AU107)</f>
        <v>510</v>
      </c>
      <c r="AW107" s="34" t="n">
        <v>650</v>
      </c>
      <c r="AX107" s="37" t="n">
        <v>9</v>
      </c>
      <c r="AY107" s="37" t="n">
        <f aca="false">AVERAGEA(AZ107, AX107)</f>
        <v>16.5</v>
      </c>
      <c r="AZ107" s="36" t="n">
        <v>24</v>
      </c>
      <c r="BA107" s="34" t="n">
        <v>0.8</v>
      </c>
      <c r="BB107" s="35" t="n">
        <f aca="false">AVERAGEA(BC107, BA107)</f>
        <v>1</v>
      </c>
      <c r="BC107" s="34" t="n">
        <v>1.2</v>
      </c>
      <c r="BD107" s="37" t="n">
        <v>0.02</v>
      </c>
      <c r="BE107" s="37" t="n">
        <f aca="false">AVERAGEA(BD107,BF107)</f>
        <v>12.01</v>
      </c>
      <c r="BF107" s="36" t="n">
        <v>24</v>
      </c>
      <c r="BG107" s="34" t="n">
        <v>0.02</v>
      </c>
      <c r="BH107" s="35" t="n">
        <f aca="false">AVERAGEA(BG107,BI107)</f>
        <v>47.26</v>
      </c>
      <c r="BI107" s="34" t="n">
        <v>94.5</v>
      </c>
      <c r="BJ107" s="37" t="n">
        <v>0.06</v>
      </c>
      <c r="BK107" s="37" t="n">
        <f aca="false">AVERAGEA(BJ107,BL107)</f>
        <v>38.53</v>
      </c>
      <c r="BL107" s="36" t="n">
        <v>77</v>
      </c>
      <c r="BM107" s="34" t="n">
        <v>0.66</v>
      </c>
      <c r="BN107" s="35" t="n">
        <f aca="false">AVERAGEA(BO107, BM107)</f>
        <v>0.73</v>
      </c>
      <c r="BO107" s="34" t="n">
        <v>0.8</v>
      </c>
      <c r="BP107" s="37" t="n">
        <v>0</v>
      </c>
      <c r="BQ107" s="37" t="n">
        <f aca="false">AVERAGEA(BP107,BR107)</f>
        <v>15</v>
      </c>
      <c r="BR107" s="36" t="n">
        <v>30</v>
      </c>
      <c r="BS107" s="34" t="n">
        <v>0</v>
      </c>
      <c r="BT107" s="35" t="n">
        <f aca="false">AVERAGEA(BS107,BU107)</f>
        <v>0.25</v>
      </c>
      <c r="BU107" s="40" t="n">
        <v>0.5</v>
      </c>
      <c r="BV107" s="37" t="n">
        <v>0</v>
      </c>
      <c r="BW107" s="37" t="n">
        <f aca="false">AVERAGEA(BV107,BX107)</f>
        <v>0.5</v>
      </c>
      <c r="BX107" s="36" t="n">
        <v>1</v>
      </c>
      <c r="BY107" s="34"/>
      <c r="BZ107" s="35" t="e">
        <f aca="false">AVERAGEA(BY107,CA107)</f>
        <v>#DIV/0!</v>
      </c>
      <c r="CA107" s="40"/>
      <c r="CB107" s="37"/>
      <c r="CC107" s="37" t="e">
        <f aca="false">AVERAGEA(CB107,CD107)</f>
        <v>#DIV/0!</v>
      </c>
      <c r="CD107" s="36"/>
      <c r="CE107" s="34"/>
      <c r="CF107" s="35" t="e">
        <f aca="false">AVERAGEA(CE107,CG107)</f>
        <v>#DIV/0!</v>
      </c>
      <c r="CG107" s="40"/>
    </row>
    <row r="108" s="18" customFormat="true" ht="28.35" hidden="false" customHeight="false" outlineLevel="0" collapsed="false">
      <c r="B108" s="58"/>
      <c r="C108" s="65"/>
      <c r="D108" s="65"/>
      <c r="E108" s="66"/>
      <c r="F108" s="63" t="s">
        <v>93</v>
      </c>
      <c r="G108" s="66"/>
      <c r="H108" s="24"/>
      <c r="I108" s="24" t="e">
        <f aca="false">AVERAGE(H108,J108)</f>
        <v>#DIV/0!</v>
      </c>
      <c r="J108" s="24"/>
      <c r="K108" s="34" t="s">
        <v>55</v>
      </c>
      <c r="L108" s="35"/>
      <c r="M108" s="34" t="s">
        <v>55</v>
      </c>
      <c r="N108" s="24" t="n">
        <v>28.63</v>
      </c>
      <c r="O108" s="24" t="n">
        <f aca="false">AVERAGE(N108,P108)</f>
        <v>30.0931457582758</v>
      </c>
      <c r="P108" s="24" t="n">
        <v>31.5562915165517</v>
      </c>
      <c r="Q108" s="34" t="s">
        <v>55</v>
      </c>
      <c r="R108" s="35"/>
      <c r="S108" s="34" t="s">
        <v>55</v>
      </c>
      <c r="T108" s="36" t="s">
        <v>55</v>
      </c>
      <c r="U108" s="37"/>
      <c r="V108" s="36" t="s">
        <v>55</v>
      </c>
      <c r="W108" s="34" t="s">
        <v>55</v>
      </c>
      <c r="X108" s="35"/>
      <c r="Y108" s="34" t="s">
        <v>55</v>
      </c>
      <c r="Z108" s="36" t="s">
        <v>55</v>
      </c>
      <c r="AA108" s="37"/>
      <c r="AB108" s="37" t="s">
        <v>55</v>
      </c>
      <c r="AC108" s="34" t="n">
        <v>60</v>
      </c>
      <c r="AD108" s="35" t="n">
        <f aca="false">AVERAGEA(AE108,AC108)</f>
        <v>75.05</v>
      </c>
      <c r="AE108" s="34" t="n">
        <v>90.1</v>
      </c>
      <c r="AF108" s="37" t="n">
        <v>50</v>
      </c>
      <c r="AG108" s="38" t="n">
        <f aca="false">AVERAGEA(AH108, AF108)</f>
        <v>35</v>
      </c>
      <c r="AH108" s="36" t="n">
        <v>20</v>
      </c>
      <c r="AI108" s="35" t="n">
        <v>0.83</v>
      </c>
      <c r="AJ108" s="35" t="n">
        <f aca="false">AVERAGEA(AK108, AI108)</f>
        <v>15.415</v>
      </c>
      <c r="AK108" s="34" t="n">
        <v>30</v>
      </c>
      <c r="AL108" s="37" t="n">
        <v>0.83</v>
      </c>
      <c r="AM108" s="38" t="n">
        <f aca="false">AVERAGEA(AN108, AL108)</f>
        <v>15.415</v>
      </c>
      <c r="AN108" s="36" t="n">
        <v>30</v>
      </c>
      <c r="AO108" s="34" t="n">
        <v>0.1</v>
      </c>
      <c r="AP108" s="64" t="n">
        <f aca="false">AVERAGEA(AQ108, AO108)</f>
        <v>0.55</v>
      </c>
      <c r="AQ108" s="34" t="n">
        <v>1</v>
      </c>
      <c r="AR108" s="37" t="n">
        <v>0.25</v>
      </c>
      <c r="AS108" s="37" t="n">
        <f aca="false">AVERAGEA(AT108, AR108)</f>
        <v>0.625</v>
      </c>
      <c r="AT108" s="36" t="n">
        <v>1</v>
      </c>
      <c r="AU108" s="34" t="n">
        <v>370</v>
      </c>
      <c r="AV108" s="35" t="n">
        <f aca="false">AVERAGEA(AW108, AU108)</f>
        <v>510</v>
      </c>
      <c r="AW108" s="34" t="n">
        <v>650</v>
      </c>
      <c r="AX108" s="37" t="n">
        <v>9</v>
      </c>
      <c r="AY108" s="37" t="n">
        <f aca="false">AVERAGEA(AZ108, AX108)</f>
        <v>16.5</v>
      </c>
      <c r="AZ108" s="36" t="n">
        <v>24</v>
      </c>
      <c r="BA108" s="34" t="n">
        <v>0.8</v>
      </c>
      <c r="BB108" s="35" t="n">
        <f aca="false">AVERAGEA(BC108, BA108)</f>
        <v>1</v>
      </c>
      <c r="BC108" s="34" t="n">
        <v>1.2</v>
      </c>
      <c r="BD108" s="37" t="n">
        <v>0.02</v>
      </c>
      <c r="BE108" s="37" t="n">
        <f aca="false">AVERAGEA(BD108,BF108)</f>
        <v>12.01</v>
      </c>
      <c r="BF108" s="36" t="n">
        <v>24</v>
      </c>
      <c r="BG108" s="34" t="n">
        <v>0.02</v>
      </c>
      <c r="BH108" s="35" t="n">
        <f aca="false">AVERAGEA(BG108,BI108)</f>
        <v>47.26</v>
      </c>
      <c r="BI108" s="34" t="n">
        <v>94.5</v>
      </c>
      <c r="BJ108" s="37" t="n">
        <v>0.06</v>
      </c>
      <c r="BK108" s="37" t="n">
        <f aca="false">AVERAGEA(BJ108,BL108)</f>
        <v>38.53</v>
      </c>
      <c r="BL108" s="36" t="n">
        <v>77</v>
      </c>
      <c r="BM108" s="34" t="n">
        <v>0.66</v>
      </c>
      <c r="BN108" s="35" t="n">
        <f aca="false">AVERAGEA(BO108, BM108)</f>
        <v>0.73</v>
      </c>
      <c r="BO108" s="34" t="n">
        <v>0.8</v>
      </c>
      <c r="BP108" s="37" t="n">
        <v>0</v>
      </c>
      <c r="BQ108" s="37" t="n">
        <f aca="false">AVERAGEA(BP108,BR108)</f>
        <v>15</v>
      </c>
      <c r="BR108" s="36" t="n">
        <v>30</v>
      </c>
      <c r="BS108" s="34" t="n">
        <v>0</v>
      </c>
      <c r="BT108" s="35" t="n">
        <f aca="false">AVERAGEA(BS108,BU108)</f>
        <v>0.25</v>
      </c>
      <c r="BU108" s="40" t="n">
        <v>0.5</v>
      </c>
      <c r="BV108" s="37" t="n">
        <v>0</v>
      </c>
      <c r="BW108" s="37" t="n">
        <f aca="false">AVERAGEA(BV108,BX108)</f>
        <v>0.5</v>
      </c>
      <c r="BX108" s="36" t="n">
        <v>1</v>
      </c>
      <c r="BY108" s="34"/>
      <c r="BZ108" s="35" t="e">
        <f aca="false">AVERAGEA(BY108,CA108)</f>
        <v>#DIV/0!</v>
      </c>
      <c r="CA108" s="40"/>
      <c r="CB108" s="37"/>
      <c r="CC108" s="37" t="e">
        <f aca="false">AVERAGEA(CB108,CD108)</f>
        <v>#DIV/0!</v>
      </c>
      <c r="CD108" s="36"/>
      <c r="CE108" s="34"/>
      <c r="CF108" s="35" t="e">
        <f aca="false">AVERAGEA(CE108,CG108)</f>
        <v>#DIV/0!</v>
      </c>
      <c r="CG108" s="40"/>
    </row>
    <row r="109" s="18" customFormat="true" ht="26.4" hidden="false" customHeight="true" outlineLevel="0" collapsed="false">
      <c r="B109" s="58"/>
      <c r="C109" s="65"/>
      <c r="D109" s="65"/>
      <c r="E109" s="66" t="s">
        <v>88</v>
      </c>
      <c r="F109" s="63" t="s">
        <v>89</v>
      </c>
      <c r="G109" s="66" t="s">
        <v>90</v>
      </c>
      <c r="H109" s="24"/>
      <c r="I109" s="24" t="e">
        <f aca="false">AVERAGE(H109,J109)</f>
        <v>#DIV/0!</v>
      </c>
      <c r="J109" s="24"/>
      <c r="K109" s="34" t="s">
        <v>55</v>
      </c>
      <c r="L109" s="35"/>
      <c r="M109" s="34" t="s">
        <v>55</v>
      </c>
      <c r="N109" s="24" t="n">
        <v>39.97</v>
      </c>
      <c r="O109" s="24" t="n">
        <f aca="false">AVERAGE(N109,P109)</f>
        <v>40.845</v>
      </c>
      <c r="P109" s="24" t="n">
        <v>41.72</v>
      </c>
      <c r="Q109" s="34" t="s">
        <v>55</v>
      </c>
      <c r="R109" s="35"/>
      <c r="S109" s="34" t="s">
        <v>55</v>
      </c>
      <c r="T109" s="36" t="s">
        <v>55</v>
      </c>
      <c r="U109" s="37"/>
      <c r="V109" s="36" t="s">
        <v>55</v>
      </c>
      <c r="W109" s="34" t="s">
        <v>55</v>
      </c>
      <c r="X109" s="35"/>
      <c r="Y109" s="34" t="s">
        <v>55</v>
      </c>
      <c r="Z109" s="36" t="s">
        <v>55</v>
      </c>
      <c r="AA109" s="37"/>
      <c r="AB109" s="37" t="s">
        <v>55</v>
      </c>
      <c r="AC109" s="34" t="n">
        <v>60</v>
      </c>
      <c r="AD109" s="35" t="n">
        <f aca="false">AVERAGEA(AE109,AC109)</f>
        <v>75.05</v>
      </c>
      <c r="AE109" s="34" t="n">
        <v>90.1</v>
      </c>
      <c r="AF109" s="37" t="n">
        <v>50</v>
      </c>
      <c r="AG109" s="38" t="n">
        <f aca="false">AVERAGEA(AH109, AF109)</f>
        <v>35</v>
      </c>
      <c r="AH109" s="36" t="n">
        <v>20</v>
      </c>
      <c r="AI109" s="35" t="n">
        <v>0.83</v>
      </c>
      <c r="AJ109" s="35" t="n">
        <f aca="false">AVERAGEA(AK109, AI109)</f>
        <v>15.415</v>
      </c>
      <c r="AK109" s="34" t="n">
        <v>30</v>
      </c>
      <c r="AL109" s="37" t="n">
        <v>0.83</v>
      </c>
      <c r="AM109" s="38" t="n">
        <f aca="false">AVERAGEA(AN109, AL109)</f>
        <v>15.415</v>
      </c>
      <c r="AN109" s="36" t="n">
        <v>30</v>
      </c>
      <c r="AO109" s="34" t="n">
        <v>0.1</v>
      </c>
      <c r="AP109" s="64" t="n">
        <f aca="false">AVERAGEA(AQ109, AO109)</f>
        <v>0.55</v>
      </c>
      <c r="AQ109" s="34" t="n">
        <v>1</v>
      </c>
      <c r="AR109" s="37" t="n">
        <v>0.25</v>
      </c>
      <c r="AS109" s="37" t="n">
        <f aca="false">AVERAGEA(AT109, AR109)</f>
        <v>0.625</v>
      </c>
      <c r="AT109" s="36" t="n">
        <v>1</v>
      </c>
      <c r="AU109" s="34" t="n">
        <v>370</v>
      </c>
      <c r="AV109" s="35" t="n">
        <f aca="false">AVERAGEA(AW109, AU109)</f>
        <v>510</v>
      </c>
      <c r="AW109" s="34" t="n">
        <v>650</v>
      </c>
      <c r="AX109" s="37" t="n">
        <v>9</v>
      </c>
      <c r="AY109" s="37" t="n">
        <f aca="false">AVERAGEA(AZ109, AX109)</f>
        <v>16.5</v>
      </c>
      <c r="AZ109" s="36" t="n">
        <v>24</v>
      </c>
      <c r="BA109" s="34" t="n">
        <v>0.8</v>
      </c>
      <c r="BB109" s="35" t="n">
        <f aca="false">AVERAGEA(BC109, BA109)</f>
        <v>1</v>
      </c>
      <c r="BC109" s="34" t="n">
        <v>1.2</v>
      </c>
      <c r="BD109" s="37" t="n">
        <v>0.02</v>
      </c>
      <c r="BE109" s="37" t="n">
        <f aca="false">AVERAGEA(BD109,BF109)</f>
        <v>12.01</v>
      </c>
      <c r="BF109" s="36" t="n">
        <v>24</v>
      </c>
      <c r="BG109" s="34" t="n">
        <v>0.02</v>
      </c>
      <c r="BH109" s="35" t="n">
        <f aca="false">AVERAGEA(BG109,BI109)</f>
        <v>47.26</v>
      </c>
      <c r="BI109" s="34" t="n">
        <v>94.5</v>
      </c>
      <c r="BJ109" s="37" t="n">
        <v>0.06</v>
      </c>
      <c r="BK109" s="37" t="n">
        <f aca="false">AVERAGEA(BJ109,BL109)</f>
        <v>38.53</v>
      </c>
      <c r="BL109" s="36" t="n">
        <v>77</v>
      </c>
      <c r="BM109" s="34" t="n">
        <v>0.66</v>
      </c>
      <c r="BN109" s="35" t="n">
        <f aca="false">AVERAGEA(BO109, BM109)</f>
        <v>0.73</v>
      </c>
      <c r="BO109" s="34" t="n">
        <v>0.8</v>
      </c>
      <c r="BP109" s="37" t="n">
        <v>0</v>
      </c>
      <c r="BQ109" s="37" t="n">
        <f aca="false">AVERAGEA(BP109,BR109)</f>
        <v>15</v>
      </c>
      <c r="BR109" s="36" t="n">
        <v>30</v>
      </c>
      <c r="BS109" s="34" t="n">
        <v>0</v>
      </c>
      <c r="BT109" s="35" t="n">
        <f aca="false">AVERAGEA(BS109,BU109)</f>
        <v>0.25</v>
      </c>
      <c r="BU109" s="40" t="n">
        <v>0.5</v>
      </c>
      <c r="BV109" s="37" t="n">
        <v>0</v>
      </c>
      <c r="BW109" s="37" t="n">
        <f aca="false">AVERAGEA(BV109,BX109)</f>
        <v>0.5</v>
      </c>
      <c r="BX109" s="36" t="n">
        <v>1</v>
      </c>
      <c r="BY109" s="34"/>
      <c r="BZ109" s="35" t="e">
        <f aca="false">AVERAGEA(BY109,CA109)</f>
        <v>#DIV/0!</v>
      </c>
      <c r="CA109" s="40"/>
      <c r="CB109" s="37"/>
      <c r="CC109" s="37" t="e">
        <f aca="false">AVERAGEA(CB109,CD109)</f>
        <v>#DIV/0!</v>
      </c>
      <c r="CD109" s="36"/>
      <c r="CE109" s="34"/>
      <c r="CF109" s="35" t="e">
        <f aca="false">AVERAGEA(CE109,CG109)</f>
        <v>#DIV/0!</v>
      </c>
      <c r="CG109" s="40"/>
    </row>
    <row r="110" s="18" customFormat="true" ht="28.35" hidden="false" customHeight="false" outlineLevel="0" collapsed="false">
      <c r="B110" s="58"/>
      <c r="C110" s="65"/>
      <c r="D110" s="65"/>
      <c r="E110" s="66"/>
      <c r="F110" s="63" t="s">
        <v>91</v>
      </c>
      <c r="G110" s="66"/>
      <c r="H110" s="24"/>
      <c r="I110" s="24" t="e">
        <f aca="false">AVERAGE(H110,J110)</f>
        <v>#DIV/0!</v>
      </c>
      <c r="J110" s="24"/>
      <c r="K110" s="34" t="s">
        <v>55</v>
      </c>
      <c r="L110" s="35"/>
      <c r="M110" s="34" t="s">
        <v>55</v>
      </c>
      <c r="N110" s="24" t="n">
        <v>38.22</v>
      </c>
      <c r="O110" s="24" t="n">
        <f aca="false">AVERAGE(N110,P110)</f>
        <v>39.0915</v>
      </c>
      <c r="P110" s="24" t="n">
        <v>39.963</v>
      </c>
      <c r="Q110" s="34" t="s">
        <v>55</v>
      </c>
      <c r="R110" s="35"/>
      <c r="S110" s="34" t="s">
        <v>55</v>
      </c>
      <c r="T110" s="36" t="s">
        <v>55</v>
      </c>
      <c r="U110" s="37"/>
      <c r="V110" s="36" t="s">
        <v>55</v>
      </c>
      <c r="W110" s="34" t="s">
        <v>55</v>
      </c>
      <c r="X110" s="35"/>
      <c r="Y110" s="34" t="s">
        <v>55</v>
      </c>
      <c r="Z110" s="36" t="s">
        <v>55</v>
      </c>
      <c r="AA110" s="37"/>
      <c r="AB110" s="37" t="s">
        <v>55</v>
      </c>
      <c r="AC110" s="34" t="n">
        <v>60</v>
      </c>
      <c r="AD110" s="35" t="n">
        <f aca="false">AVERAGEA(AE110,AC110)</f>
        <v>75.05</v>
      </c>
      <c r="AE110" s="34" t="n">
        <v>90.1</v>
      </c>
      <c r="AF110" s="37" t="n">
        <v>50</v>
      </c>
      <c r="AG110" s="38" t="n">
        <f aca="false">AVERAGEA(AH110, AF110)</f>
        <v>35</v>
      </c>
      <c r="AH110" s="36" t="n">
        <v>20</v>
      </c>
      <c r="AI110" s="35" t="n">
        <v>0.83</v>
      </c>
      <c r="AJ110" s="35" t="n">
        <f aca="false">AVERAGEA(AK110, AI110)</f>
        <v>15.415</v>
      </c>
      <c r="AK110" s="34" t="n">
        <v>30</v>
      </c>
      <c r="AL110" s="37" t="n">
        <v>0.83</v>
      </c>
      <c r="AM110" s="38" t="n">
        <f aca="false">AVERAGEA(AN110, AL110)</f>
        <v>15.415</v>
      </c>
      <c r="AN110" s="36" t="n">
        <v>30</v>
      </c>
      <c r="AO110" s="34" t="n">
        <v>0.1</v>
      </c>
      <c r="AP110" s="64" t="n">
        <f aca="false">AVERAGEA(AQ110, AO110)</f>
        <v>0.55</v>
      </c>
      <c r="AQ110" s="34" t="n">
        <v>1</v>
      </c>
      <c r="AR110" s="37" t="n">
        <v>0.25</v>
      </c>
      <c r="AS110" s="37" t="n">
        <f aca="false">AVERAGEA(AT110, AR110)</f>
        <v>0.625</v>
      </c>
      <c r="AT110" s="36" t="n">
        <v>1</v>
      </c>
      <c r="AU110" s="34" t="n">
        <v>370</v>
      </c>
      <c r="AV110" s="35" t="n">
        <f aca="false">AVERAGEA(AW110, AU110)</f>
        <v>510</v>
      </c>
      <c r="AW110" s="34" t="n">
        <v>650</v>
      </c>
      <c r="AX110" s="37" t="n">
        <v>9</v>
      </c>
      <c r="AY110" s="37" t="n">
        <f aca="false">AVERAGEA(AZ110, AX110)</f>
        <v>16.5</v>
      </c>
      <c r="AZ110" s="36" t="n">
        <v>24</v>
      </c>
      <c r="BA110" s="34" t="n">
        <v>0.8</v>
      </c>
      <c r="BB110" s="35" t="n">
        <f aca="false">AVERAGEA(BC110, BA110)</f>
        <v>1</v>
      </c>
      <c r="BC110" s="34" t="n">
        <v>1.2</v>
      </c>
      <c r="BD110" s="37" t="n">
        <v>0.02</v>
      </c>
      <c r="BE110" s="37" t="n">
        <f aca="false">AVERAGEA(BD110,BF110)</f>
        <v>12.01</v>
      </c>
      <c r="BF110" s="36" t="n">
        <v>24</v>
      </c>
      <c r="BG110" s="34" t="n">
        <v>0.02</v>
      </c>
      <c r="BH110" s="35" t="n">
        <f aca="false">AVERAGEA(BG110,BI110)</f>
        <v>47.26</v>
      </c>
      <c r="BI110" s="34" t="n">
        <v>94.5</v>
      </c>
      <c r="BJ110" s="37" t="n">
        <v>0.06</v>
      </c>
      <c r="BK110" s="37" t="n">
        <f aca="false">AVERAGEA(BJ110,BL110)</f>
        <v>38.53</v>
      </c>
      <c r="BL110" s="36" t="n">
        <v>77</v>
      </c>
      <c r="BM110" s="34" t="n">
        <v>0.66</v>
      </c>
      <c r="BN110" s="35" t="n">
        <f aca="false">AVERAGEA(BO110, BM110)</f>
        <v>0.73</v>
      </c>
      <c r="BO110" s="34" t="n">
        <v>0.8</v>
      </c>
      <c r="BP110" s="37" t="n">
        <v>0</v>
      </c>
      <c r="BQ110" s="37" t="n">
        <f aca="false">AVERAGEA(BP110,BR110)</f>
        <v>15</v>
      </c>
      <c r="BR110" s="36" t="n">
        <v>30</v>
      </c>
      <c r="BS110" s="34" t="n">
        <v>0</v>
      </c>
      <c r="BT110" s="35" t="n">
        <f aca="false">AVERAGEA(BS110,BU110)</f>
        <v>0.25</v>
      </c>
      <c r="BU110" s="40" t="n">
        <v>0.5</v>
      </c>
      <c r="BV110" s="37" t="n">
        <v>0</v>
      </c>
      <c r="BW110" s="37" t="n">
        <f aca="false">AVERAGEA(BV110,BX110)</f>
        <v>0.5</v>
      </c>
      <c r="BX110" s="36" t="n">
        <v>1</v>
      </c>
      <c r="BY110" s="34"/>
      <c r="BZ110" s="35" t="e">
        <f aca="false">AVERAGEA(BY110,CA110)</f>
        <v>#DIV/0!</v>
      </c>
      <c r="CA110" s="40"/>
      <c r="CB110" s="37"/>
      <c r="CC110" s="37" t="e">
        <f aca="false">AVERAGEA(CB110,CD110)</f>
        <v>#DIV/0!</v>
      </c>
      <c r="CD110" s="36"/>
      <c r="CE110" s="34"/>
      <c r="CF110" s="35" t="e">
        <f aca="false">AVERAGEA(CE110,CG110)</f>
        <v>#DIV/0!</v>
      </c>
      <c r="CG110" s="40"/>
    </row>
    <row r="111" s="18" customFormat="true" ht="28.35" hidden="false" customHeight="false" outlineLevel="0" collapsed="false">
      <c r="B111" s="58"/>
      <c r="C111" s="65"/>
      <c r="D111" s="65"/>
      <c r="E111" s="66"/>
      <c r="F111" s="63" t="s">
        <v>92</v>
      </c>
      <c r="G111" s="66"/>
      <c r="H111" s="24"/>
      <c r="I111" s="24" t="e">
        <f aca="false">AVERAGE(H111,J111)</f>
        <v>#DIV/0!</v>
      </c>
      <c r="J111" s="24"/>
      <c r="K111" s="34" t="s">
        <v>55</v>
      </c>
      <c r="L111" s="35"/>
      <c r="M111" s="34" t="s">
        <v>55</v>
      </c>
      <c r="N111" s="24" t="n">
        <v>37.583</v>
      </c>
      <c r="O111" s="24" t="n">
        <f aca="false">AVERAGE(N111,P111)</f>
        <v>37.898</v>
      </c>
      <c r="P111" s="24" t="n">
        <v>38.213</v>
      </c>
      <c r="Q111" s="34" t="s">
        <v>55</v>
      </c>
      <c r="R111" s="35"/>
      <c r="S111" s="34" t="s">
        <v>55</v>
      </c>
      <c r="T111" s="36" t="s">
        <v>55</v>
      </c>
      <c r="U111" s="37"/>
      <c r="V111" s="36" t="s">
        <v>55</v>
      </c>
      <c r="W111" s="34" t="s">
        <v>55</v>
      </c>
      <c r="X111" s="35"/>
      <c r="Y111" s="34" t="s">
        <v>55</v>
      </c>
      <c r="Z111" s="36" t="s">
        <v>55</v>
      </c>
      <c r="AA111" s="37"/>
      <c r="AB111" s="37" t="s">
        <v>55</v>
      </c>
      <c r="AC111" s="34" t="n">
        <v>60</v>
      </c>
      <c r="AD111" s="35" t="n">
        <f aca="false">AVERAGEA(AE111,AC111)</f>
        <v>75.05</v>
      </c>
      <c r="AE111" s="34" t="n">
        <v>90.1</v>
      </c>
      <c r="AF111" s="37" t="n">
        <v>50</v>
      </c>
      <c r="AG111" s="38" t="n">
        <f aca="false">AVERAGEA(AH111, AF111)</f>
        <v>35</v>
      </c>
      <c r="AH111" s="36" t="n">
        <v>20</v>
      </c>
      <c r="AI111" s="35" t="n">
        <v>0.83</v>
      </c>
      <c r="AJ111" s="35" t="n">
        <f aca="false">AVERAGEA(AK111, AI111)</f>
        <v>15.415</v>
      </c>
      <c r="AK111" s="34" t="n">
        <v>30</v>
      </c>
      <c r="AL111" s="37" t="n">
        <v>0.83</v>
      </c>
      <c r="AM111" s="38" t="n">
        <f aca="false">AVERAGEA(AN111, AL111)</f>
        <v>15.415</v>
      </c>
      <c r="AN111" s="36" t="n">
        <v>30</v>
      </c>
      <c r="AO111" s="34" t="n">
        <v>0.1</v>
      </c>
      <c r="AP111" s="64" t="n">
        <f aca="false">AVERAGEA(AQ111, AO111)</f>
        <v>0.55</v>
      </c>
      <c r="AQ111" s="34" t="n">
        <v>1</v>
      </c>
      <c r="AR111" s="37" t="n">
        <v>0.25</v>
      </c>
      <c r="AS111" s="37" t="n">
        <f aca="false">AVERAGEA(AT111, AR111)</f>
        <v>0.625</v>
      </c>
      <c r="AT111" s="36" t="n">
        <v>1</v>
      </c>
      <c r="AU111" s="34" t="n">
        <v>370</v>
      </c>
      <c r="AV111" s="35" t="n">
        <f aca="false">AVERAGEA(AW111, AU111)</f>
        <v>510</v>
      </c>
      <c r="AW111" s="34" t="n">
        <v>650</v>
      </c>
      <c r="AX111" s="37" t="n">
        <v>9</v>
      </c>
      <c r="AY111" s="37" t="n">
        <f aca="false">AVERAGEA(AZ111, AX111)</f>
        <v>16.5</v>
      </c>
      <c r="AZ111" s="36" t="n">
        <v>24</v>
      </c>
      <c r="BA111" s="34" t="n">
        <v>0.8</v>
      </c>
      <c r="BB111" s="35" t="n">
        <f aca="false">AVERAGEA(BC111, BA111)</f>
        <v>1</v>
      </c>
      <c r="BC111" s="34" t="n">
        <v>1.2</v>
      </c>
      <c r="BD111" s="37" t="n">
        <v>0.02</v>
      </c>
      <c r="BE111" s="37" t="n">
        <f aca="false">AVERAGEA(BD111,BF111)</f>
        <v>12.01</v>
      </c>
      <c r="BF111" s="36" t="n">
        <v>24</v>
      </c>
      <c r="BG111" s="34" t="n">
        <v>0.02</v>
      </c>
      <c r="BH111" s="35" t="n">
        <f aca="false">AVERAGEA(BG111,BI111)</f>
        <v>47.26</v>
      </c>
      <c r="BI111" s="34" t="n">
        <v>94.5</v>
      </c>
      <c r="BJ111" s="37" t="n">
        <v>0.06</v>
      </c>
      <c r="BK111" s="37" t="n">
        <f aca="false">AVERAGEA(BJ111,BL111)</f>
        <v>38.53</v>
      </c>
      <c r="BL111" s="36" t="n">
        <v>77</v>
      </c>
      <c r="BM111" s="34" t="n">
        <v>0.66</v>
      </c>
      <c r="BN111" s="35" t="n">
        <f aca="false">AVERAGEA(BO111, BM111)</f>
        <v>0.73</v>
      </c>
      <c r="BO111" s="34" t="n">
        <v>0.8</v>
      </c>
      <c r="BP111" s="37" t="n">
        <v>0</v>
      </c>
      <c r="BQ111" s="37" t="n">
        <f aca="false">AVERAGEA(BP111,BR111)</f>
        <v>15</v>
      </c>
      <c r="BR111" s="36" t="n">
        <v>30</v>
      </c>
      <c r="BS111" s="34" t="n">
        <v>0</v>
      </c>
      <c r="BT111" s="35" t="n">
        <f aca="false">AVERAGEA(BS111,BU111)</f>
        <v>0.25</v>
      </c>
      <c r="BU111" s="40" t="n">
        <v>0.5</v>
      </c>
      <c r="BV111" s="37" t="n">
        <v>0</v>
      </c>
      <c r="BW111" s="37" t="n">
        <f aca="false">AVERAGEA(BV111,BX111)</f>
        <v>0.5</v>
      </c>
      <c r="BX111" s="36" t="n">
        <v>1</v>
      </c>
      <c r="BY111" s="34"/>
      <c r="BZ111" s="35" t="e">
        <f aca="false">AVERAGEA(BY111,CA111)</f>
        <v>#DIV/0!</v>
      </c>
      <c r="CA111" s="40"/>
      <c r="CB111" s="37"/>
      <c r="CC111" s="37" t="e">
        <f aca="false">AVERAGEA(CB111,CD111)</f>
        <v>#DIV/0!</v>
      </c>
      <c r="CD111" s="36"/>
      <c r="CE111" s="34"/>
      <c r="CF111" s="35" t="e">
        <f aca="false">AVERAGEA(CE111,CG111)</f>
        <v>#DIV/0!</v>
      </c>
      <c r="CG111" s="40"/>
    </row>
    <row r="112" s="18" customFormat="true" ht="28.35" hidden="false" customHeight="false" outlineLevel="0" collapsed="false">
      <c r="B112" s="58"/>
      <c r="C112" s="65"/>
      <c r="D112" s="65"/>
      <c r="E112" s="66"/>
      <c r="F112" s="63" t="s">
        <v>93</v>
      </c>
      <c r="G112" s="66"/>
      <c r="H112" s="24"/>
      <c r="I112" s="24" t="e">
        <f aca="false">AVERAGE(H112,J112)</f>
        <v>#DIV/0!</v>
      </c>
      <c r="J112" s="24"/>
      <c r="K112" s="34" t="s">
        <v>55</v>
      </c>
      <c r="L112" s="35"/>
      <c r="M112" s="34" t="s">
        <v>55</v>
      </c>
      <c r="N112" s="24" t="n">
        <v>37.527</v>
      </c>
      <c r="O112" s="24" t="n">
        <f aca="false">AVERAGE(N112,P112)</f>
        <v>37.5515</v>
      </c>
      <c r="P112" s="24" t="n">
        <v>37.576</v>
      </c>
      <c r="Q112" s="34" t="s">
        <v>55</v>
      </c>
      <c r="R112" s="35"/>
      <c r="S112" s="34" t="s">
        <v>55</v>
      </c>
      <c r="T112" s="36" t="s">
        <v>55</v>
      </c>
      <c r="U112" s="37"/>
      <c r="V112" s="36" t="s">
        <v>55</v>
      </c>
      <c r="W112" s="34" t="s">
        <v>55</v>
      </c>
      <c r="X112" s="35"/>
      <c r="Y112" s="34" t="s">
        <v>55</v>
      </c>
      <c r="Z112" s="36" t="s">
        <v>55</v>
      </c>
      <c r="AA112" s="37"/>
      <c r="AB112" s="37" t="s">
        <v>55</v>
      </c>
      <c r="AC112" s="34" t="n">
        <v>60</v>
      </c>
      <c r="AD112" s="35" t="n">
        <f aca="false">AVERAGEA(AE112,AC112)</f>
        <v>75.05</v>
      </c>
      <c r="AE112" s="34" t="n">
        <v>90.1</v>
      </c>
      <c r="AF112" s="37" t="n">
        <v>50</v>
      </c>
      <c r="AG112" s="38" t="n">
        <f aca="false">AVERAGEA(AH112, AF112)</f>
        <v>35</v>
      </c>
      <c r="AH112" s="36" t="n">
        <v>20</v>
      </c>
      <c r="AI112" s="35" t="n">
        <v>0.83</v>
      </c>
      <c r="AJ112" s="35" t="n">
        <f aca="false">AVERAGEA(AK112, AI112)</f>
        <v>15.415</v>
      </c>
      <c r="AK112" s="34" t="n">
        <v>30</v>
      </c>
      <c r="AL112" s="37" t="n">
        <v>0.83</v>
      </c>
      <c r="AM112" s="38" t="n">
        <f aca="false">AVERAGEA(AN112, AL112)</f>
        <v>15.415</v>
      </c>
      <c r="AN112" s="36" t="n">
        <v>30</v>
      </c>
      <c r="AO112" s="34" t="n">
        <v>0.1</v>
      </c>
      <c r="AP112" s="64" t="n">
        <f aca="false">AVERAGEA(AQ112, AO112)</f>
        <v>0.55</v>
      </c>
      <c r="AQ112" s="34" t="n">
        <v>1</v>
      </c>
      <c r="AR112" s="37" t="n">
        <v>0.25</v>
      </c>
      <c r="AS112" s="37" t="n">
        <f aca="false">AVERAGEA(AT112, AR112)</f>
        <v>0.625</v>
      </c>
      <c r="AT112" s="36" t="n">
        <v>1</v>
      </c>
      <c r="AU112" s="34" t="n">
        <v>370</v>
      </c>
      <c r="AV112" s="35" t="n">
        <f aca="false">AVERAGEA(AW112, AU112)</f>
        <v>510</v>
      </c>
      <c r="AW112" s="34" t="n">
        <v>650</v>
      </c>
      <c r="AX112" s="37" t="n">
        <v>9</v>
      </c>
      <c r="AY112" s="37" t="n">
        <f aca="false">AVERAGEA(AZ112, AX112)</f>
        <v>16.5</v>
      </c>
      <c r="AZ112" s="36" t="n">
        <v>24</v>
      </c>
      <c r="BA112" s="34" t="n">
        <v>0.8</v>
      </c>
      <c r="BB112" s="35" t="n">
        <f aca="false">AVERAGEA(BC112, BA112)</f>
        <v>1</v>
      </c>
      <c r="BC112" s="34" t="n">
        <v>1.2</v>
      </c>
      <c r="BD112" s="37" t="n">
        <v>0.02</v>
      </c>
      <c r="BE112" s="37" t="n">
        <f aca="false">AVERAGEA(BD112,BF112)</f>
        <v>12.01</v>
      </c>
      <c r="BF112" s="36" t="n">
        <v>24</v>
      </c>
      <c r="BG112" s="34" t="n">
        <v>0.02</v>
      </c>
      <c r="BH112" s="35" t="n">
        <f aca="false">AVERAGEA(BG112,BI112)</f>
        <v>47.26</v>
      </c>
      <c r="BI112" s="34" t="n">
        <v>94.5</v>
      </c>
      <c r="BJ112" s="37" t="n">
        <v>0.06</v>
      </c>
      <c r="BK112" s="37" t="n">
        <f aca="false">AVERAGEA(BJ112,BL112)</f>
        <v>38.53</v>
      </c>
      <c r="BL112" s="36" t="n">
        <v>77</v>
      </c>
      <c r="BM112" s="34" t="n">
        <v>0.66</v>
      </c>
      <c r="BN112" s="35" t="n">
        <f aca="false">AVERAGEA(BO112, BM112)</f>
        <v>0.73</v>
      </c>
      <c r="BO112" s="34" t="n">
        <v>0.8</v>
      </c>
      <c r="BP112" s="37" t="n">
        <v>0</v>
      </c>
      <c r="BQ112" s="37" t="n">
        <f aca="false">AVERAGEA(BP112,BR112)</f>
        <v>15</v>
      </c>
      <c r="BR112" s="36" t="n">
        <v>30</v>
      </c>
      <c r="BS112" s="34" t="n">
        <v>0</v>
      </c>
      <c r="BT112" s="35" t="n">
        <f aca="false">AVERAGEA(BS112,BU112)</f>
        <v>0.25</v>
      </c>
      <c r="BU112" s="40" t="n">
        <v>0.5</v>
      </c>
      <c r="BV112" s="37" t="n">
        <v>0</v>
      </c>
      <c r="BW112" s="37" t="n">
        <f aca="false">AVERAGEA(BV112,BX112)</f>
        <v>0.5</v>
      </c>
      <c r="BX112" s="36" t="n">
        <v>1</v>
      </c>
      <c r="BY112" s="34"/>
      <c r="BZ112" s="35" t="e">
        <f aca="false">AVERAGEA(BY112,CA112)</f>
        <v>#DIV/0!</v>
      </c>
      <c r="CA112" s="40"/>
      <c r="CB112" s="37"/>
      <c r="CC112" s="37" t="e">
        <f aca="false">AVERAGEA(CB112,CD112)</f>
        <v>#DIV/0!</v>
      </c>
      <c r="CD112" s="36"/>
      <c r="CE112" s="34"/>
      <c r="CF112" s="35" t="e">
        <f aca="false">AVERAGEA(CE112,CG112)</f>
        <v>#DIV/0!</v>
      </c>
      <c r="CG112" s="40"/>
    </row>
    <row r="113" s="18" customFormat="true" ht="26.4" hidden="false" customHeight="true" outlineLevel="0" collapsed="false">
      <c r="B113" s="58"/>
      <c r="C113" s="65"/>
      <c r="D113" s="65"/>
      <c r="E113" s="66" t="s">
        <v>94</v>
      </c>
      <c r="F113" s="63" t="s">
        <v>89</v>
      </c>
      <c r="G113" s="66" t="s">
        <v>95</v>
      </c>
      <c r="H113" s="24"/>
      <c r="I113" s="24" t="e">
        <f aca="false">AVERAGE(H113,J113)</f>
        <v>#DIV/0!</v>
      </c>
      <c r="J113" s="24"/>
      <c r="K113" s="34" t="s">
        <v>55</v>
      </c>
      <c r="L113" s="35"/>
      <c r="M113" s="34" t="s">
        <v>55</v>
      </c>
      <c r="N113" s="24" t="n">
        <v>39.97</v>
      </c>
      <c r="O113" s="24" t="n">
        <f aca="false">AVERAGE(N113,P113)</f>
        <v>40.845</v>
      </c>
      <c r="P113" s="24" t="n">
        <v>41.72</v>
      </c>
      <c r="Q113" s="34" t="s">
        <v>55</v>
      </c>
      <c r="R113" s="35"/>
      <c r="S113" s="34" t="s">
        <v>55</v>
      </c>
      <c r="T113" s="36" t="s">
        <v>55</v>
      </c>
      <c r="U113" s="37"/>
      <c r="V113" s="36" t="s">
        <v>55</v>
      </c>
      <c r="W113" s="34" t="s">
        <v>55</v>
      </c>
      <c r="X113" s="35"/>
      <c r="Y113" s="34" t="s">
        <v>55</v>
      </c>
      <c r="Z113" s="36" t="s">
        <v>55</v>
      </c>
      <c r="AA113" s="37"/>
      <c r="AB113" s="37" t="s">
        <v>55</v>
      </c>
      <c r="AC113" s="34" t="n">
        <v>60</v>
      </c>
      <c r="AD113" s="35" t="n">
        <f aca="false">AVERAGEA(AE113,AC113)</f>
        <v>75.05</v>
      </c>
      <c r="AE113" s="34" t="n">
        <v>90.1</v>
      </c>
      <c r="AF113" s="37" t="n">
        <v>50</v>
      </c>
      <c r="AG113" s="38" t="n">
        <f aca="false">AVERAGEA(AH113, AF113)</f>
        <v>35</v>
      </c>
      <c r="AH113" s="36" t="n">
        <v>20</v>
      </c>
      <c r="AI113" s="35" t="n">
        <v>0.83</v>
      </c>
      <c r="AJ113" s="35" t="n">
        <f aca="false">AVERAGEA(AK113, AI113)</f>
        <v>15.415</v>
      </c>
      <c r="AK113" s="34" t="n">
        <v>30</v>
      </c>
      <c r="AL113" s="37" t="n">
        <v>0.83</v>
      </c>
      <c r="AM113" s="38" t="n">
        <f aca="false">AVERAGEA(AN113, AL113)</f>
        <v>15.415</v>
      </c>
      <c r="AN113" s="36" t="n">
        <v>30</v>
      </c>
      <c r="AO113" s="34" t="n">
        <v>0.1</v>
      </c>
      <c r="AP113" s="64" t="n">
        <f aca="false">AVERAGEA(AQ113, AO113)</f>
        <v>0.55</v>
      </c>
      <c r="AQ113" s="34" t="n">
        <v>1</v>
      </c>
      <c r="AR113" s="37" t="n">
        <v>0.25</v>
      </c>
      <c r="AS113" s="37" t="n">
        <f aca="false">AVERAGEA(AT113, AR113)</f>
        <v>0.625</v>
      </c>
      <c r="AT113" s="36" t="n">
        <v>1</v>
      </c>
      <c r="AU113" s="34" t="n">
        <v>370</v>
      </c>
      <c r="AV113" s="35" t="n">
        <f aca="false">AVERAGEA(AW113, AU113)</f>
        <v>550</v>
      </c>
      <c r="AW113" s="34" t="n">
        <v>730</v>
      </c>
      <c r="AX113" s="37" t="n">
        <v>9</v>
      </c>
      <c r="AY113" s="37" t="n">
        <f aca="false">AVERAGEA(AZ113, AX113)</f>
        <v>16.5</v>
      </c>
      <c r="AZ113" s="36" t="n">
        <v>24</v>
      </c>
      <c r="BA113" s="34" t="n">
        <v>0.8</v>
      </c>
      <c r="BB113" s="35" t="n">
        <f aca="false">AVERAGEA(BC113, BA113)</f>
        <v>2.4</v>
      </c>
      <c r="BC113" s="34" t="n">
        <v>4</v>
      </c>
      <c r="BD113" s="37" t="n">
        <v>0.02</v>
      </c>
      <c r="BE113" s="37" t="n">
        <f aca="false">AVERAGEA(BD113,BF113)</f>
        <v>12.01</v>
      </c>
      <c r="BF113" s="36" t="n">
        <v>24</v>
      </c>
      <c r="BG113" s="34" t="n">
        <v>0.02</v>
      </c>
      <c r="BH113" s="35" t="n">
        <f aca="false">AVERAGEA(BG113,BI113)</f>
        <v>47.26</v>
      </c>
      <c r="BI113" s="34" t="n">
        <v>94.5</v>
      </c>
      <c r="BJ113" s="37" t="n">
        <v>0.06</v>
      </c>
      <c r="BK113" s="37" t="n">
        <f aca="false">AVERAGEA(BJ113,BL113)</f>
        <v>38.53</v>
      </c>
      <c r="BL113" s="36" t="n">
        <v>77</v>
      </c>
      <c r="BM113" s="34" t="n">
        <v>0.66</v>
      </c>
      <c r="BN113" s="35" t="n">
        <f aca="false">AVERAGEA(BO113, BM113)</f>
        <v>0.73</v>
      </c>
      <c r="BO113" s="34" t="n">
        <v>0.8</v>
      </c>
      <c r="BP113" s="37" t="n">
        <v>0</v>
      </c>
      <c r="BQ113" s="37" t="n">
        <f aca="false">AVERAGEA(BP113,BR113)</f>
        <v>15</v>
      </c>
      <c r="BR113" s="36" t="n">
        <v>30</v>
      </c>
      <c r="BS113" s="34" t="n">
        <v>0</v>
      </c>
      <c r="BT113" s="35" t="n">
        <f aca="false">AVERAGEA(BS113,BU113)</f>
        <v>0.25</v>
      </c>
      <c r="BU113" s="40" t="n">
        <v>0.5</v>
      </c>
      <c r="BV113" s="37" t="n">
        <v>0</v>
      </c>
      <c r="BW113" s="37" t="n">
        <f aca="false">AVERAGEA(BV113,BX113)</f>
        <v>0.5</v>
      </c>
      <c r="BX113" s="36" t="n">
        <v>1</v>
      </c>
      <c r="BY113" s="34"/>
      <c r="BZ113" s="35" t="e">
        <f aca="false">AVERAGEA(BY113,CA113)</f>
        <v>#DIV/0!</v>
      </c>
      <c r="CA113" s="40"/>
      <c r="CB113" s="37"/>
      <c r="CC113" s="37" t="e">
        <f aca="false">AVERAGEA(CB113,CD113)</f>
        <v>#DIV/0!</v>
      </c>
      <c r="CD113" s="36"/>
      <c r="CE113" s="34"/>
      <c r="CF113" s="35" t="e">
        <f aca="false">AVERAGEA(CE113,CG113)</f>
        <v>#DIV/0!</v>
      </c>
      <c r="CG113" s="40"/>
    </row>
    <row r="114" s="18" customFormat="true" ht="28.35" hidden="false" customHeight="false" outlineLevel="0" collapsed="false">
      <c r="B114" s="58"/>
      <c r="C114" s="65"/>
      <c r="D114" s="65"/>
      <c r="E114" s="66"/>
      <c r="F114" s="63" t="s">
        <v>91</v>
      </c>
      <c r="G114" s="66"/>
      <c r="H114" s="24"/>
      <c r="I114" s="24" t="e">
        <f aca="false">AVERAGE(H114,J114)</f>
        <v>#DIV/0!</v>
      </c>
      <c r="J114" s="24"/>
      <c r="K114" s="34" t="s">
        <v>55</v>
      </c>
      <c r="L114" s="35"/>
      <c r="M114" s="34" t="s">
        <v>55</v>
      </c>
      <c r="N114" s="24" t="n">
        <v>38.22</v>
      </c>
      <c r="O114" s="24" t="n">
        <f aca="false">AVERAGE(N114,P114)</f>
        <v>39.0915</v>
      </c>
      <c r="P114" s="24" t="n">
        <v>39.963</v>
      </c>
      <c r="Q114" s="34" t="s">
        <v>55</v>
      </c>
      <c r="R114" s="35"/>
      <c r="S114" s="34" t="s">
        <v>55</v>
      </c>
      <c r="T114" s="36" t="s">
        <v>55</v>
      </c>
      <c r="U114" s="37"/>
      <c r="V114" s="36" t="s">
        <v>55</v>
      </c>
      <c r="W114" s="34" t="s">
        <v>55</v>
      </c>
      <c r="X114" s="35"/>
      <c r="Y114" s="34" t="s">
        <v>55</v>
      </c>
      <c r="Z114" s="36" t="s">
        <v>55</v>
      </c>
      <c r="AA114" s="37"/>
      <c r="AB114" s="37" t="s">
        <v>55</v>
      </c>
      <c r="AC114" s="34" t="n">
        <v>60</v>
      </c>
      <c r="AD114" s="35" t="n">
        <f aca="false">AVERAGEA(AE114,AC114)</f>
        <v>75.05</v>
      </c>
      <c r="AE114" s="34" t="n">
        <v>90.1</v>
      </c>
      <c r="AF114" s="37" t="n">
        <v>50</v>
      </c>
      <c r="AG114" s="38" t="n">
        <f aca="false">AVERAGEA(AH114, AF114)</f>
        <v>35</v>
      </c>
      <c r="AH114" s="36" t="n">
        <v>20</v>
      </c>
      <c r="AI114" s="35" t="n">
        <v>0.83</v>
      </c>
      <c r="AJ114" s="35" t="n">
        <f aca="false">AVERAGEA(AK114, AI114)</f>
        <v>15.415</v>
      </c>
      <c r="AK114" s="34" t="n">
        <v>30</v>
      </c>
      <c r="AL114" s="37" t="n">
        <v>0.83</v>
      </c>
      <c r="AM114" s="38" t="n">
        <f aca="false">AVERAGEA(AN114, AL114)</f>
        <v>15.415</v>
      </c>
      <c r="AN114" s="36" t="n">
        <v>30</v>
      </c>
      <c r="AO114" s="34" t="n">
        <v>0.1</v>
      </c>
      <c r="AP114" s="64" t="n">
        <f aca="false">AVERAGEA(AQ114, AO114)</f>
        <v>0.55</v>
      </c>
      <c r="AQ114" s="34" t="n">
        <v>1</v>
      </c>
      <c r="AR114" s="37" t="n">
        <v>0.25</v>
      </c>
      <c r="AS114" s="37" t="n">
        <f aca="false">AVERAGEA(AT114, AR114)</f>
        <v>0.625</v>
      </c>
      <c r="AT114" s="36" t="n">
        <v>1</v>
      </c>
      <c r="AU114" s="34" t="n">
        <v>370</v>
      </c>
      <c r="AV114" s="35" t="n">
        <f aca="false">AVERAGEA(AW114, AU114)</f>
        <v>550</v>
      </c>
      <c r="AW114" s="34" t="n">
        <v>730</v>
      </c>
      <c r="AX114" s="37" t="n">
        <v>9</v>
      </c>
      <c r="AY114" s="37" t="n">
        <f aca="false">AVERAGEA(AZ114, AX114)</f>
        <v>16.5</v>
      </c>
      <c r="AZ114" s="36" t="n">
        <v>24</v>
      </c>
      <c r="BA114" s="34" t="n">
        <v>0.8</v>
      </c>
      <c r="BB114" s="35" t="n">
        <f aca="false">AVERAGEA(BC114, BA114)</f>
        <v>2.4</v>
      </c>
      <c r="BC114" s="34" t="n">
        <v>4</v>
      </c>
      <c r="BD114" s="37" t="n">
        <v>0.02</v>
      </c>
      <c r="BE114" s="37" t="n">
        <f aca="false">AVERAGEA(BD114,BF114)</f>
        <v>12.01</v>
      </c>
      <c r="BF114" s="36" t="n">
        <v>24</v>
      </c>
      <c r="BG114" s="34" t="n">
        <v>0.02</v>
      </c>
      <c r="BH114" s="35" t="n">
        <f aca="false">AVERAGEA(BG114,BI114)</f>
        <v>47.26</v>
      </c>
      <c r="BI114" s="34" t="n">
        <v>94.5</v>
      </c>
      <c r="BJ114" s="37" t="n">
        <v>0.06</v>
      </c>
      <c r="BK114" s="37" t="n">
        <f aca="false">AVERAGEA(BJ114,BL114)</f>
        <v>38.53</v>
      </c>
      <c r="BL114" s="36" t="n">
        <v>77</v>
      </c>
      <c r="BM114" s="34" t="n">
        <v>0.66</v>
      </c>
      <c r="BN114" s="35" t="n">
        <f aca="false">AVERAGEA(BO114, BM114)</f>
        <v>0.73</v>
      </c>
      <c r="BO114" s="34" t="n">
        <v>0.8</v>
      </c>
      <c r="BP114" s="37" t="n">
        <v>0</v>
      </c>
      <c r="BQ114" s="37" t="n">
        <f aca="false">AVERAGEA(BP114,BR114)</f>
        <v>15</v>
      </c>
      <c r="BR114" s="36" t="n">
        <v>30</v>
      </c>
      <c r="BS114" s="34" t="n">
        <v>0</v>
      </c>
      <c r="BT114" s="35" t="n">
        <f aca="false">AVERAGEA(BS114,BU114)</f>
        <v>0.25</v>
      </c>
      <c r="BU114" s="40" t="n">
        <v>0.5</v>
      </c>
      <c r="BV114" s="37" t="n">
        <v>0</v>
      </c>
      <c r="BW114" s="37" t="n">
        <f aca="false">AVERAGEA(BV114,BX114)</f>
        <v>0.5</v>
      </c>
      <c r="BX114" s="36" t="n">
        <v>1</v>
      </c>
      <c r="BY114" s="34"/>
      <c r="BZ114" s="35" t="e">
        <f aca="false">AVERAGEA(BY114,CA114)</f>
        <v>#DIV/0!</v>
      </c>
      <c r="CA114" s="40"/>
      <c r="CB114" s="37"/>
      <c r="CC114" s="37" t="e">
        <f aca="false">AVERAGEA(CB114,CD114)</f>
        <v>#DIV/0!</v>
      </c>
      <c r="CD114" s="36"/>
      <c r="CE114" s="34"/>
      <c r="CF114" s="35" t="e">
        <f aca="false">AVERAGEA(CE114,CG114)</f>
        <v>#DIV/0!</v>
      </c>
      <c r="CG114" s="40"/>
    </row>
    <row r="115" s="18" customFormat="true" ht="28.35" hidden="false" customHeight="false" outlineLevel="0" collapsed="false">
      <c r="B115" s="58"/>
      <c r="C115" s="65"/>
      <c r="D115" s="65"/>
      <c r="E115" s="66"/>
      <c r="F115" s="63" t="s">
        <v>92</v>
      </c>
      <c r="G115" s="66"/>
      <c r="H115" s="24"/>
      <c r="I115" s="24" t="e">
        <f aca="false">AVERAGE(H115,J115)</f>
        <v>#DIV/0!</v>
      </c>
      <c r="J115" s="24"/>
      <c r="K115" s="34" t="s">
        <v>55</v>
      </c>
      <c r="L115" s="35"/>
      <c r="M115" s="34" t="s">
        <v>55</v>
      </c>
      <c r="N115" s="24" t="n">
        <v>37.583</v>
      </c>
      <c r="O115" s="24" t="n">
        <f aca="false">AVERAGE(N115,P115)</f>
        <v>37.898</v>
      </c>
      <c r="P115" s="24" t="n">
        <v>38.213</v>
      </c>
      <c r="Q115" s="34" t="s">
        <v>55</v>
      </c>
      <c r="R115" s="35"/>
      <c r="S115" s="34" t="s">
        <v>55</v>
      </c>
      <c r="T115" s="36" t="s">
        <v>55</v>
      </c>
      <c r="U115" s="37"/>
      <c r="V115" s="36" t="s">
        <v>55</v>
      </c>
      <c r="W115" s="34" t="s">
        <v>55</v>
      </c>
      <c r="X115" s="35"/>
      <c r="Y115" s="34" t="s">
        <v>55</v>
      </c>
      <c r="Z115" s="36" t="s">
        <v>55</v>
      </c>
      <c r="AA115" s="37"/>
      <c r="AB115" s="37" t="s">
        <v>55</v>
      </c>
      <c r="AC115" s="34" t="n">
        <v>60</v>
      </c>
      <c r="AD115" s="35" t="n">
        <f aca="false">AVERAGEA(AE115,AC115)</f>
        <v>75.05</v>
      </c>
      <c r="AE115" s="34" t="n">
        <v>90.1</v>
      </c>
      <c r="AF115" s="37" t="n">
        <v>50</v>
      </c>
      <c r="AG115" s="38" t="n">
        <f aca="false">AVERAGEA(AH115, AF115)</f>
        <v>35</v>
      </c>
      <c r="AH115" s="36" t="n">
        <v>20</v>
      </c>
      <c r="AI115" s="35" t="n">
        <v>0.83</v>
      </c>
      <c r="AJ115" s="35" t="n">
        <f aca="false">AVERAGEA(AK115, AI115)</f>
        <v>15.415</v>
      </c>
      <c r="AK115" s="34" t="n">
        <v>30</v>
      </c>
      <c r="AL115" s="37" t="n">
        <v>0.83</v>
      </c>
      <c r="AM115" s="38" t="n">
        <f aca="false">AVERAGEA(AN115, AL115)</f>
        <v>15.415</v>
      </c>
      <c r="AN115" s="36" t="n">
        <v>30</v>
      </c>
      <c r="AO115" s="34" t="n">
        <v>0.1</v>
      </c>
      <c r="AP115" s="64" t="n">
        <f aca="false">AVERAGEA(AQ115, AO115)</f>
        <v>0.55</v>
      </c>
      <c r="AQ115" s="34" t="n">
        <v>1</v>
      </c>
      <c r="AR115" s="37" t="n">
        <v>0.25</v>
      </c>
      <c r="AS115" s="37" t="n">
        <f aca="false">AVERAGEA(AT115, AR115)</f>
        <v>0.625</v>
      </c>
      <c r="AT115" s="36" t="n">
        <v>1</v>
      </c>
      <c r="AU115" s="34" t="n">
        <v>370</v>
      </c>
      <c r="AV115" s="35" t="n">
        <f aca="false">AVERAGEA(AW115, AU115)</f>
        <v>550</v>
      </c>
      <c r="AW115" s="34" t="n">
        <v>730</v>
      </c>
      <c r="AX115" s="37" t="n">
        <v>9</v>
      </c>
      <c r="AY115" s="37" t="n">
        <f aca="false">AVERAGEA(AZ115, AX115)</f>
        <v>16.5</v>
      </c>
      <c r="AZ115" s="36" t="n">
        <v>24</v>
      </c>
      <c r="BA115" s="34" t="n">
        <v>0.8</v>
      </c>
      <c r="BB115" s="35" t="n">
        <f aca="false">AVERAGEA(BC115, BA115)</f>
        <v>2.4</v>
      </c>
      <c r="BC115" s="34" t="n">
        <v>4</v>
      </c>
      <c r="BD115" s="37" t="n">
        <v>0.02</v>
      </c>
      <c r="BE115" s="37" t="n">
        <f aca="false">AVERAGEA(BD115,BF115)</f>
        <v>12.01</v>
      </c>
      <c r="BF115" s="36" t="n">
        <v>24</v>
      </c>
      <c r="BG115" s="34" t="n">
        <v>0.02</v>
      </c>
      <c r="BH115" s="35" t="n">
        <f aca="false">AVERAGEA(BG115,BI115)</f>
        <v>47.26</v>
      </c>
      <c r="BI115" s="34" t="n">
        <v>94.5</v>
      </c>
      <c r="BJ115" s="37" t="n">
        <v>0.06</v>
      </c>
      <c r="BK115" s="37" t="n">
        <f aca="false">AVERAGEA(BJ115,BL115)</f>
        <v>38.53</v>
      </c>
      <c r="BL115" s="36" t="n">
        <v>77</v>
      </c>
      <c r="BM115" s="34" t="n">
        <v>0.66</v>
      </c>
      <c r="BN115" s="35" t="n">
        <f aca="false">AVERAGEA(BO115, BM115)</f>
        <v>0.73</v>
      </c>
      <c r="BO115" s="34" t="n">
        <v>0.8</v>
      </c>
      <c r="BP115" s="37" t="n">
        <v>0</v>
      </c>
      <c r="BQ115" s="37" t="n">
        <f aca="false">AVERAGEA(BP115,BR115)</f>
        <v>15</v>
      </c>
      <c r="BR115" s="36" t="n">
        <v>30</v>
      </c>
      <c r="BS115" s="34" t="n">
        <v>0</v>
      </c>
      <c r="BT115" s="35" t="n">
        <f aca="false">AVERAGEA(BS115,BU115)</f>
        <v>0.25</v>
      </c>
      <c r="BU115" s="40" t="n">
        <v>0.5</v>
      </c>
      <c r="BV115" s="37" t="n">
        <v>0</v>
      </c>
      <c r="BW115" s="37" t="n">
        <f aca="false">AVERAGEA(BV115,BX115)</f>
        <v>0.5</v>
      </c>
      <c r="BX115" s="36" t="n">
        <v>1</v>
      </c>
      <c r="BY115" s="34"/>
      <c r="BZ115" s="35" t="e">
        <f aca="false">AVERAGEA(BY115,CA115)</f>
        <v>#DIV/0!</v>
      </c>
      <c r="CA115" s="40"/>
      <c r="CB115" s="37"/>
      <c r="CC115" s="37" t="e">
        <f aca="false">AVERAGEA(CB115,CD115)</f>
        <v>#DIV/0!</v>
      </c>
      <c r="CD115" s="36"/>
      <c r="CE115" s="34"/>
      <c r="CF115" s="35" t="e">
        <f aca="false">AVERAGEA(CE115,CG115)</f>
        <v>#DIV/0!</v>
      </c>
      <c r="CG115" s="40"/>
    </row>
    <row r="116" s="18" customFormat="true" ht="28.35" hidden="false" customHeight="false" outlineLevel="0" collapsed="false">
      <c r="B116" s="58"/>
      <c r="C116" s="65"/>
      <c r="D116" s="65"/>
      <c r="E116" s="66"/>
      <c r="F116" s="63" t="s">
        <v>93</v>
      </c>
      <c r="G116" s="66"/>
      <c r="H116" s="24"/>
      <c r="I116" s="24" t="e">
        <f aca="false">AVERAGE(H116,J116)</f>
        <v>#DIV/0!</v>
      </c>
      <c r="J116" s="24"/>
      <c r="K116" s="34" t="s">
        <v>55</v>
      </c>
      <c r="L116" s="35"/>
      <c r="M116" s="34" t="s">
        <v>55</v>
      </c>
      <c r="N116" s="24" t="n">
        <v>37.527</v>
      </c>
      <c r="O116" s="24" t="n">
        <f aca="false">AVERAGE(N116,P116)</f>
        <v>37.5515</v>
      </c>
      <c r="P116" s="24" t="n">
        <v>37.576</v>
      </c>
      <c r="Q116" s="34" t="s">
        <v>55</v>
      </c>
      <c r="R116" s="35"/>
      <c r="S116" s="34" t="s">
        <v>55</v>
      </c>
      <c r="T116" s="36" t="s">
        <v>55</v>
      </c>
      <c r="U116" s="37"/>
      <c r="V116" s="36" t="s">
        <v>55</v>
      </c>
      <c r="W116" s="34" t="s">
        <v>55</v>
      </c>
      <c r="X116" s="35"/>
      <c r="Y116" s="34" t="s">
        <v>55</v>
      </c>
      <c r="Z116" s="36" t="s">
        <v>55</v>
      </c>
      <c r="AA116" s="37"/>
      <c r="AB116" s="37" t="s">
        <v>55</v>
      </c>
      <c r="AC116" s="34" t="n">
        <v>60</v>
      </c>
      <c r="AD116" s="35" t="n">
        <f aca="false">AVERAGEA(AE116,AC116)</f>
        <v>75.05</v>
      </c>
      <c r="AE116" s="34" t="n">
        <v>90.1</v>
      </c>
      <c r="AF116" s="37" t="n">
        <v>50</v>
      </c>
      <c r="AG116" s="38" t="n">
        <f aca="false">AVERAGEA(AH116, AF116)</f>
        <v>35</v>
      </c>
      <c r="AH116" s="36" t="n">
        <v>20</v>
      </c>
      <c r="AI116" s="35" t="n">
        <v>0.83</v>
      </c>
      <c r="AJ116" s="35" t="n">
        <f aca="false">AVERAGEA(AK116, AI116)</f>
        <v>15.415</v>
      </c>
      <c r="AK116" s="34" t="n">
        <v>30</v>
      </c>
      <c r="AL116" s="37" t="n">
        <v>0.83</v>
      </c>
      <c r="AM116" s="38" t="n">
        <f aca="false">AVERAGEA(AN116, AL116)</f>
        <v>15.415</v>
      </c>
      <c r="AN116" s="36" t="n">
        <v>30</v>
      </c>
      <c r="AO116" s="34" t="n">
        <v>0.1</v>
      </c>
      <c r="AP116" s="64" t="n">
        <f aca="false">AVERAGEA(AQ116, AO116)</f>
        <v>0.55</v>
      </c>
      <c r="AQ116" s="34" t="n">
        <v>1</v>
      </c>
      <c r="AR116" s="37" t="n">
        <v>0.25</v>
      </c>
      <c r="AS116" s="37" t="n">
        <f aca="false">AVERAGEA(AT116, AR116)</f>
        <v>0.625</v>
      </c>
      <c r="AT116" s="36" t="n">
        <v>1</v>
      </c>
      <c r="AU116" s="34" t="n">
        <v>370</v>
      </c>
      <c r="AV116" s="35" t="n">
        <f aca="false">AVERAGEA(AW116, AU116)</f>
        <v>550</v>
      </c>
      <c r="AW116" s="34" t="n">
        <v>730</v>
      </c>
      <c r="AX116" s="37" t="n">
        <v>9</v>
      </c>
      <c r="AY116" s="37" t="n">
        <f aca="false">AVERAGEA(AZ116, AX116)</f>
        <v>16.5</v>
      </c>
      <c r="AZ116" s="36" t="n">
        <v>24</v>
      </c>
      <c r="BA116" s="34" t="n">
        <v>0.8</v>
      </c>
      <c r="BB116" s="35" t="n">
        <f aca="false">AVERAGEA(BC116, BA116)</f>
        <v>2.4</v>
      </c>
      <c r="BC116" s="34" t="n">
        <v>4</v>
      </c>
      <c r="BD116" s="37" t="n">
        <v>0.02</v>
      </c>
      <c r="BE116" s="37" t="n">
        <f aca="false">AVERAGEA(BD116,BF116)</f>
        <v>12.01</v>
      </c>
      <c r="BF116" s="36" t="n">
        <v>24</v>
      </c>
      <c r="BG116" s="34" t="n">
        <v>0.02</v>
      </c>
      <c r="BH116" s="35" t="n">
        <f aca="false">AVERAGEA(BG116,BI116)</f>
        <v>47.26</v>
      </c>
      <c r="BI116" s="34" t="n">
        <v>94.5</v>
      </c>
      <c r="BJ116" s="37" t="n">
        <v>0.06</v>
      </c>
      <c r="BK116" s="37" t="n">
        <f aca="false">AVERAGEA(BJ116,BL116)</f>
        <v>38.53</v>
      </c>
      <c r="BL116" s="36" t="n">
        <v>77</v>
      </c>
      <c r="BM116" s="34" t="n">
        <v>0.66</v>
      </c>
      <c r="BN116" s="35" t="n">
        <f aca="false">AVERAGEA(BO116, BM116)</f>
        <v>0.73</v>
      </c>
      <c r="BO116" s="34" t="n">
        <v>0.8</v>
      </c>
      <c r="BP116" s="37" t="n">
        <v>0</v>
      </c>
      <c r="BQ116" s="37" t="n">
        <f aca="false">AVERAGEA(BP116,BR116)</f>
        <v>15</v>
      </c>
      <c r="BR116" s="36" t="n">
        <v>30</v>
      </c>
      <c r="BS116" s="34" t="n">
        <v>0</v>
      </c>
      <c r="BT116" s="35" t="n">
        <f aca="false">AVERAGEA(BS116,BU116)</f>
        <v>0.25</v>
      </c>
      <c r="BU116" s="40" t="n">
        <v>0.5</v>
      </c>
      <c r="BV116" s="37" t="n">
        <v>0</v>
      </c>
      <c r="BW116" s="37" t="n">
        <f aca="false">AVERAGEA(BV116,BX116)</f>
        <v>0.5</v>
      </c>
      <c r="BX116" s="36" t="n">
        <v>1</v>
      </c>
      <c r="BY116" s="34"/>
      <c r="BZ116" s="35" t="e">
        <f aca="false">AVERAGEA(BY116,CA116)</f>
        <v>#DIV/0!</v>
      </c>
      <c r="CA116" s="40"/>
      <c r="CB116" s="37"/>
      <c r="CC116" s="37" t="e">
        <f aca="false">AVERAGEA(CB116,CD116)</f>
        <v>#DIV/0!</v>
      </c>
      <c r="CD116" s="36"/>
      <c r="CE116" s="34"/>
      <c r="CF116" s="35" t="e">
        <f aca="false">AVERAGEA(CE116,CG116)</f>
        <v>#DIV/0!</v>
      </c>
      <c r="CG116" s="40"/>
    </row>
    <row r="117" s="18" customFormat="true" ht="26.4" hidden="false" customHeight="true" outlineLevel="0" collapsed="false">
      <c r="B117" s="58"/>
      <c r="C117" s="65"/>
      <c r="D117" s="65"/>
      <c r="E117" s="66" t="s">
        <v>96</v>
      </c>
      <c r="F117" s="63" t="s">
        <v>89</v>
      </c>
      <c r="G117" s="66" t="s">
        <v>97</v>
      </c>
      <c r="H117" s="24"/>
      <c r="I117" s="24" t="e">
        <f aca="false">AVERAGE(H117,J117)</f>
        <v>#DIV/0!</v>
      </c>
      <c r="J117" s="24"/>
      <c r="K117" s="34" t="s">
        <v>55</v>
      </c>
      <c r="L117" s="35"/>
      <c r="M117" s="34" t="s">
        <v>55</v>
      </c>
      <c r="N117" s="24" t="n">
        <v>41.31</v>
      </c>
      <c r="O117" s="24" t="n">
        <f aca="false">AVERAGE(N117,P117)</f>
        <v>41.81</v>
      </c>
      <c r="P117" s="24" t="n">
        <v>42.31</v>
      </c>
      <c r="Q117" s="34" t="s">
        <v>55</v>
      </c>
      <c r="R117" s="35"/>
      <c r="S117" s="34" t="s">
        <v>55</v>
      </c>
      <c r="T117" s="36" t="s">
        <v>55</v>
      </c>
      <c r="U117" s="37"/>
      <c r="V117" s="36" t="s">
        <v>55</v>
      </c>
      <c r="W117" s="34" t="s">
        <v>55</v>
      </c>
      <c r="X117" s="35"/>
      <c r="Y117" s="34" t="s">
        <v>55</v>
      </c>
      <c r="Z117" s="36" t="s">
        <v>55</v>
      </c>
      <c r="AA117" s="37"/>
      <c r="AB117" s="37" t="s">
        <v>55</v>
      </c>
      <c r="AC117" s="34" t="n">
        <v>60</v>
      </c>
      <c r="AD117" s="35" t="n">
        <f aca="false">AVERAGEA(AE117,AC117)</f>
        <v>75.05</v>
      </c>
      <c r="AE117" s="34" t="n">
        <v>90.1</v>
      </c>
      <c r="AF117" s="37" t="n">
        <v>50</v>
      </c>
      <c r="AG117" s="38" t="n">
        <f aca="false">AVERAGEA(AH117, AF117)</f>
        <v>35</v>
      </c>
      <c r="AH117" s="36" t="n">
        <v>20</v>
      </c>
      <c r="AI117" s="35" t="n">
        <v>0.83</v>
      </c>
      <c r="AJ117" s="35" t="n">
        <f aca="false">AVERAGEA(AK117, AI117)</f>
        <v>15.415</v>
      </c>
      <c r="AK117" s="34" t="n">
        <v>30</v>
      </c>
      <c r="AL117" s="37" t="n">
        <v>0.83</v>
      </c>
      <c r="AM117" s="38" t="n">
        <f aca="false">AVERAGEA(AN117, AL117)</f>
        <v>15.415</v>
      </c>
      <c r="AN117" s="36" t="n">
        <v>30</v>
      </c>
      <c r="AO117" s="34" t="n">
        <v>0.1</v>
      </c>
      <c r="AP117" s="64" t="n">
        <f aca="false">AVERAGEA(AQ117, AO117)</f>
        <v>0.55</v>
      </c>
      <c r="AQ117" s="34" t="n">
        <v>1</v>
      </c>
      <c r="AR117" s="37" t="n">
        <v>0.25</v>
      </c>
      <c r="AS117" s="37" t="n">
        <f aca="false">AVERAGEA(AT117, AR117)</f>
        <v>0.625</v>
      </c>
      <c r="AT117" s="36" t="n">
        <v>1</v>
      </c>
      <c r="AU117" s="34" t="n">
        <v>370</v>
      </c>
      <c r="AV117" s="35" t="n">
        <f aca="false">AVERAGEA(AW117, AU117)</f>
        <v>550</v>
      </c>
      <c r="AW117" s="34" t="n">
        <v>730</v>
      </c>
      <c r="AX117" s="37" t="n">
        <v>9</v>
      </c>
      <c r="AY117" s="37" t="n">
        <f aca="false">AVERAGEA(AZ117, AX117)</f>
        <v>16.5</v>
      </c>
      <c r="AZ117" s="36" t="n">
        <v>24</v>
      </c>
      <c r="BA117" s="34" t="n">
        <v>0.8</v>
      </c>
      <c r="BB117" s="35" t="n">
        <f aca="false">AVERAGEA(BC117, BA117)</f>
        <v>2.4</v>
      </c>
      <c r="BC117" s="34" t="n">
        <v>4</v>
      </c>
      <c r="BD117" s="37" t="n">
        <v>0.02</v>
      </c>
      <c r="BE117" s="37" t="n">
        <f aca="false">AVERAGEA(BD117,BF117)</f>
        <v>12.01</v>
      </c>
      <c r="BF117" s="36" t="n">
        <v>24</v>
      </c>
      <c r="BG117" s="34" t="n">
        <v>0.02</v>
      </c>
      <c r="BH117" s="35" t="n">
        <f aca="false">AVERAGEA(BG117,BI117)</f>
        <v>47.26</v>
      </c>
      <c r="BI117" s="34" t="n">
        <v>94.5</v>
      </c>
      <c r="BJ117" s="37" t="n">
        <v>0.06</v>
      </c>
      <c r="BK117" s="37" t="n">
        <f aca="false">AVERAGEA(BJ117,BL117)</f>
        <v>38.53</v>
      </c>
      <c r="BL117" s="36" t="n">
        <v>77</v>
      </c>
      <c r="BM117" s="34" t="n">
        <v>0.66</v>
      </c>
      <c r="BN117" s="35" t="n">
        <f aca="false">AVERAGEA(BO117, BM117)</f>
        <v>0.73</v>
      </c>
      <c r="BO117" s="34" t="n">
        <v>0.8</v>
      </c>
      <c r="BP117" s="37" t="n">
        <v>0</v>
      </c>
      <c r="BQ117" s="37" t="n">
        <f aca="false">AVERAGEA(BP117,BR117)</f>
        <v>15</v>
      </c>
      <c r="BR117" s="36" t="n">
        <v>30</v>
      </c>
      <c r="BS117" s="34" t="n">
        <v>0</v>
      </c>
      <c r="BT117" s="35" t="n">
        <f aca="false">AVERAGEA(BS117,BU117)</f>
        <v>0.25</v>
      </c>
      <c r="BU117" s="40" t="n">
        <v>0.5</v>
      </c>
      <c r="BV117" s="37" t="n">
        <v>0</v>
      </c>
      <c r="BW117" s="37" t="n">
        <f aca="false">AVERAGEA(BV117,BX117)</f>
        <v>0.5</v>
      </c>
      <c r="BX117" s="36" t="n">
        <v>1</v>
      </c>
      <c r="BY117" s="34"/>
      <c r="BZ117" s="35" t="e">
        <f aca="false">AVERAGEA(BY117,CA117)</f>
        <v>#DIV/0!</v>
      </c>
      <c r="CA117" s="40"/>
      <c r="CB117" s="37"/>
      <c r="CC117" s="37" t="e">
        <f aca="false">AVERAGEA(CB117,CD117)</f>
        <v>#DIV/0!</v>
      </c>
      <c r="CD117" s="36"/>
      <c r="CE117" s="34"/>
      <c r="CF117" s="35" t="e">
        <f aca="false">AVERAGEA(CE117,CG117)</f>
        <v>#DIV/0!</v>
      </c>
      <c r="CG117" s="40"/>
    </row>
    <row r="118" s="18" customFormat="true" ht="28.35" hidden="false" customHeight="false" outlineLevel="0" collapsed="false">
      <c r="B118" s="58"/>
      <c r="C118" s="65"/>
      <c r="D118" s="65"/>
      <c r="E118" s="66"/>
      <c r="F118" s="63" t="s">
        <v>91</v>
      </c>
      <c r="G118" s="66"/>
      <c r="H118" s="24"/>
      <c r="I118" s="24" t="e">
        <f aca="false">AVERAGE(H118,J118)</f>
        <v>#DIV/0!</v>
      </c>
      <c r="J118" s="24"/>
      <c r="K118" s="34" t="s">
        <v>55</v>
      </c>
      <c r="L118" s="35"/>
      <c r="M118" s="34" t="s">
        <v>55</v>
      </c>
      <c r="N118" s="24" t="n">
        <v>40.31</v>
      </c>
      <c r="O118" s="24" t="n">
        <f aca="false">AVERAGE(N118,P118)</f>
        <v>40.808</v>
      </c>
      <c r="P118" s="24" t="n">
        <v>41.306</v>
      </c>
      <c r="Q118" s="34" t="s">
        <v>55</v>
      </c>
      <c r="R118" s="35"/>
      <c r="S118" s="34" t="s">
        <v>55</v>
      </c>
      <c r="T118" s="36" t="s">
        <v>55</v>
      </c>
      <c r="U118" s="37"/>
      <c r="V118" s="36" t="s">
        <v>55</v>
      </c>
      <c r="W118" s="34" t="s">
        <v>55</v>
      </c>
      <c r="X118" s="35"/>
      <c r="Y118" s="34" t="s">
        <v>55</v>
      </c>
      <c r="Z118" s="36" t="s">
        <v>55</v>
      </c>
      <c r="AA118" s="37"/>
      <c r="AB118" s="37" t="s">
        <v>55</v>
      </c>
      <c r="AC118" s="34" t="n">
        <v>60</v>
      </c>
      <c r="AD118" s="35" t="n">
        <f aca="false">AVERAGEA(AE118,AC118)</f>
        <v>75.05</v>
      </c>
      <c r="AE118" s="34" t="n">
        <v>90.1</v>
      </c>
      <c r="AF118" s="37" t="n">
        <v>50</v>
      </c>
      <c r="AG118" s="38" t="n">
        <f aca="false">AVERAGEA(AH118, AF118)</f>
        <v>35</v>
      </c>
      <c r="AH118" s="36" t="n">
        <v>20</v>
      </c>
      <c r="AI118" s="35" t="n">
        <v>0.83</v>
      </c>
      <c r="AJ118" s="35" t="n">
        <f aca="false">AVERAGEA(AK118, AI118)</f>
        <v>15.415</v>
      </c>
      <c r="AK118" s="34" t="n">
        <v>30</v>
      </c>
      <c r="AL118" s="37" t="n">
        <v>0.83</v>
      </c>
      <c r="AM118" s="38" t="n">
        <f aca="false">AVERAGEA(AN118, AL118)</f>
        <v>15.415</v>
      </c>
      <c r="AN118" s="36" t="n">
        <v>30</v>
      </c>
      <c r="AO118" s="34" t="n">
        <v>0.1</v>
      </c>
      <c r="AP118" s="64" t="n">
        <f aca="false">AVERAGEA(AQ118, AO118)</f>
        <v>0.55</v>
      </c>
      <c r="AQ118" s="34" t="n">
        <v>1</v>
      </c>
      <c r="AR118" s="37" t="n">
        <v>0.25</v>
      </c>
      <c r="AS118" s="37" t="n">
        <f aca="false">AVERAGEA(AT118, AR118)</f>
        <v>0.625</v>
      </c>
      <c r="AT118" s="36" t="n">
        <v>1</v>
      </c>
      <c r="AU118" s="34" t="n">
        <v>370</v>
      </c>
      <c r="AV118" s="35" t="n">
        <f aca="false">AVERAGEA(AW118, AU118)</f>
        <v>550</v>
      </c>
      <c r="AW118" s="34" t="n">
        <v>730</v>
      </c>
      <c r="AX118" s="37" t="n">
        <v>9</v>
      </c>
      <c r="AY118" s="37" t="n">
        <f aca="false">AVERAGEA(AZ118, AX118)</f>
        <v>16.5</v>
      </c>
      <c r="AZ118" s="36" t="n">
        <v>24</v>
      </c>
      <c r="BA118" s="34" t="n">
        <v>0.8</v>
      </c>
      <c r="BB118" s="35" t="n">
        <f aca="false">AVERAGEA(BC118, BA118)</f>
        <v>2.4</v>
      </c>
      <c r="BC118" s="34" t="n">
        <v>4</v>
      </c>
      <c r="BD118" s="37" t="n">
        <v>0.02</v>
      </c>
      <c r="BE118" s="37" t="n">
        <f aca="false">AVERAGEA(BD118,BF118)</f>
        <v>12.01</v>
      </c>
      <c r="BF118" s="36" t="n">
        <v>24</v>
      </c>
      <c r="BG118" s="34" t="n">
        <v>0.02</v>
      </c>
      <c r="BH118" s="35" t="n">
        <f aca="false">AVERAGEA(BG118,BI118)</f>
        <v>47.26</v>
      </c>
      <c r="BI118" s="34" t="n">
        <v>94.5</v>
      </c>
      <c r="BJ118" s="37" t="n">
        <v>0.06</v>
      </c>
      <c r="BK118" s="37" t="n">
        <f aca="false">AVERAGEA(BJ118,BL118)</f>
        <v>38.53</v>
      </c>
      <c r="BL118" s="36" t="n">
        <v>77</v>
      </c>
      <c r="BM118" s="34" t="n">
        <v>0.66</v>
      </c>
      <c r="BN118" s="35" t="n">
        <f aca="false">AVERAGEA(BO118, BM118)</f>
        <v>0.73</v>
      </c>
      <c r="BO118" s="34" t="n">
        <v>0.8</v>
      </c>
      <c r="BP118" s="37" t="n">
        <v>0</v>
      </c>
      <c r="BQ118" s="37" t="n">
        <f aca="false">AVERAGEA(BP118,BR118)</f>
        <v>15</v>
      </c>
      <c r="BR118" s="36" t="n">
        <v>30</v>
      </c>
      <c r="BS118" s="34" t="n">
        <v>0</v>
      </c>
      <c r="BT118" s="35" t="n">
        <f aca="false">AVERAGEA(BS118,BU118)</f>
        <v>0.25</v>
      </c>
      <c r="BU118" s="40" t="n">
        <v>0.5</v>
      </c>
      <c r="BV118" s="37" t="n">
        <v>0</v>
      </c>
      <c r="BW118" s="37" t="n">
        <f aca="false">AVERAGEA(BV118,BX118)</f>
        <v>0.5</v>
      </c>
      <c r="BX118" s="36" t="n">
        <v>1</v>
      </c>
      <c r="BY118" s="34"/>
      <c r="BZ118" s="35" t="e">
        <f aca="false">AVERAGEA(BY118,CA118)</f>
        <v>#DIV/0!</v>
      </c>
      <c r="CA118" s="40"/>
      <c r="CB118" s="37"/>
      <c r="CC118" s="37" t="e">
        <f aca="false">AVERAGEA(CB118,CD118)</f>
        <v>#DIV/0!</v>
      </c>
      <c r="CD118" s="36"/>
      <c r="CE118" s="34"/>
      <c r="CF118" s="35" t="e">
        <f aca="false">AVERAGEA(CE118,CG118)</f>
        <v>#DIV/0!</v>
      </c>
      <c r="CG118" s="40"/>
    </row>
    <row r="119" s="18" customFormat="true" ht="28.35" hidden="false" customHeight="false" outlineLevel="0" collapsed="false">
      <c r="B119" s="58"/>
      <c r="C119" s="65"/>
      <c r="D119" s="65"/>
      <c r="E119" s="66"/>
      <c r="F119" s="63" t="s">
        <v>92</v>
      </c>
      <c r="G119" s="66"/>
      <c r="H119" s="24"/>
      <c r="I119" s="24" t="e">
        <f aca="false">AVERAGE(H119,J119)</f>
        <v>#DIV/0!</v>
      </c>
      <c r="J119" s="24"/>
      <c r="K119" s="34" t="s">
        <v>55</v>
      </c>
      <c r="L119" s="35"/>
      <c r="M119" s="34" t="s">
        <v>55</v>
      </c>
      <c r="N119" s="24" t="n">
        <v>39.946</v>
      </c>
      <c r="O119" s="24" t="n">
        <f aca="false">AVERAGE(N119,P119)</f>
        <v>40.126</v>
      </c>
      <c r="P119" s="24" t="n">
        <v>40.306</v>
      </c>
      <c r="Q119" s="34" t="s">
        <v>55</v>
      </c>
      <c r="R119" s="35"/>
      <c r="S119" s="34" t="s">
        <v>55</v>
      </c>
      <c r="T119" s="36" t="s">
        <v>55</v>
      </c>
      <c r="U119" s="37"/>
      <c r="V119" s="36" t="s">
        <v>55</v>
      </c>
      <c r="W119" s="34" t="s">
        <v>55</v>
      </c>
      <c r="X119" s="35"/>
      <c r="Y119" s="34" t="s">
        <v>55</v>
      </c>
      <c r="Z119" s="36" t="s">
        <v>55</v>
      </c>
      <c r="AA119" s="37"/>
      <c r="AB119" s="37" t="s">
        <v>55</v>
      </c>
      <c r="AC119" s="34" t="n">
        <v>60</v>
      </c>
      <c r="AD119" s="35" t="n">
        <f aca="false">AVERAGEA(AE119,AC119)</f>
        <v>75.05</v>
      </c>
      <c r="AE119" s="34" t="n">
        <v>90.1</v>
      </c>
      <c r="AF119" s="37" t="n">
        <v>50</v>
      </c>
      <c r="AG119" s="38" t="n">
        <f aca="false">AVERAGEA(AH119, AF119)</f>
        <v>35</v>
      </c>
      <c r="AH119" s="36" t="n">
        <v>20</v>
      </c>
      <c r="AI119" s="35" t="n">
        <v>0.83</v>
      </c>
      <c r="AJ119" s="35" t="n">
        <f aca="false">AVERAGEA(AK119, AI119)</f>
        <v>15.415</v>
      </c>
      <c r="AK119" s="34" t="n">
        <v>30</v>
      </c>
      <c r="AL119" s="37" t="n">
        <v>0.83</v>
      </c>
      <c r="AM119" s="38" t="n">
        <f aca="false">AVERAGEA(AN119, AL119)</f>
        <v>15.415</v>
      </c>
      <c r="AN119" s="36" t="n">
        <v>30</v>
      </c>
      <c r="AO119" s="34" t="n">
        <v>0.1</v>
      </c>
      <c r="AP119" s="64" t="n">
        <f aca="false">AVERAGEA(AQ119, AO119)</f>
        <v>0.55</v>
      </c>
      <c r="AQ119" s="34" t="n">
        <v>1</v>
      </c>
      <c r="AR119" s="37" t="n">
        <v>0.25</v>
      </c>
      <c r="AS119" s="37" t="n">
        <f aca="false">AVERAGEA(AT119, AR119)</f>
        <v>0.625</v>
      </c>
      <c r="AT119" s="36" t="n">
        <v>1</v>
      </c>
      <c r="AU119" s="34" t="n">
        <v>370</v>
      </c>
      <c r="AV119" s="35" t="n">
        <f aca="false">AVERAGEA(AW119, AU119)</f>
        <v>550</v>
      </c>
      <c r="AW119" s="34" t="n">
        <v>730</v>
      </c>
      <c r="AX119" s="37" t="n">
        <v>9</v>
      </c>
      <c r="AY119" s="37" t="n">
        <f aca="false">AVERAGEA(AZ119, AX119)</f>
        <v>16.5</v>
      </c>
      <c r="AZ119" s="36" t="n">
        <v>24</v>
      </c>
      <c r="BA119" s="34" t="n">
        <v>0.8</v>
      </c>
      <c r="BB119" s="35" t="n">
        <f aca="false">AVERAGEA(BC119, BA119)</f>
        <v>2.4</v>
      </c>
      <c r="BC119" s="34" t="n">
        <v>4</v>
      </c>
      <c r="BD119" s="37" t="n">
        <v>0.02</v>
      </c>
      <c r="BE119" s="37" t="n">
        <f aca="false">AVERAGEA(BD119,BF119)</f>
        <v>12.01</v>
      </c>
      <c r="BF119" s="36" t="n">
        <v>24</v>
      </c>
      <c r="BG119" s="34" t="n">
        <v>0.02</v>
      </c>
      <c r="BH119" s="35" t="n">
        <f aca="false">AVERAGEA(BG119,BI119)</f>
        <v>47.26</v>
      </c>
      <c r="BI119" s="34" t="n">
        <v>94.5</v>
      </c>
      <c r="BJ119" s="37" t="n">
        <v>0.06</v>
      </c>
      <c r="BK119" s="37" t="n">
        <f aca="false">AVERAGEA(BJ119,BL119)</f>
        <v>38.53</v>
      </c>
      <c r="BL119" s="36" t="n">
        <v>77</v>
      </c>
      <c r="BM119" s="34" t="n">
        <v>0.66</v>
      </c>
      <c r="BN119" s="35" t="n">
        <f aca="false">AVERAGEA(BO119, BM119)</f>
        <v>0.73</v>
      </c>
      <c r="BO119" s="34" t="n">
        <v>0.8</v>
      </c>
      <c r="BP119" s="37" t="n">
        <v>0</v>
      </c>
      <c r="BQ119" s="37" t="n">
        <f aca="false">AVERAGEA(BP119,BR119)</f>
        <v>15</v>
      </c>
      <c r="BR119" s="36" t="n">
        <v>30</v>
      </c>
      <c r="BS119" s="34" t="n">
        <v>0</v>
      </c>
      <c r="BT119" s="35" t="n">
        <f aca="false">AVERAGEA(BS119,BU119)</f>
        <v>0.25</v>
      </c>
      <c r="BU119" s="40" t="n">
        <v>0.5</v>
      </c>
      <c r="BV119" s="37" t="n">
        <v>0</v>
      </c>
      <c r="BW119" s="37" t="n">
        <f aca="false">AVERAGEA(BV119,BX119)</f>
        <v>0.5</v>
      </c>
      <c r="BX119" s="36" t="n">
        <v>1</v>
      </c>
      <c r="BY119" s="34"/>
      <c r="BZ119" s="35" t="e">
        <f aca="false">AVERAGEA(BY119,CA119)</f>
        <v>#DIV/0!</v>
      </c>
      <c r="CA119" s="40"/>
      <c r="CB119" s="37"/>
      <c r="CC119" s="37" t="e">
        <f aca="false">AVERAGEA(CB119,CD119)</f>
        <v>#DIV/0!</v>
      </c>
      <c r="CD119" s="36"/>
      <c r="CE119" s="34"/>
      <c r="CF119" s="35" t="e">
        <f aca="false">AVERAGEA(CE119,CG119)</f>
        <v>#DIV/0!</v>
      </c>
      <c r="CG119" s="40"/>
    </row>
    <row r="120" s="18" customFormat="true" ht="28.35" hidden="false" customHeight="false" outlineLevel="0" collapsed="false">
      <c r="B120" s="58"/>
      <c r="C120" s="65"/>
      <c r="D120" s="65"/>
      <c r="E120" s="66"/>
      <c r="F120" s="63" t="s">
        <v>93</v>
      </c>
      <c r="G120" s="66"/>
      <c r="H120" s="24"/>
      <c r="I120" s="24" t="e">
        <f aca="false">AVERAGE(H120,J120)</f>
        <v>#DIV/0!</v>
      </c>
      <c r="J120" s="24"/>
      <c r="K120" s="34" t="s">
        <v>55</v>
      </c>
      <c r="L120" s="35"/>
      <c r="M120" s="34" t="s">
        <v>55</v>
      </c>
      <c r="N120" s="24" t="n">
        <v>39.914</v>
      </c>
      <c r="O120" s="24" t="n">
        <f aca="false">AVERAGE(N120,P120)</f>
        <v>39.928</v>
      </c>
      <c r="P120" s="24" t="n">
        <v>39.942</v>
      </c>
      <c r="Q120" s="34" t="s">
        <v>55</v>
      </c>
      <c r="R120" s="35"/>
      <c r="S120" s="34" t="s">
        <v>55</v>
      </c>
      <c r="T120" s="36" t="s">
        <v>55</v>
      </c>
      <c r="U120" s="37"/>
      <c r="V120" s="36" t="s">
        <v>55</v>
      </c>
      <c r="W120" s="34" t="s">
        <v>55</v>
      </c>
      <c r="X120" s="35"/>
      <c r="Y120" s="34" t="s">
        <v>55</v>
      </c>
      <c r="Z120" s="36" t="s">
        <v>55</v>
      </c>
      <c r="AA120" s="37"/>
      <c r="AB120" s="37" t="s">
        <v>55</v>
      </c>
      <c r="AC120" s="34" t="n">
        <v>60</v>
      </c>
      <c r="AD120" s="35" t="n">
        <f aca="false">AVERAGEA(AE120,AC120)</f>
        <v>75.05</v>
      </c>
      <c r="AE120" s="34" t="n">
        <v>90.1</v>
      </c>
      <c r="AF120" s="37" t="n">
        <v>50</v>
      </c>
      <c r="AG120" s="38" t="n">
        <f aca="false">AVERAGEA(AH120, AF120)</f>
        <v>35</v>
      </c>
      <c r="AH120" s="36" t="n">
        <v>20</v>
      </c>
      <c r="AI120" s="35" t="n">
        <v>0.83</v>
      </c>
      <c r="AJ120" s="35" t="n">
        <f aca="false">AVERAGEA(AK120, AI120)</f>
        <v>15.415</v>
      </c>
      <c r="AK120" s="34" t="n">
        <v>30</v>
      </c>
      <c r="AL120" s="37" t="n">
        <v>0.83</v>
      </c>
      <c r="AM120" s="38" t="n">
        <f aca="false">AVERAGEA(AN120, AL120)</f>
        <v>15.415</v>
      </c>
      <c r="AN120" s="36" t="n">
        <v>30</v>
      </c>
      <c r="AO120" s="34" t="n">
        <v>0.1</v>
      </c>
      <c r="AP120" s="64" t="n">
        <f aca="false">AVERAGEA(AQ120, AO120)</f>
        <v>0.55</v>
      </c>
      <c r="AQ120" s="34" t="n">
        <v>1</v>
      </c>
      <c r="AR120" s="37" t="n">
        <v>0.25</v>
      </c>
      <c r="AS120" s="37" t="n">
        <f aca="false">AVERAGEA(AT120, AR120)</f>
        <v>0.625</v>
      </c>
      <c r="AT120" s="36" t="n">
        <v>1</v>
      </c>
      <c r="AU120" s="34" t="n">
        <v>370</v>
      </c>
      <c r="AV120" s="35" t="n">
        <f aca="false">AVERAGEA(AW120, AU120)</f>
        <v>550</v>
      </c>
      <c r="AW120" s="34" t="n">
        <v>730</v>
      </c>
      <c r="AX120" s="37" t="n">
        <v>9</v>
      </c>
      <c r="AY120" s="37" t="n">
        <f aca="false">AVERAGEA(AZ120, AX120)</f>
        <v>16.5</v>
      </c>
      <c r="AZ120" s="36" t="n">
        <v>24</v>
      </c>
      <c r="BA120" s="34" t="n">
        <v>0.8</v>
      </c>
      <c r="BB120" s="35" t="n">
        <f aca="false">AVERAGEA(BC120, BA120)</f>
        <v>2.4</v>
      </c>
      <c r="BC120" s="34" t="n">
        <v>4</v>
      </c>
      <c r="BD120" s="37" t="n">
        <v>0.02</v>
      </c>
      <c r="BE120" s="37" t="n">
        <f aca="false">AVERAGEA(BD120,BF120)</f>
        <v>12.01</v>
      </c>
      <c r="BF120" s="36" t="n">
        <v>24</v>
      </c>
      <c r="BG120" s="34" t="n">
        <v>0.02</v>
      </c>
      <c r="BH120" s="35" t="n">
        <f aca="false">AVERAGEA(BG120,BI120)</f>
        <v>47.26</v>
      </c>
      <c r="BI120" s="34" t="n">
        <v>94.5</v>
      </c>
      <c r="BJ120" s="37" t="n">
        <v>0.06</v>
      </c>
      <c r="BK120" s="37" t="n">
        <f aca="false">AVERAGEA(BJ120,BL120)</f>
        <v>38.53</v>
      </c>
      <c r="BL120" s="36" t="n">
        <v>77</v>
      </c>
      <c r="BM120" s="34" t="n">
        <v>0.66</v>
      </c>
      <c r="BN120" s="35" t="n">
        <f aca="false">AVERAGEA(BO120, BM120)</f>
        <v>0.73</v>
      </c>
      <c r="BO120" s="34" t="n">
        <v>0.8</v>
      </c>
      <c r="BP120" s="37" t="n">
        <v>0</v>
      </c>
      <c r="BQ120" s="37" t="n">
        <f aca="false">AVERAGEA(BP120,BR120)</f>
        <v>15</v>
      </c>
      <c r="BR120" s="36" t="n">
        <v>30</v>
      </c>
      <c r="BS120" s="34" t="n">
        <v>0</v>
      </c>
      <c r="BT120" s="35" t="n">
        <f aca="false">AVERAGEA(BS120,BU120)</f>
        <v>0.25</v>
      </c>
      <c r="BU120" s="40" t="n">
        <v>0.5</v>
      </c>
      <c r="BV120" s="37" t="n">
        <v>0</v>
      </c>
      <c r="BW120" s="37" t="n">
        <f aca="false">AVERAGEA(BV120,BX120)</f>
        <v>0.5</v>
      </c>
      <c r="BX120" s="36" t="n">
        <v>1</v>
      </c>
      <c r="BY120" s="34"/>
      <c r="BZ120" s="35" t="e">
        <f aca="false">AVERAGEA(BY120,CA120)</f>
        <v>#DIV/0!</v>
      </c>
      <c r="CA120" s="40"/>
      <c r="CB120" s="37"/>
      <c r="CC120" s="37" t="e">
        <f aca="false">AVERAGEA(CB120,CD120)</f>
        <v>#DIV/0!</v>
      </c>
      <c r="CD120" s="36"/>
      <c r="CE120" s="34"/>
      <c r="CF120" s="35" t="e">
        <f aca="false">AVERAGEA(CE120,CG120)</f>
        <v>#DIV/0!</v>
      </c>
      <c r="CG120" s="40"/>
    </row>
    <row r="121" s="18" customFormat="true" ht="28.35" hidden="false" customHeight="false" outlineLevel="0" collapsed="false">
      <c r="B121" s="58"/>
      <c r="C121" s="65" t="s">
        <v>102</v>
      </c>
      <c r="D121" s="68"/>
      <c r="E121" s="67"/>
      <c r="F121" s="63" t="s">
        <v>89</v>
      </c>
      <c r="G121" s="69"/>
      <c r="H121" s="37"/>
      <c r="I121" s="24" t="e">
        <f aca="false">AVERAGE(H121,J121)</f>
        <v>#DIV/0!</v>
      </c>
      <c r="J121" s="37"/>
      <c r="K121" s="34" t="s">
        <v>55</v>
      </c>
      <c r="L121" s="35"/>
      <c r="M121" s="34" t="s">
        <v>55</v>
      </c>
      <c r="N121" s="37" t="n">
        <v>33</v>
      </c>
      <c r="O121" s="24" t="n">
        <f aca="false">AVERAGE(N121,P121)</f>
        <v>40</v>
      </c>
      <c r="P121" s="37" t="n">
        <v>47</v>
      </c>
      <c r="Q121" s="34" t="s">
        <v>55</v>
      </c>
      <c r="R121" s="35"/>
      <c r="S121" s="34" t="s">
        <v>55</v>
      </c>
      <c r="T121" s="36" t="s">
        <v>55</v>
      </c>
      <c r="U121" s="37"/>
      <c r="V121" s="36" t="s">
        <v>55</v>
      </c>
      <c r="W121" s="34" t="s">
        <v>55</v>
      </c>
      <c r="X121" s="35"/>
      <c r="Y121" s="34" t="s">
        <v>55</v>
      </c>
      <c r="Z121" s="36" t="s">
        <v>55</v>
      </c>
      <c r="AA121" s="37"/>
      <c r="AB121" s="37" t="s">
        <v>55</v>
      </c>
      <c r="AC121" s="34" t="n">
        <v>60</v>
      </c>
      <c r="AD121" s="35" t="n">
        <f aca="false">AVERAGEA(AE121,AC121)</f>
        <v>74.5</v>
      </c>
      <c r="AE121" s="34" t="n">
        <v>89</v>
      </c>
      <c r="AF121" s="37" t="n">
        <v>40</v>
      </c>
      <c r="AG121" s="38" t="n">
        <f aca="false">AVERAGEA(AH121, AF121)</f>
        <v>40</v>
      </c>
      <c r="AH121" s="36" t="n">
        <v>40</v>
      </c>
      <c r="AI121" s="34" t="n">
        <v>0.58</v>
      </c>
      <c r="AJ121" s="35" t="n">
        <f aca="false">AVERAGEA(AK121, AI121)</f>
        <v>3.79</v>
      </c>
      <c r="AK121" s="34" t="n">
        <v>7</v>
      </c>
      <c r="AL121" s="37" t="n">
        <v>0.58</v>
      </c>
      <c r="AM121" s="38" t="n">
        <f aca="false">AVERAGEA(AN121, AL121)</f>
        <v>3.79</v>
      </c>
      <c r="AN121" s="36" t="n">
        <v>7</v>
      </c>
      <c r="AO121" s="34" t="n">
        <v>0.25</v>
      </c>
      <c r="AP121" s="64" t="n">
        <f aca="false">AVERAGEA(AQ121, AO121)</f>
        <v>3.125</v>
      </c>
      <c r="AQ121" s="34" t="n">
        <v>6</v>
      </c>
      <c r="AR121" s="37" t="n">
        <v>1</v>
      </c>
      <c r="AS121" s="37" t="n">
        <f aca="false">AVERAGEA(AT121, AR121)</f>
        <v>3.5</v>
      </c>
      <c r="AT121" s="36" t="n">
        <v>6</v>
      </c>
      <c r="AU121" s="34" t="n">
        <v>920</v>
      </c>
      <c r="AV121" s="35" t="n">
        <f aca="false">AVERAGEA(AW121, AU121)</f>
        <v>920</v>
      </c>
      <c r="AW121" s="34" t="n">
        <v>920</v>
      </c>
      <c r="AX121" s="37" t="n">
        <v>16.6</v>
      </c>
      <c r="AY121" s="37" t="n">
        <f aca="false">AVERAGEA(AZ121, AX121)</f>
        <v>16.6</v>
      </c>
      <c r="AZ121" s="36" t="n">
        <v>16.6</v>
      </c>
      <c r="BA121" s="45" t="n">
        <v>1.5</v>
      </c>
      <c r="BB121" s="45" t="n">
        <f aca="false">AVERAGEA(BC121, BA121)</f>
        <v>1.8</v>
      </c>
      <c r="BC121" s="45" t="n">
        <v>2.1</v>
      </c>
      <c r="BD121" s="43" t="s">
        <v>68</v>
      </c>
      <c r="BE121" s="43"/>
      <c r="BF121" s="43" t="s">
        <v>68</v>
      </c>
      <c r="BG121" s="45" t="s">
        <v>69</v>
      </c>
      <c r="BH121" s="45"/>
      <c r="BI121" s="45" t="s">
        <v>69</v>
      </c>
      <c r="BJ121" s="37" t="n">
        <v>40</v>
      </c>
      <c r="BK121" s="37" t="n">
        <f aca="false">AVERAGEA(BJ121,BL121)</f>
        <v>40</v>
      </c>
      <c r="BL121" s="36" t="n">
        <v>40</v>
      </c>
      <c r="BM121" s="45" t="n">
        <v>1.17</v>
      </c>
      <c r="BN121" s="45" t="n">
        <f aca="false">AVERAGEA(BO121, BM121)</f>
        <v>1.17</v>
      </c>
      <c r="BO121" s="45" t="n">
        <v>1.17</v>
      </c>
      <c r="BP121" s="43" t="s">
        <v>68</v>
      </c>
      <c r="BQ121" s="37"/>
      <c r="BR121" s="43" t="s">
        <v>68</v>
      </c>
      <c r="BS121" s="45" t="n">
        <v>1</v>
      </c>
      <c r="BT121" s="35" t="n">
        <f aca="false">AVERAGEA(BS121,BU121)</f>
        <v>1</v>
      </c>
      <c r="BU121" s="46" t="n">
        <v>1</v>
      </c>
      <c r="BV121" s="43" t="n">
        <v>2</v>
      </c>
      <c r="BW121" s="37" t="n">
        <f aca="false">AVERAGEA(BV121,BX121)</f>
        <v>2</v>
      </c>
      <c r="BX121" s="43" t="n">
        <v>2</v>
      </c>
      <c r="BY121" s="45"/>
      <c r="BZ121" s="35" t="e">
        <f aca="false">AVERAGEA(BY121,CA121)</f>
        <v>#DIV/0!</v>
      </c>
      <c r="CA121" s="46"/>
      <c r="CB121" s="43"/>
      <c r="CC121" s="37" t="e">
        <f aca="false">AVERAGEA(CB121,CD121)</f>
        <v>#DIV/0!</v>
      </c>
      <c r="CD121" s="43"/>
      <c r="CE121" s="45"/>
      <c r="CF121" s="35" t="e">
        <f aca="false">AVERAGEA(CE121,CG121)</f>
        <v>#DIV/0!</v>
      </c>
      <c r="CG121" s="46"/>
    </row>
    <row r="122" s="18" customFormat="true" ht="28.35" hidden="false" customHeight="false" outlineLevel="0" collapsed="false">
      <c r="B122" s="58"/>
      <c r="C122" s="65"/>
      <c r="D122" s="65"/>
      <c r="E122" s="67"/>
      <c r="F122" s="63" t="s">
        <v>91</v>
      </c>
      <c r="G122" s="69"/>
      <c r="H122" s="37"/>
      <c r="I122" s="24" t="e">
        <f aca="false">AVERAGE(H122,J122)</f>
        <v>#DIV/0!</v>
      </c>
      <c r="J122" s="37"/>
      <c r="K122" s="34" t="s">
        <v>55</v>
      </c>
      <c r="L122" s="35"/>
      <c r="M122" s="34" t="s">
        <v>55</v>
      </c>
      <c r="N122" s="37" t="n">
        <v>33</v>
      </c>
      <c r="O122" s="24" t="n">
        <f aca="false">AVERAGE(N122,P122)</f>
        <v>40</v>
      </c>
      <c r="P122" s="37" t="n">
        <v>47</v>
      </c>
      <c r="Q122" s="34" t="s">
        <v>55</v>
      </c>
      <c r="R122" s="35"/>
      <c r="S122" s="34" t="s">
        <v>55</v>
      </c>
      <c r="T122" s="36" t="s">
        <v>55</v>
      </c>
      <c r="U122" s="37"/>
      <c r="V122" s="36" t="s">
        <v>55</v>
      </c>
      <c r="W122" s="34" t="s">
        <v>55</v>
      </c>
      <c r="X122" s="35"/>
      <c r="Y122" s="34" t="s">
        <v>55</v>
      </c>
      <c r="Z122" s="36" t="s">
        <v>55</v>
      </c>
      <c r="AA122" s="37"/>
      <c r="AB122" s="37" t="s">
        <v>55</v>
      </c>
      <c r="AC122" s="34" t="n">
        <v>60</v>
      </c>
      <c r="AD122" s="35" t="n">
        <f aca="false">AVERAGEA(AE122,AC122)</f>
        <v>74.5</v>
      </c>
      <c r="AE122" s="34" t="n">
        <v>89</v>
      </c>
      <c r="AF122" s="37" t="n">
        <v>40</v>
      </c>
      <c r="AG122" s="38" t="n">
        <f aca="false">AVERAGEA(AH122, AF122)</f>
        <v>40</v>
      </c>
      <c r="AH122" s="36" t="n">
        <v>40</v>
      </c>
      <c r="AI122" s="34" t="n">
        <v>0.58</v>
      </c>
      <c r="AJ122" s="35" t="n">
        <f aca="false">AVERAGEA(AK122, AI122)</f>
        <v>3.79</v>
      </c>
      <c r="AK122" s="34" t="n">
        <v>7</v>
      </c>
      <c r="AL122" s="37" t="n">
        <v>0.58</v>
      </c>
      <c r="AM122" s="38" t="n">
        <f aca="false">AVERAGEA(AN122, AL122)</f>
        <v>3.79</v>
      </c>
      <c r="AN122" s="36" t="n">
        <v>7</v>
      </c>
      <c r="AO122" s="34" t="n">
        <v>0.25</v>
      </c>
      <c r="AP122" s="64" t="n">
        <f aca="false">AVERAGEA(AQ122, AO122)</f>
        <v>3.125</v>
      </c>
      <c r="AQ122" s="34" t="n">
        <v>6</v>
      </c>
      <c r="AR122" s="37" t="n">
        <v>1</v>
      </c>
      <c r="AS122" s="37" t="n">
        <f aca="false">AVERAGEA(AT122, AR122)</f>
        <v>3.5</v>
      </c>
      <c r="AT122" s="36" t="n">
        <v>6</v>
      </c>
      <c r="AU122" s="34" t="n">
        <v>920</v>
      </c>
      <c r="AV122" s="35" t="n">
        <f aca="false">AVERAGEA(AW122, AU122)</f>
        <v>920</v>
      </c>
      <c r="AW122" s="34" t="n">
        <v>920</v>
      </c>
      <c r="AX122" s="37" t="n">
        <v>16.6</v>
      </c>
      <c r="AY122" s="37" t="n">
        <f aca="false">AVERAGEA(AZ122, AX122)</f>
        <v>16.6</v>
      </c>
      <c r="AZ122" s="36" t="n">
        <v>16.6</v>
      </c>
      <c r="BA122" s="45" t="n">
        <v>1.5</v>
      </c>
      <c r="BB122" s="45" t="n">
        <f aca="false">AVERAGEA(BC122, BA122)</f>
        <v>1.8</v>
      </c>
      <c r="BC122" s="45" t="n">
        <v>2.1</v>
      </c>
      <c r="BD122" s="43" t="s">
        <v>68</v>
      </c>
      <c r="BE122" s="43"/>
      <c r="BF122" s="43" t="s">
        <v>68</v>
      </c>
      <c r="BG122" s="45" t="s">
        <v>69</v>
      </c>
      <c r="BH122" s="45"/>
      <c r="BI122" s="45" t="s">
        <v>69</v>
      </c>
      <c r="BJ122" s="37" t="n">
        <v>40</v>
      </c>
      <c r="BK122" s="37" t="n">
        <f aca="false">AVERAGEA(BJ122,BL122)</f>
        <v>40</v>
      </c>
      <c r="BL122" s="36" t="n">
        <v>40</v>
      </c>
      <c r="BM122" s="45" t="n">
        <v>1.17</v>
      </c>
      <c r="BN122" s="45" t="n">
        <f aca="false">AVERAGEA(BO122, BM122)</f>
        <v>1.17</v>
      </c>
      <c r="BO122" s="45" t="n">
        <v>1.17</v>
      </c>
      <c r="BP122" s="43" t="s">
        <v>68</v>
      </c>
      <c r="BQ122" s="37"/>
      <c r="BR122" s="43" t="s">
        <v>68</v>
      </c>
      <c r="BS122" s="45" t="n">
        <v>1</v>
      </c>
      <c r="BT122" s="35" t="n">
        <f aca="false">AVERAGEA(BS122,BU122)</f>
        <v>1</v>
      </c>
      <c r="BU122" s="46" t="n">
        <v>1</v>
      </c>
      <c r="BV122" s="43" t="n">
        <v>2</v>
      </c>
      <c r="BW122" s="37" t="n">
        <f aca="false">AVERAGEA(BV122,BX122)</f>
        <v>2</v>
      </c>
      <c r="BX122" s="43" t="n">
        <v>2</v>
      </c>
      <c r="BY122" s="45"/>
      <c r="BZ122" s="35" t="e">
        <f aca="false">AVERAGEA(BY122,CA122)</f>
        <v>#DIV/0!</v>
      </c>
      <c r="CA122" s="46"/>
      <c r="CB122" s="43"/>
      <c r="CC122" s="37" t="e">
        <f aca="false">AVERAGEA(CB122,CD122)</f>
        <v>#DIV/0!</v>
      </c>
      <c r="CD122" s="43"/>
      <c r="CE122" s="45"/>
      <c r="CF122" s="35" t="e">
        <f aca="false">AVERAGEA(CE122,CG122)</f>
        <v>#DIV/0!</v>
      </c>
      <c r="CG122" s="46"/>
    </row>
    <row r="123" s="18" customFormat="true" ht="28.35" hidden="false" customHeight="false" outlineLevel="0" collapsed="false">
      <c r="B123" s="58"/>
      <c r="C123" s="65"/>
      <c r="D123" s="65"/>
      <c r="E123" s="67"/>
      <c r="F123" s="63" t="s">
        <v>92</v>
      </c>
      <c r="G123" s="69"/>
      <c r="H123" s="37"/>
      <c r="I123" s="24" t="e">
        <f aca="false">AVERAGE(H123,J123)</f>
        <v>#DIV/0!</v>
      </c>
      <c r="J123" s="37"/>
      <c r="K123" s="34" t="s">
        <v>55</v>
      </c>
      <c r="L123" s="35"/>
      <c r="M123" s="34" t="s">
        <v>55</v>
      </c>
      <c r="N123" s="37" t="n">
        <v>33</v>
      </c>
      <c r="O123" s="24" t="n">
        <f aca="false">AVERAGE(N123,P123)</f>
        <v>40</v>
      </c>
      <c r="P123" s="37" t="n">
        <v>47</v>
      </c>
      <c r="Q123" s="34" t="s">
        <v>55</v>
      </c>
      <c r="R123" s="35"/>
      <c r="S123" s="34" t="s">
        <v>55</v>
      </c>
      <c r="T123" s="36" t="s">
        <v>55</v>
      </c>
      <c r="U123" s="37"/>
      <c r="V123" s="36" t="s">
        <v>55</v>
      </c>
      <c r="W123" s="34" t="s">
        <v>55</v>
      </c>
      <c r="X123" s="35"/>
      <c r="Y123" s="34" t="s">
        <v>55</v>
      </c>
      <c r="Z123" s="36" t="s">
        <v>55</v>
      </c>
      <c r="AA123" s="37"/>
      <c r="AB123" s="37" t="s">
        <v>55</v>
      </c>
      <c r="AC123" s="34" t="n">
        <v>60</v>
      </c>
      <c r="AD123" s="35" t="n">
        <f aca="false">AVERAGEA(AE123,AC123)</f>
        <v>74.5</v>
      </c>
      <c r="AE123" s="34" t="n">
        <v>89</v>
      </c>
      <c r="AF123" s="37" t="n">
        <v>40</v>
      </c>
      <c r="AG123" s="38" t="n">
        <f aca="false">AVERAGEA(AH123, AF123)</f>
        <v>40</v>
      </c>
      <c r="AH123" s="36" t="n">
        <v>40</v>
      </c>
      <c r="AI123" s="34" t="n">
        <v>0.58</v>
      </c>
      <c r="AJ123" s="35" t="n">
        <f aca="false">AVERAGEA(AK123, AI123)</f>
        <v>3.79</v>
      </c>
      <c r="AK123" s="34" t="n">
        <v>7</v>
      </c>
      <c r="AL123" s="37" t="n">
        <v>0.58</v>
      </c>
      <c r="AM123" s="37" t="n">
        <f aca="false">AVERAGEA(AN123, AL123)</f>
        <v>3.79</v>
      </c>
      <c r="AN123" s="36" t="n">
        <v>7</v>
      </c>
      <c r="AO123" s="34" t="n">
        <v>0.25</v>
      </c>
      <c r="AP123" s="64" t="n">
        <f aca="false">AVERAGEA(AQ123, AO123)</f>
        <v>3.125</v>
      </c>
      <c r="AQ123" s="34" t="n">
        <v>6</v>
      </c>
      <c r="AR123" s="37" t="n">
        <v>1</v>
      </c>
      <c r="AS123" s="37" t="n">
        <f aca="false">AVERAGEA(AT123, AR123)</f>
        <v>3.5</v>
      </c>
      <c r="AT123" s="36" t="n">
        <v>6</v>
      </c>
      <c r="AU123" s="34" t="n">
        <v>920</v>
      </c>
      <c r="AV123" s="35" t="n">
        <f aca="false">AVERAGEA(AW123, AU123)</f>
        <v>920</v>
      </c>
      <c r="AW123" s="34" t="n">
        <v>920</v>
      </c>
      <c r="AX123" s="37" t="n">
        <v>16.6</v>
      </c>
      <c r="AY123" s="37" t="n">
        <f aca="false">AVERAGEA(AZ123, AX123)</f>
        <v>16.6</v>
      </c>
      <c r="AZ123" s="36" t="n">
        <v>16.6</v>
      </c>
      <c r="BA123" s="45" t="n">
        <v>1.5</v>
      </c>
      <c r="BB123" s="45" t="n">
        <f aca="false">AVERAGEA(BC123, BA123)</f>
        <v>1.8</v>
      </c>
      <c r="BC123" s="45" t="n">
        <v>2.1</v>
      </c>
      <c r="BD123" s="43" t="s">
        <v>68</v>
      </c>
      <c r="BE123" s="43"/>
      <c r="BF123" s="43" t="s">
        <v>68</v>
      </c>
      <c r="BG123" s="45" t="s">
        <v>69</v>
      </c>
      <c r="BH123" s="45"/>
      <c r="BI123" s="45" t="s">
        <v>69</v>
      </c>
      <c r="BJ123" s="37" t="n">
        <v>40</v>
      </c>
      <c r="BK123" s="37" t="n">
        <f aca="false">AVERAGEA(BJ123,BL123)</f>
        <v>40</v>
      </c>
      <c r="BL123" s="36" t="n">
        <v>40</v>
      </c>
      <c r="BM123" s="45" t="n">
        <v>1.17</v>
      </c>
      <c r="BN123" s="45" t="n">
        <f aca="false">AVERAGEA(BO123, BM123)</f>
        <v>1.17</v>
      </c>
      <c r="BO123" s="45" t="n">
        <v>1.17</v>
      </c>
      <c r="BP123" s="43" t="s">
        <v>68</v>
      </c>
      <c r="BQ123" s="37"/>
      <c r="BR123" s="43" t="s">
        <v>68</v>
      </c>
      <c r="BS123" s="45" t="n">
        <v>1</v>
      </c>
      <c r="BT123" s="35" t="n">
        <f aca="false">AVERAGEA(BS123,BU123)</f>
        <v>1</v>
      </c>
      <c r="BU123" s="46" t="n">
        <v>1</v>
      </c>
      <c r="BV123" s="43" t="n">
        <v>2</v>
      </c>
      <c r="BW123" s="37" t="n">
        <f aca="false">AVERAGEA(BV123,BX123)</f>
        <v>2</v>
      </c>
      <c r="BX123" s="43" t="n">
        <v>2</v>
      </c>
      <c r="BY123" s="45"/>
      <c r="BZ123" s="35" t="e">
        <f aca="false">AVERAGEA(BY123,CA123)</f>
        <v>#DIV/0!</v>
      </c>
      <c r="CA123" s="46"/>
      <c r="CB123" s="43"/>
      <c r="CC123" s="37" t="e">
        <f aca="false">AVERAGEA(CB123,CD123)</f>
        <v>#DIV/0!</v>
      </c>
      <c r="CD123" s="43"/>
      <c r="CE123" s="45"/>
      <c r="CF123" s="35" t="e">
        <f aca="false">AVERAGEA(CE123,CG123)</f>
        <v>#DIV/0!</v>
      </c>
      <c r="CG123" s="46"/>
    </row>
    <row r="124" s="18" customFormat="true" ht="28.35" hidden="false" customHeight="false" outlineLevel="0" collapsed="false">
      <c r="B124" s="58"/>
      <c r="C124" s="65"/>
      <c r="D124" s="65"/>
      <c r="E124" s="67"/>
      <c r="F124" s="63" t="s">
        <v>93</v>
      </c>
      <c r="G124" s="69"/>
      <c r="H124" s="37"/>
      <c r="I124" s="24" t="e">
        <f aca="false">AVERAGE(H124,J124)</f>
        <v>#DIV/0!</v>
      </c>
      <c r="J124" s="37"/>
      <c r="K124" s="34" t="s">
        <v>55</v>
      </c>
      <c r="L124" s="35"/>
      <c r="M124" s="34" t="s">
        <v>55</v>
      </c>
      <c r="N124" s="37" t="n">
        <v>33</v>
      </c>
      <c r="O124" s="24" t="n">
        <f aca="false">AVERAGE(N124,P124)</f>
        <v>40</v>
      </c>
      <c r="P124" s="37" t="n">
        <v>47</v>
      </c>
      <c r="Q124" s="34" t="s">
        <v>55</v>
      </c>
      <c r="R124" s="35"/>
      <c r="S124" s="34" t="s">
        <v>55</v>
      </c>
      <c r="T124" s="36" t="s">
        <v>55</v>
      </c>
      <c r="U124" s="37"/>
      <c r="V124" s="36" t="s">
        <v>55</v>
      </c>
      <c r="W124" s="34" t="s">
        <v>55</v>
      </c>
      <c r="X124" s="35"/>
      <c r="Y124" s="34" t="s">
        <v>55</v>
      </c>
      <c r="Z124" s="36" t="s">
        <v>55</v>
      </c>
      <c r="AA124" s="37"/>
      <c r="AB124" s="37" t="s">
        <v>55</v>
      </c>
      <c r="AC124" s="34" t="n">
        <v>60</v>
      </c>
      <c r="AD124" s="35" t="n">
        <f aca="false">AVERAGEA(AE124,AC124)</f>
        <v>74.5</v>
      </c>
      <c r="AE124" s="34" t="n">
        <v>89</v>
      </c>
      <c r="AF124" s="37" t="n">
        <v>40</v>
      </c>
      <c r="AG124" s="37" t="n">
        <f aca="false">AVERAGEA(AH124, AF124)</f>
        <v>40</v>
      </c>
      <c r="AH124" s="36" t="n">
        <v>40</v>
      </c>
      <c r="AI124" s="34" t="n">
        <v>0.58</v>
      </c>
      <c r="AJ124" s="35" t="n">
        <f aca="false">AVERAGEA(AK124, AI124)</f>
        <v>3.79</v>
      </c>
      <c r="AK124" s="34" t="n">
        <v>7</v>
      </c>
      <c r="AL124" s="37" t="n">
        <v>0.58</v>
      </c>
      <c r="AM124" s="37" t="n">
        <f aca="false">AVERAGEA(AN124, AL124)</f>
        <v>3.79</v>
      </c>
      <c r="AN124" s="36" t="n">
        <v>7</v>
      </c>
      <c r="AO124" s="34" t="n">
        <v>0.25</v>
      </c>
      <c r="AP124" s="64" t="n">
        <f aca="false">AVERAGEA(AQ124, AO124)</f>
        <v>3.125</v>
      </c>
      <c r="AQ124" s="34" t="n">
        <v>6</v>
      </c>
      <c r="AR124" s="37" t="n">
        <v>1</v>
      </c>
      <c r="AS124" s="37" t="n">
        <f aca="false">AVERAGEA(AT124, AR124)</f>
        <v>3.5</v>
      </c>
      <c r="AT124" s="36" t="n">
        <v>6</v>
      </c>
      <c r="AU124" s="34" t="n">
        <v>920</v>
      </c>
      <c r="AV124" s="35" t="n">
        <f aca="false">AVERAGEA(AW124, AU124)</f>
        <v>920</v>
      </c>
      <c r="AW124" s="34" t="n">
        <v>920</v>
      </c>
      <c r="AX124" s="37" t="n">
        <v>16.6</v>
      </c>
      <c r="AY124" s="37" t="n">
        <f aca="false">AVERAGEA(AZ124, AX124)</f>
        <v>16.6</v>
      </c>
      <c r="AZ124" s="36" t="n">
        <v>16.6</v>
      </c>
      <c r="BA124" s="45" t="n">
        <v>1.5</v>
      </c>
      <c r="BB124" s="45" t="n">
        <f aca="false">AVERAGEA(BC124, BA124)</f>
        <v>1.8</v>
      </c>
      <c r="BC124" s="45" t="n">
        <v>2.1</v>
      </c>
      <c r="BD124" s="43" t="s">
        <v>68</v>
      </c>
      <c r="BE124" s="43"/>
      <c r="BF124" s="43" t="s">
        <v>68</v>
      </c>
      <c r="BG124" s="45" t="s">
        <v>69</v>
      </c>
      <c r="BH124" s="45"/>
      <c r="BI124" s="45" t="s">
        <v>69</v>
      </c>
      <c r="BJ124" s="37" t="n">
        <v>40</v>
      </c>
      <c r="BK124" s="37" t="n">
        <f aca="false">AVERAGEA(BJ124,BL124)</f>
        <v>40</v>
      </c>
      <c r="BL124" s="36" t="n">
        <v>40</v>
      </c>
      <c r="BM124" s="45" t="n">
        <v>1.17</v>
      </c>
      <c r="BN124" s="45" t="n">
        <f aca="false">AVERAGEA(BO124, BM124)</f>
        <v>1.17</v>
      </c>
      <c r="BO124" s="45" t="n">
        <v>1.17</v>
      </c>
      <c r="BP124" s="43" t="s">
        <v>68</v>
      </c>
      <c r="BQ124" s="37"/>
      <c r="BR124" s="43" t="s">
        <v>68</v>
      </c>
      <c r="BS124" s="45" t="n">
        <v>1</v>
      </c>
      <c r="BT124" s="35" t="n">
        <f aca="false">AVERAGEA(BS124,BU124)</f>
        <v>1</v>
      </c>
      <c r="BU124" s="46" t="n">
        <v>1</v>
      </c>
      <c r="BV124" s="43" t="n">
        <v>2</v>
      </c>
      <c r="BW124" s="37" t="n">
        <f aca="false">AVERAGEA(BV124,BX124)</f>
        <v>2</v>
      </c>
      <c r="BX124" s="43" t="n">
        <v>2</v>
      </c>
      <c r="BY124" s="45"/>
      <c r="BZ124" s="35" t="e">
        <f aca="false">AVERAGEA(BY124,CA124)</f>
        <v>#DIV/0!</v>
      </c>
      <c r="CA124" s="46"/>
      <c r="CB124" s="43"/>
      <c r="CC124" s="37" t="e">
        <f aca="false">AVERAGEA(CB124,CD124)</f>
        <v>#DIV/0!</v>
      </c>
      <c r="CD124" s="43"/>
      <c r="CE124" s="45"/>
      <c r="CF124" s="35" t="e">
        <f aca="false">AVERAGEA(CE124,CG124)</f>
        <v>#DIV/0!</v>
      </c>
      <c r="CG124" s="46"/>
    </row>
    <row r="125" s="18" customFormat="true" ht="28.35" hidden="false" customHeight="false" outlineLevel="0" collapsed="false">
      <c r="B125" s="58"/>
      <c r="C125" s="65" t="s">
        <v>103</v>
      </c>
      <c r="D125" s="68"/>
      <c r="E125" s="67"/>
      <c r="F125" s="63" t="s">
        <v>104</v>
      </c>
      <c r="G125" s="63"/>
      <c r="H125" s="24"/>
      <c r="I125" s="24" t="e">
        <f aca="false">AVERAGE(H125,J125)</f>
        <v>#DIV/0!</v>
      </c>
      <c r="J125" s="24"/>
      <c r="K125" s="34" t="s">
        <v>55</v>
      </c>
      <c r="L125" s="35"/>
      <c r="M125" s="34" t="s">
        <v>55</v>
      </c>
      <c r="N125" s="24" t="n">
        <v>49.2927267275488</v>
      </c>
      <c r="O125" s="24" t="n">
        <f aca="false">AVERAGE(N125,P125)</f>
        <v>50.4566027344582</v>
      </c>
      <c r="P125" s="24" t="n">
        <v>51.6204787413677</v>
      </c>
      <c r="Q125" s="34" t="s">
        <v>55</v>
      </c>
      <c r="R125" s="35"/>
      <c r="S125" s="34" t="s">
        <v>55</v>
      </c>
      <c r="T125" s="36" t="s">
        <v>55</v>
      </c>
      <c r="U125" s="37"/>
      <c r="V125" s="36" t="s">
        <v>55</v>
      </c>
      <c r="W125" s="34" t="s">
        <v>55</v>
      </c>
      <c r="X125" s="35"/>
      <c r="Y125" s="34" t="s">
        <v>55</v>
      </c>
      <c r="Z125" s="36" t="s">
        <v>55</v>
      </c>
      <c r="AA125" s="37"/>
      <c r="AB125" s="37" t="s">
        <v>55</v>
      </c>
      <c r="AC125" s="34" t="n">
        <v>84</v>
      </c>
      <c r="AD125" s="35" t="n">
        <f aca="false">AVERAGEA(AE125,AC125)</f>
        <v>87.05</v>
      </c>
      <c r="AE125" s="34" t="n">
        <v>90.1</v>
      </c>
      <c r="AF125" s="43" t="s">
        <v>69</v>
      </c>
      <c r="AG125" s="37"/>
      <c r="AH125" s="43" t="s">
        <v>69</v>
      </c>
      <c r="AI125" s="35" t="s">
        <v>68</v>
      </c>
      <c r="AJ125" s="35"/>
      <c r="AK125" s="35" t="s">
        <v>68</v>
      </c>
      <c r="AL125" s="43" t="s">
        <v>69</v>
      </c>
      <c r="AM125" s="37"/>
      <c r="AN125" s="43" t="s">
        <v>69</v>
      </c>
      <c r="AO125" s="34" t="s">
        <v>68</v>
      </c>
      <c r="AP125" s="35"/>
      <c r="AQ125" s="34" t="s">
        <v>68</v>
      </c>
      <c r="AR125" s="43" t="s">
        <v>68</v>
      </c>
      <c r="AS125" s="37"/>
      <c r="AT125" s="43" t="s">
        <v>68</v>
      </c>
      <c r="AU125" s="35" t="s">
        <v>69</v>
      </c>
      <c r="AV125" s="35"/>
      <c r="AW125" s="34" t="s">
        <v>69</v>
      </c>
      <c r="AX125" s="43" t="s">
        <v>68</v>
      </c>
      <c r="AY125" s="37"/>
      <c r="AZ125" s="43" t="s">
        <v>68</v>
      </c>
      <c r="BA125" s="45" t="s">
        <v>69</v>
      </c>
      <c r="BB125" s="45"/>
      <c r="BC125" s="45" t="s">
        <v>69</v>
      </c>
      <c r="BD125" s="43" t="s">
        <v>68</v>
      </c>
      <c r="BE125" s="43"/>
      <c r="BF125" s="43" t="s">
        <v>68</v>
      </c>
      <c r="BG125" s="45" t="s">
        <v>69</v>
      </c>
      <c r="BH125" s="45"/>
      <c r="BI125" s="45" t="s">
        <v>69</v>
      </c>
      <c r="BJ125" s="43" t="s">
        <v>68</v>
      </c>
      <c r="BK125" s="37"/>
      <c r="BL125" s="36" t="s">
        <v>68</v>
      </c>
      <c r="BM125" s="45" t="s">
        <v>69</v>
      </c>
      <c r="BN125" s="45"/>
      <c r="BO125" s="45"/>
      <c r="BP125" s="43" t="s">
        <v>68</v>
      </c>
      <c r="BQ125" s="43"/>
      <c r="BR125" s="43" t="s">
        <v>68</v>
      </c>
      <c r="BS125" s="45" t="s">
        <v>68</v>
      </c>
      <c r="BT125" s="35"/>
      <c r="BU125" s="46" t="s">
        <v>68</v>
      </c>
      <c r="BV125" s="43" t="n">
        <v>1</v>
      </c>
      <c r="BW125" s="43" t="n">
        <f aca="false">AVERAGEA(BV125,BX125)</f>
        <v>1</v>
      </c>
      <c r="BX125" s="43" t="n">
        <v>1</v>
      </c>
      <c r="BY125" s="45"/>
      <c r="BZ125" s="35"/>
      <c r="CA125" s="46"/>
      <c r="CB125" s="43"/>
      <c r="CC125" s="43" t="e">
        <f aca="false">AVERAGEA(CB125,CD125)</f>
        <v>#DIV/0!</v>
      </c>
      <c r="CD125" s="43"/>
      <c r="CE125" s="45"/>
      <c r="CF125" s="35"/>
      <c r="CG125" s="46"/>
    </row>
    <row r="126" s="18" customFormat="true" ht="28.35" hidden="false" customHeight="false" outlineLevel="0" collapsed="false">
      <c r="B126" s="58"/>
      <c r="C126" s="65"/>
      <c r="D126" s="65"/>
      <c r="E126" s="67"/>
      <c r="F126" s="63" t="s">
        <v>105</v>
      </c>
      <c r="G126" s="63"/>
      <c r="H126" s="24"/>
      <c r="I126" s="24" t="e">
        <f aca="false">AVERAGE(H126,J126)</f>
        <v>#DIV/0!</v>
      </c>
      <c r="J126" s="24"/>
      <c r="K126" s="34" t="s">
        <v>55</v>
      </c>
      <c r="L126" s="35"/>
      <c r="M126" s="34" t="s">
        <v>55</v>
      </c>
      <c r="N126" s="24" t="n">
        <v>45.5539068284142</v>
      </c>
      <c r="O126" s="24" t="n">
        <f aca="false">AVERAGE(N126,P126)</f>
        <v>47.1295707540583</v>
      </c>
      <c r="P126" s="24" t="n">
        <v>48.7052346797024</v>
      </c>
      <c r="Q126" s="34" t="s">
        <v>55</v>
      </c>
      <c r="R126" s="35"/>
      <c r="S126" s="34" t="s">
        <v>55</v>
      </c>
      <c r="T126" s="36" t="s">
        <v>55</v>
      </c>
      <c r="U126" s="37"/>
      <c r="V126" s="36" t="s">
        <v>55</v>
      </c>
      <c r="W126" s="34" t="s">
        <v>55</v>
      </c>
      <c r="X126" s="35"/>
      <c r="Y126" s="34" t="s">
        <v>55</v>
      </c>
      <c r="Z126" s="36" t="s">
        <v>55</v>
      </c>
      <c r="AA126" s="37"/>
      <c r="AB126" s="37" t="s">
        <v>55</v>
      </c>
      <c r="AC126" s="34" t="n">
        <v>84</v>
      </c>
      <c r="AD126" s="35" t="n">
        <f aca="false">AVERAGEA(AE126,AC126)</f>
        <v>87.05</v>
      </c>
      <c r="AE126" s="34" t="n">
        <v>90.1</v>
      </c>
      <c r="AF126" s="43" t="s">
        <v>69</v>
      </c>
      <c r="AG126" s="37"/>
      <c r="AH126" s="43" t="s">
        <v>69</v>
      </c>
      <c r="AI126" s="35" t="s">
        <v>68</v>
      </c>
      <c r="AJ126" s="35"/>
      <c r="AK126" s="35" t="s">
        <v>68</v>
      </c>
      <c r="AL126" s="43" t="s">
        <v>69</v>
      </c>
      <c r="AM126" s="37"/>
      <c r="AN126" s="43" t="s">
        <v>69</v>
      </c>
      <c r="AO126" s="34" t="s">
        <v>68</v>
      </c>
      <c r="AP126" s="35"/>
      <c r="AQ126" s="34" t="s">
        <v>68</v>
      </c>
      <c r="AR126" s="43" t="s">
        <v>68</v>
      </c>
      <c r="AS126" s="37"/>
      <c r="AT126" s="43" t="s">
        <v>68</v>
      </c>
      <c r="AU126" s="35" t="s">
        <v>69</v>
      </c>
      <c r="AV126" s="35"/>
      <c r="AW126" s="34" t="s">
        <v>69</v>
      </c>
      <c r="AX126" s="43" t="s">
        <v>68</v>
      </c>
      <c r="AY126" s="37"/>
      <c r="AZ126" s="43" t="s">
        <v>68</v>
      </c>
      <c r="BA126" s="45" t="s">
        <v>69</v>
      </c>
      <c r="BB126" s="45"/>
      <c r="BC126" s="45" t="s">
        <v>69</v>
      </c>
      <c r="BD126" s="43" t="s">
        <v>68</v>
      </c>
      <c r="BE126" s="43"/>
      <c r="BF126" s="43" t="s">
        <v>68</v>
      </c>
      <c r="BG126" s="45" t="s">
        <v>69</v>
      </c>
      <c r="BH126" s="45"/>
      <c r="BI126" s="45" t="s">
        <v>69</v>
      </c>
      <c r="BJ126" s="43" t="s">
        <v>68</v>
      </c>
      <c r="BK126" s="37"/>
      <c r="BL126" s="43" t="s">
        <v>68</v>
      </c>
      <c r="BM126" s="45" t="s">
        <v>69</v>
      </c>
      <c r="BN126" s="45"/>
      <c r="BO126" s="45" t="s">
        <v>69</v>
      </c>
      <c r="BP126" s="43" t="s">
        <v>68</v>
      </c>
      <c r="BQ126" s="43"/>
      <c r="BR126" s="43" t="s">
        <v>68</v>
      </c>
      <c r="BS126" s="45" t="s">
        <v>68</v>
      </c>
      <c r="BT126" s="35"/>
      <c r="BU126" s="46" t="s">
        <v>68</v>
      </c>
      <c r="BV126" s="43" t="n">
        <v>1</v>
      </c>
      <c r="BW126" s="43" t="n">
        <f aca="false">AVERAGEA(BV126,BX126)</f>
        <v>1</v>
      </c>
      <c r="BX126" s="43" t="n">
        <v>1</v>
      </c>
      <c r="BY126" s="45"/>
      <c r="BZ126" s="35"/>
      <c r="CA126" s="46"/>
      <c r="CB126" s="43"/>
      <c r="CC126" s="43" t="e">
        <f aca="false">AVERAGEA(CB126,CD126)</f>
        <v>#DIV/0!</v>
      </c>
      <c r="CD126" s="43"/>
      <c r="CE126" s="45"/>
      <c r="CF126" s="35"/>
      <c r="CG126" s="46"/>
    </row>
    <row r="127" s="18" customFormat="true" ht="28.35" hidden="false" customHeight="false" outlineLevel="0" collapsed="false">
      <c r="B127" s="58"/>
      <c r="C127" s="65"/>
      <c r="D127" s="65"/>
      <c r="E127" s="67"/>
      <c r="F127" s="63" t="s">
        <v>106</v>
      </c>
      <c r="G127" s="63"/>
      <c r="H127" s="24"/>
      <c r="I127" s="24" t="e">
        <f aca="false">AVERAGE(H127,J127)</f>
        <v>#DIV/0!</v>
      </c>
      <c r="J127" s="24"/>
      <c r="K127" s="34" t="s">
        <v>55</v>
      </c>
      <c r="L127" s="35"/>
      <c r="M127" s="34" t="s">
        <v>55</v>
      </c>
      <c r="N127" s="24" t="n">
        <v>41.0430905919516</v>
      </c>
      <c r="O127" s="24" t="n">
        <f aca="false">AVERAGE(N127,P127)</f>
        <v>42.7273887620863</v>
      </c>
      <c r="P127" s="24" t="n">
        <v>44.411686932221</v>
      </c>
      <c r="Q127" s="34" t="s">
        <v>55</v>
      </c>
      <c r="R127" s="35"/>
      <c r="S127" s="34" t="s">
        <v>55</v>
      </c>
      <c r="T127" s="36" t="s">
        <v>55</v>
      </c>
      <c r="U127" s="37"/>
      <c r="V127" s="36" t="s">
        <v>55</v>
      </c>
      <c r="W127" s="34" t="s">
        <v>55</v>
      </c>
      <c r="X127" s="35"/>
      <c r="Y127" s="34" t="s">
        <v>55</v>
      </c>
      <c r="Z127" s="36" t="s">
        <v>55</v>
      </c>
      <c r="AA127" s="37"/>
      <c r="AB127" s="37" t="s">
        <v>55</v>
      </c>
      <c r="AC127" s="34" t="n">
        <v>84</v>
      </c>
      <c r="AD127" s="35" t="n">
        <f aca="false">AVERAGEA(AE127,AC127)</f>
        <v>87.05</v>
      </c>
      <c r="AE127" s="34" t="n">
        <v>90.1</v>
      </c>
      <c r="AF127" s="43" t="s">
        <v>69</v>
      </c>
      <c r="AG127" s="37"/>
      <c r="AH127" s="43" t="s">
        <v>69</v>
      </c>
      <c r="AI127" s="35" t="s">
        <v>68</v>
      </c>
      <c r="AJ127" s="35"/>
      <c r="AK127" s="35" t="s">
        <v>68</v>
      </c>
      <c r="AL127" s="43" t="s">
        <v>69</v>
      </c>
      <c r="AM127" s="37"/>
      <c r="AN127" s="43" t="s">
        <v>69</v>
      </c>
      <c r="AO127" s="34" t="s">
        <v>68</v>
      </c>
      <c r="AP127" s="35"/>
      <c r="AQ127" s="34" t="s">
        <v>68</v>
      </c>
      <c r="AR127" s="43" t="s">
        <v>68</v>
      </c>
      <c r="AS127" s="37"/>
      <c r="AT127" s="43" t="s">
        <v>68</v>
      </c>
      <c r="AU127" s="35" t="s">
        <v>69</v>
      </c>
      <c r="AV127" s="35"/>
      <c r="AW127" s="34" t="s">
        <v>69</v>
      </c>
      <c r="AX127" s="43" t="s">
        <v>68</v>
      </c>
      <c r="AY127" s="37"/>
      <c r="AZ127" s="43" t="s">
        <v>68</v>
      </c>
      <c r="BA127" s="45" t="s">
        <v>69</v>
      </c>
      <c r="BB127" s="45"/>
      <c r="BC127" s="45" t="s">
        <v>69</v>
      </c>
      <c r="BD127" s="43" t="s">
        <v>68</v>
      </c>
      <c r="BE127" s="43"/>
      <c r="BF127" s="43" t="s">
        <v>68</v>
      </c>
      <c r="BG127" s="45" t="s">
        <v>69</v>
      </c>
      <c r="BH127" s="45"/>
      <c r="BI127" s="45" t="s">
        <v>69</v>
      </c>
      <c r="BJ127" s="43" t="s">
        <v>68</v>
      </c>
      <c r="BK127" s="37"/>
      <c r="BL127" s="43" t="s">
        <v>68</v>
      </c>
      <c r="BM127" s="45" t="s">
        <v>69</v>
      </c>
      <c r="BN127" s="45"/>
      <c r="BO127" s="45" t="s">
        <v>69</v>
      </c>
      <c r="BP127" s="43" t="s">
        <v>68</v>
      </c>
      <c r="BQ127" s="43"/>
      <c r="BR127" s="43" t="s">
        <v>68</v>
      </c>
      <c r="BS127" s="45" t="s">
        <v>68</v>
      </c>
      <c r="BT127" s="35"/>
      <c r="BU127" s="46" t="s">
        <v>68</v>
      </c>
      <c r="BV127" s="43" t="n">
        <v>1</v>
      </c>
      <c r="BW127" s="43" t="n">
        <f aca="false">AVERAGEA(BV127,BX127)</f>
        <v>1</v>
      </c>
      <c r="BX127" s="43" t="n">
        <v>1</v>
      </c>
      <c r="BY127" s="45"/>
      <c r="BZ127" s="35"/>
      <c r="CA127" s="46"/>
      <c r="CB127" s="43"/>
      <c r="CC127" s="43" t="e">
        <f aca="false">AVERAGEA(CB127,CD127)</f>
        <v>#DIV/0!</v>
      </c>
      <c r="CD127" s="43"/>
      <c r="CE127" s="45"/>
      <c r="CF127" s="35"/>
      <c r="CG127" s="46"/>
    </row>
    <row r="128" s="18" customFormat="true" ht="28.35" hidden="false" customHeight="false" outlineLevel="0" collapsed="false">
      <c r="B128" s="58"/>
      <c r="C128" s="65"/>
      <c r="D128" s="65"/>
      <c r="E128" s="67"/>
      <c r="F128" s="63" t="s">
        <v>107</v>
      </c>
      <c r="G128" s="63"/>
      <c r="H128" s="24"/>
      <c r="I128" s="24" t="e">
        <f aca="false">AVERAGE(H128,J128)</f>
        <v>#DIV/0!</v>
      </c>
      <c r="J128" s="24"/>
      <c r="K128" s="34" t="s">
        <v>55</v>
      </c>
      <c r="L128" s="35"/>
      <c r="M128" s="34" t="s">
        <v>55</v>
      </c>
      <c r="N128" s="24" t="n">
        <v>33.0734303165184</v>
      </c>
      <c r="O128" s="24" t="n">
        <f aca="false">AVERAGE(N128,P128)</f>
        <v>36.9388214963504</v>
      </c>
      <c r="P128" s="24" t="n">
        <v>40.8042126761825</v>
      </c>
      <c r="Q128" s="34" t="s">
        <v>55</v>
      </c>
      <c r="R128" s="35"/>
      <c r="S128" s="34" t="s">
        <v>55</v>
      </c>
      <c r="T128" s="36" t="s">
        <v>55</v>
      </c>
      <c r="U128" s="37"/>
      <c r="V128" s="36" t="s">
        <v>55</v>
      </c>
      <c r="W128" s="34" t="s">
        <v>55</v>
      </c>
      <c r="X128" s="35"/>
      <c r="Y128" s="34" t="s">
        <v>55</v>
      </c>
      <c r="Z128" s="36" t="s">
        <v>55</v>
      </c>
      <c r="AA128" s="37"/>
      <c r="AB128" s="37" t="s">
        <v>55</v>
      </c>
      <c r="AC128" s="34" t="n">
        <v>84</v>
      </c>
      <c r="AD128" s="35" t="n">
        <f aca="false">AVERAGEA(AE128,AC128)</f>
        <v>87.05</v>
      </c>
      <c r="AE128" s="34" t="n">
        <v>90.1</v>
      </c>
      <c r="AF128" s="43" t="s">
        <v>69</v>
      </c>
      <c r="AG128" s="37"/>
      <c r="AH128" s="43" t="s">
        <v>69</v>
      </c>
      <c r="AI128" s="35" t="s">
        <v>68</v>
      </c>
      <c r="AJ128" s="35"/>
      <c r="AK128" s="35" t="s">
        <v>68</v>
      </c>
      <c r="AL128" s="43" t="s">
        <v>69</v>
      </c>
      <c r="AM128" s="37"/>
      <c r="AN128" s="43" t="s">
        <v>69</v>
      </c>
      <c r="AO128" s="34" t="s">
        <v>68</v>
      </c>
      <c r="AP128" s="35"/>
      <c r="AQ128" s="34" t="s">
        <v>68</v>
      </c>
      <c r="AR128" s="43" t="s">
        <v>68</v>
      </c>
      <c r="AS128" s="37"/>
      <c r="AT128" s="43" t="s">
        <v>68</v>
      </c>
      <c r="AU128" s="35" t="s">
        <v>69</v>
      </c>
      <c r="AV128" s="35"/>
      <c r="AW128" s="34" t="s">
        <v>69</v>
      </c>
      <c r="AX128" s="43" t="s">
        <v>68</v>
      </c>
      <c r="AY128" s="37"/>
      <c r="AZ128" s="43" t="s">
        <v>68</v>
      </c>
      <c r="BA128" s="45" t="s">
        <v>69</v>
      </c>
      <c r="BB128" s="45"/>
      <c r="BC128" s="45" t="s">
        <v>69</v>
      </c>
      <c r="BD128" s="43" t="s">
        <v>68</v>
      </c>
      <c r="BE128" s="43"/>
      <c r="BF128" s="43" t="s">
        <v>68</v>
      </c>
      <c r="BG128" s="45" t="s">
        <v>69</v>
      </c>
      <c r="BH128" s="45"/>
      <c r="BI128" s="45" t="s">
        <v>69</v>
      </c>
      <c r="BJ128" s="43" t="s">
        <v>68</v>
      </c>
      <c r="BK128" s="37"/>
      <c r="BL128" s="43" t="s">
        <v>68</v>
      </c>
      <c r="BM128" s="45" t="s">
        <v>69</v>
      </c>
      <c r="BN128" s="45"/>
      <c r="BO128" s="45" t="s">
        <v>69</v>
      </c>
      <c r="BP128" s="43" t="s">
        <v>68</v>
      </c>
      <c r="BQ128" s="43"/>
      <c r="BR128" s="43" t="s">
        <v>68</v>
      </c>
      <c r="BS128" s="45" t="s">
        <v>68</v>
      </c>
      <c r="BT128" s="35"/>
      <c r="BU128" s="46" t="s">
        <v>68</v>
      </c>
      <c r="BV128" s="43" t="n">
        <v>1</v>
      </c>
      <c r="BW128" s="43" t="n">
        <f aca="false">AVERAGEA(BV128,BX128)</f>
        <v>1</v>
      </c>
      <c r="BX128" s="43" t="n">
        <v>1</v>
      </c>
      <c r="BY128" s="45"/>
      <c r="BZ128" s="35"/>
      <c r="CA128" s="46"/>
      <c r="CB128" s="43"/>
      <c r="CC128" s="43" t="e">
        <f aca="false">AVERAGEA(CB128,CD128)</f>
        <v>#DIV/0!</v>
      </c>
      <c r="CD128" s="43"/>
      <c r="CE128" s="45"/>
      <c r="CF128" s="35"/>
      <c r="CG128" s="46"/>
    </row>
    <row r="129" s="18" customFormat="true" ht="28.35" hidden="false" customHeight="false" outlineLevel="0" collapsed="false">
      <c r="B129" s="58"/>
      <c r="C129" s="63" t="s">
        <v>108</v>
      </c>
      <c r="D129" s="63"/>
      <c r="E129" s="63"/>
      <c r="F129" s="63" t="s">
        <v>109</v>
      </c>
      <c r="G129" s="63"/>
      <c r="H129" s="37"/>
      <c r="I129" s="37"/>
      <c r="J129" s="37"/>
      <c r="K129" s="34" t="n">
        <v>38</v>
      </c>
      <c r="L129" s="70" t="n">
        <f aca="false">AVERAGE(K129,M129)</f>
        <v>45.5</v>
      </c>
      <c r="M129" s="34" t="n">
        <v>53</v>
      </c>
      <c r="N129" s="37" t="s">
        <v>55</v>
      </c>
      <c r="O129" s="37"/>
      <c r="P129" s="37" t="s">
        <v>55</v>
      </c>
      <c r="Q129" s="34" t="n">
        <v>38</v>
      </c>
      <c r="R129" s="70" t="n">
        <f aca="false">AVERAGE(Q129,S129)</f>
        <v>45.5</v>
      </c>
      <c r="S129" s="34" t="n">
        <v>53</v>
      </c>
      <c r="T129" s="36" t="n">
        <v>35</v>
      </c>
      <c r="U129" s="37" t="n">
        <f aca="false">AVERAGEA(T129,V129)</f>
        <v>42.5</v>
      </c>
      <c r="V129" s="36" t="n">
        <v>50</v>
      </c>
      <c r="W129" s="34" t="n">
        <v>73</v>
      </c>
      <c r="X129" s="35" t="n">
        <f aca="false">AVERAGEA(W129,Y129)</f>
        <v>82.5</v>
      </c>
      <c r="Y129" s="34" t="n">
        <v>92</v>
      </c>
      <c r="Z129" s="36" t="s">
        <v>55</v>
      </c>
      <c r="AA129" s="37"/>
      <c r="AB129" s="36" t="s">
        <v>55</v>
      </c>
      <c r="AC129" s="34" t="n">
        <v>60</v>
      </c>
      <c r="AD129" s="35" t="n">
        <f aca="false">AVERAGEA(AE129,AC129)</f>
        <v>72.25</v>
      </c>
      <c r="AE129" s="34" t="n">
        <v>84.5</v>
      </c>
      <c r="AF129" s="37" t="n">
        <v>40</v>
      </c>
      <c r="AG129" s="37" t="n">
        <f aca="false">AVERAGEA(AH129, AF129)</f>
        <v>40</v>
      </c>
      <c r="AH129" s="36" t="n">
        <v>40</v>
      </c>
      <c r="AI129" s="35" t="s">
        <v>68</v>
      </c>
      <c r="AJ129" s="35"/>
      <c r="AK129" s="35" t="s">
        <v>68</v>
      </c>
      <c r="AL129" s="43" t="s">
        <v>69</v>
      </c>
      <c r="AM129" s="37"/>
      <c r="AN129" s="43" t="s">
        <v>69</v>
      </c>
      <c r="AO129" s="34" t="s">
        <v>68</v>
      </c>
      <c r="AP129" s="35"/>
      <c r="AQ129" s="34" t="s">
        <v>68</v>
      </c>
      <c r="AR129" s="37" t="s">
        <v>68</v>
      </c>
      <c r="AS129" s="37"/>
      <c r="AT129" s="36" t="s">
        <v>68</v>
      </c>
      <c r="AU129" s="35" t="n">
        <v>700</v>
      </c>
      <c r="AV129" s="35" t="n">
        <f aca="false">AVERAGEA(AW129, AU129)</f>
        <v>850</v>
      </c>
      <c r="AW129" s="34" t="n">
        <v>1000</v>
      </c>
      <c r="AX129" s="37" t="s">
        <v>68</v>
      </c>
      <c r="AY129" s="37"/>
      <c r="AZ129" s="36" t="s">
        <v>68</v>
      </c>
      <c r="BA129" s="45" t="n">
        <f aca="false">40/1000</f>
        <v>0.04</v>
      </c>
      <c r="BB129" s="45" t="n">
        <f aca="false">AVERAGEA(BC129, BA129)</f>
        <v>0.04</v>
      </c>
      <c r="BC129" s="45" t="n">
        <f aca="false">40/1000</f>
        <v>0.04</v>
      </c>
      <c r="BD129" s="43" t="s">
        <v>68</v>
      </c>
      <c r="BE129" s="43"/>
      <c r="BF129" s="43" t="s">
        <v>68</v>
      </c>
      <c r="BG129" s="45" t="s">
        <v>69</v>
      </c>
      <c r="BH129" s="45"/>
      <c r="BI129" s="45" t="s">
        <v>69</v>
      </c>
      <c r="BJ129" s="43" t="s">
        <v>68</v>
      </c>
      <c r="BK129" s="37"/>
      <c r="BL129" s="43" t="s">
        <v>68</v>
      </c>
      <c r="BM129" s="45" t="s">
        <v>69</v>
      </c>
      <c r="BN129" s="45"/>
      <c r="BO129" s="45" t="s">
        <v>69</v>
      </c>
      <c r="BP129" s="43" t="s">
        <v>68</v>
      </c>
      <c r="BQ129" s="43"/>
      <c r="BR129" s="43" t="s">
        <v>68</v>
      </c>
      <c r="BS129" s="45" t="s">
        <v>68</v>
      </c>
      <c r="BT129" s="45"/>
      <c r="BU129" s="46" t="s">
        <v>68</v>
      </c>
      <c r="BV129" s="43"/>
      <c r="BW129" s="43"/>
      <c r="BX129" s="43"/>
      <c r="BY129" s="45"/>
      <c r="BZ129" s="45"/>
      <c r="CA129" s="46"/>
      <c r="CB129" s="43"/>
      <c r="CC129" s="43"/>
      <c r="CD129" s="43"/>
      <c r="CE129" s="45"/>
      <c r="CF129" s="45"/>
      <c r="CG129" s="46"/>
    </row>
    <row r="130" s="18" customFormat="true" ht="28.35" hidden="false" customHeight="false" outlineLevel="0" collapsed="false">
      <c r="B130" s="58"/>
      <c r="C130" s="63" t="s">
        <v>110</v>
      </c>
      <c r="D130" s="63"/>
      <c r="E130" s="63"/>
      <c r="F130" s="63" t="s">
        <v>109</v>
      </c>
      <c r="G130" s="63"/>
      <c r="H130" s="37"/>
      <c r="I130" s="37"/>
      <c r="J130" s="37"/>
      <c r="K130" s="34" t="s">
        <v>68</v>
      </c>
      <c r="L130" s="35"/>
      <c r="M130" s="34" t="s">
        <v>68</v>
      </c>
      <c r="N130" s="37" t="s">
        <v>55</v>
      </c>
      <c r="O130" s="37"/>
      <c r="P130" s="37" t="s">
        <v>55</v>
      </c>
      <c r="Q130" s="34" t="s">
        <v>68</v>
      </c>
      <c r="R130" s="35"/>
      <c r="S130" s="34" t="s">
        <v>68</v>
      </c>
      <c r="T130" s="36" t="n">
        <v>50</v>
      </c>
      <c r="U130" s="37" t="n">
        <f aca="false">AVERAGEA(T130,V130)</f>
        <v>52.5</v>
      </c>
      <c r="V130" s="36" t="n">
        <v>55</v>
      </c>
      <c r="W130" s="34" t="n">
        <v>65</v>
      </c>
      <c r="X130" s="35" t="n">
        <f aca="false">AVERAGEA(W130,Y130)</f>
        <v>75</v>
      </c>
      <c r="Y130" s="34" t="n">
        <v>85</v>
      </c>
      <c r="Z130" s="36" t="s">
        <v>55</v>
      </c>
      <c r="AA130" s="37"/>
      <c r="AB130" s="36" t="s">
        <v>55</v>
      </c>
      <c r="AC130" s="34" t="n">
        <v>93</v>
      </c>
      <c r="AD130" s="35" t="n">
        <f aca="false">AVERAGEA(AE130,AC130)</f>
        <v>94.5</v>
      </c>
      <c r="AE130" s="34" t="n">
        <v>96</v>
      </c>
      <c r="AF130" s="43" t="s">
        <v>69</v>
      </c>
      <c r="AG130" s="37"/>
      <c r="AH130" s="43" t="s">
        <v>69</v>
      </c>
      <c r="AI130" s="35" t="s">
        <v>68</v>
      </c>
      <c r="AJ130" s="35"/>
      <c r="AK130" s="35" t="s">
        <v>68</v>
      </c>
      <c r="AL130" s="43" t="s">
        <v>69</v>
      </c>
      <c r="AM130" s="37"/>
      <c r="AN130" s="43" t="s">
        <v>69</v>
      </c>
      <c r="AO130" s="34" t="s">
        <v>68</v>
      </c>
      <c r="AP130" s="35"/>
      <c r="AQ130" s="34" t="s">
        <v>68</v>
      </c>
      <c r="AR130" s="37" t="s">
        <v>68</v>
      </c>
      <c r="AS130" s="37"/>
      <c r="AT130" s="36" t="s">
        <v>68</v>
      </c>
      <c r="AU130" s="35" t="n">
        <v>250</v>
      </c>
      <c r="AV130" s="35" t="n">
        <f aca="false">AVERAGEA(AW130, AU130)</f>
        <v>250</v>
      </c>
      <c r="AW130" s="34" t="n">
        <v>250</v>
      </c>
      <c r="AX130" s="43" t="s">
        <v>68</v>
      </c>
      <c r="AY130" s="37"/>
      <c r="AZ130" s="43" t="s">
        <v>68</v>
      </c>
      <c r="BA130" s="45" t="s">
        <v>69</v>
      </c>
      <c r="BB130" s="45"/>
      <c r="BC130" s="45" t="s">
        <v>69</v>
      </c>
      <c r="BD130" s="43" t="s">
        <v>68</v>
      </c>
      <c r="BE130" s="43"/>
      <c r="BF130" s="43" t="s">
        <v>68</v>
      </c>
      <c r="BG130" s="45" t="s">
        <v>69</v>
      </c>
      <c r="BH130" s="45"/>
      <c r="BI130" s="45" t="s">
        <v>69</v>
      </c>
      <c r="BJ130" s="43" t="s">
        <v>68</v>
      </c>
      <c r="BK130" s="37"/>
      <c r="BL130" s="43" t="s">
        <v>68</v>
      </c>
      <c r="BM130" s="45" t="s">
        <v>69</v>
      </c>
      <c r="BN130" s="45"/>
      <c r="BO130" s="45" t="s">
        <v>69</v>
      </c>
      <c r="BP130" s="43" t="s">
        <v>68</v>
      </c>
      <c r="BQ130" s="43"/>
      <c r="BR130" s="43" t="s">
        <v>68</v>
      </c>
      <c r="BS130" s="45" t="s">
        <v>68</v>
      </c>
      <c r="BT130" s="45"/>
      <c r="BU130" s="46" t="s">
        <v>68</v>
      </c>
      <c r="BV130" s="43" t="n">
        <v>0.166</v>
      </c>
      <c r="BW130" s="43" t="n">
        <f aca="false">AVERAGEA(BV130,BX130)</f>
        <v>0.583</v>
      </c>
      <c r="BX130" s="43" t="n">
        <v>1</v>
      </c>
      <c r="BY130" s="45"/>
      <c r="BZ130" s="45"/>
      <c r="CA130" s="46"/>
      <c r="CB130" s="43"/>
      <c r="CC130" s="43" t="e">
        <f aca="false">AVERAGEA(CB130,CD130)</f>
        <v>#DIV/0!</v>
      </c>
      <c r="CD130" s="43"/>
      <c r="CE130" s="45"/>
      <c r="CF130" s="45"/>
      <c r="CG130" s="46"/>
    </row>
    <row r="131" s="18" customFormat="true" ht="28.35" hidden="false" customHeight="false" outlineLevel="0" collapsed="false">
      <c r="B131" s="58"/>
      <c r="C131" s="63" t="s">
        <v>111</v>
      </c>
      <c r="D131" s="63"/>
      <c r="E131" s="63"/>
      <c r="F131" s="63" t="s">
        <v>109</v>
      </c>
      <c r="G131" s="63"/>
      <c r="H131" s="37"/>
      <c r="I131" s="37"/>
      <c r="J131" s="37"/>
      <c r="K131" s="34" t="n">
        <v>47.1</v>
      </c>
      <c r="L131" s="70" t="n">
        <f aca="false">AVERAGE(K131,M131)</f>
        <v>49.6</v>
      </c>
      <c r="M131" s="34" t="n">
        <v>52.1</v>
      </c>
      <c r="N131" s="37" t="s">
        <v>55</v>
      </c>
      <c r="O131" s="37"/>
      <c r="P131" s="37" t="s">
        <v>55</v>
      </c>
      <c r="Q131" s="34" t="n">
        <v>47.1</v>
      </c>
      <c r="R131" s="70" t="n">
        <f aca="false">AVERAGE(Q131,S131)</f>
        <v>49.6</v>
      </c>
      <c r="S131" s="34" t="n">
        <v>52.1</v>
      </c>
      <c r="T131" s="36" t="n">
        <v>38</v>
      </c>
      <c r="U131" s="37" t="n">
        <f aca="false">AVERAGEA(T131,V131)</f>
        <v>39.5</v>
      </c>
      <c r="V131" s="36" t="n">
        <v>41</v>
      </c>
      <c r="W131" s="35" t="n">
        <v>88.2</v>
      </c>
      <c r="X131" s="35" t="n">
        <f aca="false">AVERAGEA(W131,Y131)</f>
        <v>89.2</v>
      </c>
      <c r="Y131" s="34" t="n">
        <v>90.2</v>
      </c>
      <c r="Z131" s="36" t="s">
        <v>55</v>
      </c>
      <c r="AA131" s="37"/>
      <c r="AB131" s="36" t="s">
        <v>55</v>
      </c>
      <c r="AC131" s="35" t="s">
        <v>68</v>
      </c>
      <c r="AD131" s="35"/>
      <c r="AE131" s="34" t="s">
        <v>68</v>
      </c>
      <c r="AF131" s="43" t="s">
        <v>69</v>
      </c>
      <c r="AG131" s="37"/>
      <c r="AH131" s="43" t="s">
        <v>69</v>
      </c>
      <c r="AI131" s="35" t="s">
        <v>68</v>
      </c>
      <c r="AJ131" s="35"/>
      <c r="AK131" s="35" t="s">
        <v>68</v>
      </c>
      <c r="AL131" s="43" t="s">
        <v>69</v>
      </c>
      <c r="AM131" s="37"/>
      <c r="AN131" s="43" t="s">
        <v>69</v>
      </c>
      <c r="AO131" s="34" t="s">
        <v>68</v>
      </c>
      <c r="AP131" s="35"/>
      <c r="AQ131" s="34" t="s">
        <v>68</v>
      </c>
      <c r="AR131" s="37" t="s">
        <v>68</v>
      </c>
      <c r="AS131" s="37"/>
      <c r="AT131" s="36" t="s">
        <v>68</v>
      </c>
      <c r="AU131" s="35" t="n">
        <v>1292</v>
      </c>
      <c r="AV131" s="35" t="n">
        <f aca="false">AVERAGEA(AW131, AU131)</f>
        <v>2096</v>
      </c>
      <c r="AW131" s="34" t="n">
        <v>2900</v>
      </c>
      <c r="AX131" s="43" t="s">
        <v>68</v>
      </c>
      <c r="AY131" s="37"/>
      <c r="AZ131" s="43" t="s">
        <v>68</v>
      </c>
      <c r="BA131" s="45" t="s">
        <v>69</v>
      </c>
      <c r="BB131" s="45"/>
      <c r="BC131" s="45" t="s">
        <v>69</v>
      </c>
      <c r="BD131" s="43" t="s">
        <v>68</v>
      </c>
      <c r="BE131" s="43"/>
      <c r="BF131" s="43" t="s">
        <v>68</v>
      </c>
      <c r="BG131" s="45" t="s">
        <v>69</v>
      </c>
      <c r="BH131" s="45"/>
      <c r="BI131" s="45" t="s">
        <v>69</v>
      </c>
      <c r="BJ131" s="43" t="s">
        <v>68</v>
      </c>
      <c r="BK131" s="37"/>
      <c r="BL131" s="43" t="s">
        <v>68</v>
      </c>
      <c r="BM131" s="45" t="s">
        <v>69</v>
      </c>
      <c r="BN131" s="45"/>
      <c r="BO131" s="45" t="s">
        <v>69</v>
      </c>
      <c r="BP131" s="43" t="s">
        <v>68</v>
      </c>
      <c r="BQ131" s="43"/>
      <c r="BR131" s="43" t="s">
        <v>68</v>
      </c>
      <c r="BS131" s="71" t="s">
        <v>68</v>
      </c>
      <c r="BT131" s="71"/>
      <c r="BU131" s="72" t="s">
        <v>68</v>
      </c>
      <c r="BV131" s="43" t="s">
        <v>112</v>
      </c>
      <c r="BW131" s="43"/>
      <c r="BX131" s="43" t="s">
        <v>112</v>
      </c>
      <c r="BY131" s="71"/>
      <c r="BZ131" s="71"/>
      <c r="CA131" s="72"/>
      <c r="CB131" s="43"/>
      <c r="CC131" s="43"/>
      <c r="CD131" s="43"/>
      <c r="CE131" s="71"/>
      <c r="CF131" s="71"/>
      <c r="CG131" s="72"/>
    </row>
    <row r="132" s="18" customFormat="true" ht="26.4" hidden="false" customHeight="true" outlineLevel="0" collapsed="false">
      <c r="B132" s="58"/>
      <c r="C132" s="73" t="s">
        <v>70</v>
      </c>
      <c r="D132" s="63" t="s">
        <v>71</v>
      </c>
      <c r="E132" s="63"/>
      <c r="F132" s="63" t="s">
        <v>109</v>
      </c>
      <c r="G132" s="63"/>
      <c r="H132" s="37"/>
      <c r="I132" s="37"/>
      <c r="J132" s="37"/>
      <c r="K132" s="34" t="n">
        <v>60</v>
      </c>
      <c r="L132" s="70" t="n">
        <f aca="false">AVERAGE(K132,M132)</f>
        <v>60</v>
      </c>
      <c r="M132" s="34" t="n">
        <v>60</v>
      </c>
      <c r="N132" s="37" t="s">
        <v>55</v>
      </c>
      <c r="O132" s="37"/>
      <c r="P132" s="37" t="s">
        <v>55</v>
      </c>
      <c r="Q132" s="34" t="n">
        <v>60</v>
      </c>
      <c r="R132" s="70" t="n">
        <f aca="false">AVERAGE(Q132,S132)</f>
        <v>60</v>
      </c>
      <c r="S132" s="34" t="n">
        <v>60</v>
      </c>
      <c r="T132" s="43" t="n">
        <v>5</v>
      </c>
      <c r="U132" s="37" t="n">
        <f aca="false">AVERAGEA(T132,V132)</f>
        <v>15</v>
      </c>
      <c r="V132" s="36" t="n">
        <v>25</v>
      </c>
      <c r="W132" s="34" t="n">
        <v>75</v>
      </c>
      <c r="X132" s="35" t="n">
        <f aca="false">AVERAGEA(W132,Y132)</f>
        <v>83.5</v>
      </c>
      <c r="Y132" s="34" t="n">
        <v>92</v>
      </c>
      <c r="Z132" s="36" t="s">
        <v>55</v>
      </c>
      <c r="AA132" s="37"/>
      <c r="AB132" s="36" t="s">
        <v>55</v>
      </c>
      <c r="AC132" s="34" t="n">
        <v>72</v>
      </c>
      <c r="AD132" s="35" t="n">
        <f aca="false">AVERAGEA(AE132,AC132)</f>
        <v>85.5</v>
      </c>
      <c r="AE132" s="34" t="n">
        <v>99</v>
      </c>
      <c r="AF132" s="43" t="s">
        <v>69</v>
      </c>
      <c r="AG132" s="37"/>
      <c r="AH132" s="43" t="s">
        <v>69</v>
      </c>
      <c r="AI132" s="35" t="s">
        <v>68</v>
      </c>
      <c r="AJ132" s="35"/>
      <c r="AK132" s="35" t="s">
        <v>68</v>
      </c>
      <c r="AL132" s="43" t="s">
        <v>69</v>
      </c>
      <c r="AM132" s="37"/>
      <c r="AN132" s="43" t="s">
        <v>69</v>
      </c>
      <c r="AO132" s="34" t="s">
        <v>68</v>
      </c>
      <c r="AP132" s="35"/>
      <c r="AQ132" s="34" t="s">
        <v>68</v>
      </c>
      <c r="AR132" s="43" t="s">
        <v>68</v>
      </c>
      <c r="AS132" s="37"/>
      <c r="AT132" s="43" t="s">
        <v>68</v>
      </c>
      <c r="AU132" s="35" t="s">
        <v>69</v>
      </c>
      <c r="AV132" s="35"/>
      <c r="AW132" s="34" t="s">
        <v>69</v>
      </c>
      <c r="AX132" s="43" t="s">
        <v>68</v>
      </c>
      <c r="AY132" s="37"/>
      <c r="AZ132" s="43" t="s">
        <v>68</v>
      </c>
      <c r="BA132" s="45" t="s">
        <v>69</v>
      </c>
      <c r="BB132" s="45"/>
      <c r="BC132" s="45" t="s">
        <v>69</v>
      </c>
      <c r="BD132" s="43" t="s">
        <v>68</v>
      </c>
      <c r="BE132" s="43"/>
      <c r="BF132" s="43" t="s">
        <v>68</v>
      </c>
      <c r="BG132" s="45" t="s">
        <v>69</v>
      </c>
      <c r="BH132" s="45"/>
      <c r="BI132" s="45" t="s">
        <v>69</v>
      </c>
      <c r="BJ132" s="43" t="s">
        <v>68</v>
      </c>
      <c r="BK132" s="37"/>
      <c r="BL132" s="43" t="s">
        <v>68</v>
      </c>
      <c r="BM132" s="45" t="s">
        <v>69</v>
      </c>
      <c r="BN132" s="45"/>
      <c r="BO132" s="45" t="s">
        <v>69</v>
      </c>
      <c r="BP132" s="43" t="s">
        <v>68</v>
      </c>
      <c r="BQ132" s="43"/>
      <c r="BR132" s="43" t="s">
        <v>68</v>
      </c>
      <c r="BS132" s="45" t="s">
        <v>68</v>
      </c>
      <c r="BT132" s="45"/>
      <c r="BU132" s="46" t="s">
        <v>68</v>
      </c>
      <c r="BV132" s="43"/>
      <c r="BW132" s="43"/>
      <c r="BX132" s="43"/>
      <c r="BY132" s="45"/>
      <c r="BZ132" s="45"/>
      <c r="CA132" s="46"/>
      <c r="CB132" s="43"/>
      <c r="CC132" s="43"/>
      <c r="CD132" s="43"/>
      <c r="CE132" s="45"/>
      <c r="CF132" s="45"/>
      <c r="CG132" s="46"/>
    </row>
    <row r="133" s="18" customFormat="true" ht="28.35" hidden="false" customHeight="false" outlineLevel="0" collapsed="false">
      <c r="B133" s="58"/>
      <c r="C133" s="73" t="s">
        <v>72</v>
      </c>
      <c r="D133" s="74" t="s">
        <v>73</v>
      </c>
      <c r="E133" s="75"/>
      <c r="F133" s="73" t="s">
        <v>109</v>
      </c>
      <c r="G133" s="75"/>
      <c r="H133" s="51"/>
      <c r="I133" s="51"/>
      <c r="J133" s="51"/>
      <c r="K133" s="53" t="n">
        <v>60</v>
      </c>
      <c r="L133" s="76" t="n">
        <f aca="false">AVERAGE(K133,M133)</f>
        <v>60</v>
      </c>
      <c r="M133" s="53" t="n">
        <v>60</v>
      </c>
      <c r="N133" s="51" t="s">
        <v>55</v>
      </c>
      <c r="O133" s="51"/>
      <c r="P133" s="51" t="s">
        <v>55</v>
      </c>
      <c r="Q133" s="53" t="n">
        <v>60</v>
      </c>
      <c r="R133" s="76" t="n">
        <f aca="false">AVERAGE(Q133,S133)</f>
        <v>60</v>
      </c>
      <c r="S133" s="53" t="n">
        <v>60</v>
      </c>
      <c r="T133" s="56" t="n">
        <v>5</v>
      </c>
      <c r="U133" s="51" t="n">
        <f aca="false">AVERAGEA(T133,V133)</f>
        <v>15</v>
      </c>
      <c r="V133" s="51" t="n">
        <v>25</v>
      </c>
      <c r="W133" s="53" t="n">
        <v>60</v>
      </c>
      <c r="X133" s="54" t="n">
        <f aca="false">AVERAGEA(W133,Y133)</f>
        <v>72.5</v>
      </c>
      <c r="Y133" s="53" t="n">
        <v>85</v>
      </c>
      <c r="Z133" s="51" t="s">
        <v>55</v>
      </c>
      <c r="AA133" s="51"/>
      <c r="AB133" s="51" t="s">
        <v>55</v>
      </c>
      <c r="AC133" s="53" t="n">
        <v>72</v>
      </c>
      <c r="AD133" s="54" t="n">
        <f aca="false">AVERAGEA(AE133,AC133)</f>
        <v>85.5</v>
      </c>
      <c r="AE133" s="53" t="n">
        <v>99</v>
      </c>
      <c r="AF133" s="56" t="s">
        <v>69</v>
      </c>
      <c r="AG133" s="51"/>
      <c r="AH133" s="56" t="s">
        <v>69</v>
      </c>
      <c r="AI133" s="53" t="s">
        <v>68</v>
      </c>
      <c r="AJ133" s="54"/>
      <c r="AK133" s="53" t="s">
        <v>68</v>
      </c>
      <c r="AL133" s="56" t="s">
        <v>69</v>
      </c>
      <c r="AM133" s="51"/>
      <c r="AN133" s="56" t="s">
        <v>69</v>
      </c>
      <c r="AO133" s="53" t="s">
        <v>68</v>
      </c>
      <c r="AP133" s="54"/>
      <c r="AQ133" s="53" t="s">
        <v>68</v>
      </c>
      <c r="AR133" s="56" t="s">
        <v>68</v>
      </c>
      <c r="AS133" s="52"/>
      <c r="AT133" s="56" t="s">
        <v>68</v>
      </c>
      <c r="AU133" s="77" t="s">
        <v>69</v>
      </c>
      <c r="AV133" s="54"/>
      <c r="AW133" s="53" t="s">
        <v>69</v>
      </c>
      <c r="AX133" s="56" t="s">
        <v>68</v>
      </c>
      <c r="AY133" s="52"/>
      <c r="AZ133" s="56" t="s">
        <v>68</v>
      </c>
      <c r="BA133" s="55" t="s">
        <v>69</v>
      </c>
      <c r="BB133" s="55"/>
      <c r="BC133" s="55" t="s">
        <v>69</v>
      </c>
      <c r="BD133" s="56" t="s">
        <v>68</v>
      </c>
      <c r="BE133" s="56"/>
      <c r="BF133" s="56" t="s">
        <v>68</v>
      </c>
      <c r="BG133" s="55" t="s">
        <v>69</v>
      </c>
      <c r="BH133" s="55"/>
      <c r="BI133" s="55" t="s">
        <v>69</v>
      </c>
      <c r="BJ133" s="56" t="s">
        <v>68</v>
      </c>
      <c r="BK133" s="51"/>
      <c r="BL133" s="56" t="s">
        <v>68</v>
      </c>
      <c r="BM133" s="55" t="s">
        <v>69</v>
      </c>
      <c r="BN133" s="55"/>
      <c r="BO133" s="55" t="s">
        <v>69</v>
      </c>
      <c r="BP133" s="56" t="s">
        <v>68</v>
      </c>
      <c r="BQ133" s="56"/>
      <c r="BR133" s="56" t="s">
        <v>68</v>
      </c>
      <c r="BS133" s="55" t="s">
        <v>68</v>
      </c>
      <c r="BT133" s="55"/>
      <c r="BU133" s="57" t="s">
        <v>68</v>
      </c>
      <c r="BV133" s="56"/>
      <c r="BW133" s="56"/>
      <c r="BX133" s="56"/>
      <c r="BY133" s="55"/>
      <c r="BZ133" s="55"/>
      <c r="CA133" s="57"/>
      <c r="CB133" s="56"/>
      <c r="CC133" s="56"/>
      <c r="CD133" s="56"/>
      <c r="CE133" s="55"/>
      <c r="CF133" s="55"/>
      <c r="CG133" s="57"/>
    </row>
    <row r="134" s="18" customFormat="true" ht="26.4" hidden="false" customHeight="true" outlineLevel="0" collapsed="false">
      <c r="B134" s="78" t="s">
        <v>113</v>
      </c>
      <c r="C134" s="79" t="s">
        <v>114</v>
      </c>
      <c r="D134" s="80" t="s">
        <v>115</v>
      </c>
      <c r="E134" s="81"/>
      <c r="F134" s="20" t="s">
        <v>116</v>
      </c>
      <c r="G134" s="81"/>
      <c r="H134" s="29"/>
      <c r="I134" s="30" t="e">
        <f aca="false">AVERAGEA(H134,J134)</f>
        <v>#DIV/0!</v>
      </c>
      <c r="J134" s="29"/>
      <c r="K134" s="27" t="s">
        <v>55</v>
      </c>
      <c r="L134" s="27"/>
      <c r="M134" s="27" t="s">
        <v>55</v>
      </c>
      <c r="N134" s="29" t="n">
        <v>33</v>
      </c>
      <c r="O134" s="30" t="n">
        <f aca="false">AVERAGEA(N134,P134)</f>
        <v>35.5</v>
      </c>
      <c r="P134" s="29" t="n">
        <v>38</v>
      </c>
      <c r="Q134" s="27" t="s">
        <v>55</v>
      </c>
      <c r="R134" s="27"/>
      <c r="S134" s="27" t="s">
        <v>55</v>
      </c>
      <c r="T134" s="30" t="s">
        <v>55</v>
      </c>
      <c r="U134" s="30"/>
      <c r="V134" s="29" t="s">
        <v>55</v>
      </c>
      <c r="W134" s="27" t="s">
        <v>55</v>
      </c>
      <c r="X134" s="27"/>
      <c r="Y134" s="27" t="s">
        <v>55</v>
      </c>
      <c r="Z134" s="30" t="s">
        <v>55</v>
      </c>
      <c r="AA134" s="30"/>
      <c r="AB134" s="29" t="s">
        <v>55</v>
      </c>
      <c r="AC134" s="27" t="n">
        <v>71</v>
      </c>
      <c r="AD134" s="27" t="n">
        <f aca="false">AVERAGEA(AE134,AC134)</f>
        <v>35.5</v>
      </c>
      <c r="AE134" s="27" t="s">
        <v>117</v>
      </c>
      <c r="AF134" s="30" t="n">
        <v>50</v>
      </c>
      <c r="AG134" s="30" t="n">
        <f aca="false">AVERAGEA(AH134, AF134)</f>
        <v>35</v>
      </c>
      <c r="AH134" s="29" t="n">
        <v>20</v>
      </c>
      <c r="AI134" s="27" t="n">
        <v>0.25</v>
      </c>
      <c r="AJ134" s="27" t="n">
        <f aca="false">AVERAGEA(AK134, AI134)</f>
        <v>5.125</v>
      </c>
      <c r="AK134" s="27" t="n">
        <v>10</v>
      </c>
      <c r="AL134" s="29" t="n">
        <v>0.25</v>
      </c>
      <c r="AM134" s="30" t="n">
        <f aca="false">AVERAGEA(AN134, AL134)</f>
        <v>5.125</v>
      </c>
      <c r="AN134" s="29" t="n">
        <v>10</v>
      </c>
      <c r="AO134" s="27" t="n">
        <v>6</v>
      </c>
      <c r="AP134" s="27" t="n">
        <f aca="false">AVERAGEA(AQ134, AO134)</f>
        <v>87</v>
      </c>
      <c r="AQ134" s="27" t="n">
        <v>168</v>
      </c>
      <c r="AR134" s="29" t="n">
        <v>4</v>
      </c>
      <c r="AS134" s="30" t="n">
        <f aca="false">AVERAGEA(AT134, AR134)</f>
        <v>26</v>
      </c>
      <c r="AT134" s="29" t="n">
        <v>48</v>
      </c>
      <c r="AU134" s="27" t="n">
        <v>3000</v>
      </c>
      <c r="AV134" s="27" t="n">
        <f aca="false">AVERAGEA(AW134, AU134)</f>
        <v>5085.5</v>
      </c>
      <c r="AW134" s="27" t="n">
        <v>7171</v>
      </c>
      <c r="AX134" s="29" t="n">
        <v>5</v>
      </c>
      <c r="AY134" s="30" t="n">
        <f aca="false">AVERAGEA(AZ134, AX134)</f>
        <v>57.5</v>
      </c>
      <c r="AZ134" s="29" t="n">
        <v>110</v>
      </c>
      <c r="BA134" s="82" t="n">
        <v>0</v>
      </c>
      <c r="BB134" s="82" t="n">
        <f aca="false">AVERAGEA(BC134, BA134)</f>
        <v>2.5</v>
      </c>
      <c r="BC134" s="82" t="n">
        <v>5</v>
      </c>
      <c r="BD134" s="83" t="s">
        <v>68</v>
      </c>
      <c r="BE134" s="83"/>
      <c r="BF134" s="83" t="s">
        <v>68</v>
      </c>
      <c r="BG134" s="82" t="s">
        <v>69</v>
      </c>
      <c r="BH134" s="82"/>
      <c r="BI134" s="82" t="s">
        <v>69</v>
      </c>
      <c r="BJ134" s="83" t="n">
        <v>16.7</v>
      </c>
      <c r="BK134" s="30" t="n">
        <f aca="false">AVERAGEA(BJ134,BL134)</f>
        <v>78.35</v>
      </c>
      <c r="BL134" s="83" t="n">
        <v>140</v>
      </c>
      <c r="BM134" s="82" t="s">
        <v>69</v>
      </c>
      <c r="BN134" s="82"/>
      <c r="BO134" s="82" t="s">
        <v>69</v>
      </c>
      <c r="BP134" s="83" t="n">
        <v>20</v>
      </c>
      <c r="BQ134" s="84" t="n">
        <f aca="false">AVERAGEA(BP134,BR134)</f>
        <v>130</v>
      </c>
      <c r="BR134" s="83" t="n">
        <v>240</v>
      </c>
      <c r="BS134" s="82" t="n">
        <v>2</v>
      </c>
      <c r="BT134" s="82" t="n">
        <f aca="false">AVERAGEA(BS134,BU134)</f>
        <v>6</v>
      </c>
      <c r="BU134" s="85" t="n">
        <v>10</v>
      </c>
      <c r="BV134" s="83" t="n">
        <v>24</v>
      </c>
      <c r="BW134" s="84" t="n">
        <f aca="false">AVERAGEA(BV134,BX134)</f>
        <v>37</v>
      </c>
      <c r="BX134" s="83" t="n">
        <v>50</v>
      </c>
      <c r="BY134" s="82"/>
      <c r="BZ134" s="82" t="e">
        <f aca="false">AVERAGEA(BY134,CA134)</f>
        <v>#DIV/0!</v>
      </c>
      <c r="CA134" s="85"/>
      <c r="CB134" s="83"/>
      <c r="CC134" s="84" t="e">
        <f aca="false">AVERAGEA(CB134,CD134)</f>
        <v>#DIV/0!</v>
      </c>
      <c r="CD134" s="83"/>
      <c r="CE134" s="82"/>
      <c r="CF134" s="82" t="e">
        <f aca="false">AVERAGEA(CE134,CG134)</f>
        <v>#DIV/0!</v>
      </c>
      <c r="CG134" s="85"/>
    </row>
    <row r="135" s="18" customFormat="true" ht="28.35" hidden="false" customHeight="false" outlineLevel="0" collapsed="false">
      <c r="B135" s="78"/>
      <c r="C135" s="79"/>
      <c r="D135" s="79"/>
      <c r="E135" s="81"/>
      <c r="F135" s="32" t="s">
        <v>118</v>
      </c>
      <c r="G135" s="48"/>
      <c r="H135" s="37"/>
      <c r="I135" s="38" t="e">
        <f aca="false">AVERAGEA(H135,J135)</f>
        <v>#DIV/0!</v>
      </c>
      <c r="J135" s="37"/>
      <c r="K135" s="34" t="s">
        <v>55</v>
      </c>
      <c r="L135" s="35"/>
      <c r="M135" s="34" t="s">
        <v>55</v>
      </c>
      <c r="N135" s="37" t="n">
        <v>33</v>
      </c>
      <c r="O135" s="38" t="n">
        <f aca="false">AVERAGEA(N135,P135)</f>
        <v>35.5</v>
      </c>
      <c r="P135" s="37" t="n">
        <v>38</v>
      </c>
      <c r="Q135" s="34" t="s">
        <v>55</v>
      </c>
      <c r="R135" s="35"/>
      <c r="S135" s="34" t="s">
        <v>55</v>
      </c>
      <c r="T135" s="36" t="s">
        <v>55</v>
      </c>
      <c r="U135" s="37"/>
      <c r="V135" s="36" t="s">
        <v>55</v>
      </c>
      <c r="W135" s="34" t="s">
        <v>55</v>
      </c>
      <c r="X135" s="35"/>
      <c r="Y135" s="34" t="s">
        <v>55</v>
      </c>
      <c r="Z135" s="36" t="s">
        <v>55</v>
      </c>
      <c r="AA135" s="37"/>
      <c r="AB135" s="36" t="s">
        <v>55</v>
      </c>
      <c r="AC135" s="34" t="n">
        <v>71</v>
      </c>
      <c r="AD135" s="35" t="n">
        <f aca="false">AVERAGEA(AE135,AC135)</f>
        <v>35.5</v>
      </c>
      <c r="AE135" s="34" t="s">
        <v>117</v>
      </c>
      <c r="AF135" s="37" t="n">
        <v>50</v>
      </c>
      <c r="AG135" s="37" t="n">
        <f aca="false">AVERAGEA(AH135, AF135)</f>
        <v>35</v>
      </c>
      <c r="AH135" s="37" t="n">
        <v>20</v>
      </c>
      <c r="AI135" s="35" t="n">
        <v>0.25</v>
      </c>
      <c r="AJ135" s="39" t="n">
        <f aca="false">AVERAGEA(AK135, AI135)</f>
        <v>5.125</v>
      </c>
      <c r="AK135" s="39" t="n">
        <v>10</v>
      </c>
      <c r="AL135" s="37" t="n">
        <v>0.25</v>
      </c>
      <c r="AM135" s="37" t="n">
        <f aca="false">AVERAGEA(AN135, AL135)</f>
        <v>5.125</v>
      </c>
      <c r="AN135" s="37" t="n">
        <v>10</v>
      </c>
      <c r="AO135" s="35" t="n">
        <v>6</v>
      </c>
      <c r="AP135" s="35" t="n">
        <f aca="false">AVERAGEA(AQ135, AO135)</f>
        <v>87</v>
      </c>
      <c r="AQ135" s="35" t="n">
        <v>168</v>
      </c>
      <c r="AR135" s="37" t="n">
        <v>4</v>
      </c>
      <c r="AS135" s="38" t="n">
        <f aca="false">AVERAGEA(AT135, AR135)</f>
        <v>26</v>
      </c>
      <c r="AT135" s="37" t="n">
        <v>48</v>
      </c>
      <c r="AU135" s="35" t="n">
        <v>3000</v>
      </c>
      <c r="AV135" s="39" t="n">
        <f aca="false">AVERAGEA(AW135, AU135)</f>
        <v>5085.5</v>
      </c>
      <c r="AW135" s="35" t="n">
        <v>7171</v>
      </c>
      <c r="AX135" s="37" t="n">
        <v>5</v>
      </c>
      <c r="AY135" s="38" t="n">
        <f aca="false">AVERAGEA(AZ135, AX135)</f>
        <v>57.5</v>
      </c>
      <c r="AZ135" s="37" t="n">
        <v>110</v>
      </c>
      <c r="BA135" s="45" t="n">
        <v>0</v>
      </c>
      <c r="BB135" s="45" t="n">
        <f aca="false">AVERAGEA(BC135, BA135)</f>
        <v>2.5</v>
      </c>
      <c r="BC135" s="45" t="n">
        <v>5</v>
      </c>
      <c r="BD135" s="43" t="s">
        <v>68</v>
      </c>
      <c r="BE135" s="43"/>
      <c r="BF135" s="43" t="s">
        <v>68</v>
      </c>
      <c r="BG135" s="45" t="s">
        <v>69</v>
      </c>
      <c r="BH135" s="45"/>
      <c r="BI135" s="45" t="s">
        <v>69</v>
      </c>
      <c r="BJ135" s="43" t="n">
        <v>16.7</v>
      </c>
      <c r="BK135" s="37" t="n">
        <f aca="false">AVERAGEA(BJ135,BL135)</f>
        <v>78.35</v>
      </c>
      <c r="BL135" s="43" t="n">
        <v>140</v>
      </c>
      <c r="BM135" s="45" t="s">
        <v>69</v>
      </c>
      <c r="BN135" s="45"/>
      <c r="BO135" s="45" t="s">
        <v>69</v>
      </c>
      <c r="BP135" s="43" t="n">
        <v>20</v>
      </c>
      <c r="BQ135" s="43" t="n">
        <f aca="false">AVERAGEA(BP135,BR135)</f>
        <v>130</v>
      </c>
      <c r="BR135" s="43" t="n">
        <v>240</v>
      </c>
      <c r="BS135" s="45" t="n">
        <v>2</v>
      </c>
      <c r="BT135" s="45" t="n">
        <f aca="false">AVERAGEA(BS135,BU135)</f>
        <v>6</v>
      </c>
      <c r="BU135" s="46" t="n">
        <v>10</v>
      </c>
      <c r="BV135" s="43" t="n">
        <v>24</v>
      </c>
      <c r="BW135" s="43" t="n">
        <f aca="false">AVERAGEA(BV135,BX135)</f>
        <v>37</v>
      </c>
      <c r="BX135" s="43" t="n">
        <v>50</v>
      </c>
      <c r="BY135" s="45"/>
      <c r="BZ135" s="45" t="e">
        <f aca="false">AVERAGEA(BY135,CA135)</f>
        <v>#DIV/0!</v>
      </c>
      <c r="CA135" s="46"/>
      <c r="CB135" s="43"/>
      <c r="CC135" s="43" t="e">
        <f aca="false">AVERAGEA(CB135,CD135)</f>
        <v>#DIV/0!</v>
      </c>
      <c r="CD135" s="43"/>
      <c r="CE135" s="45"/>
      <c r="CF135" s="45" t="e">
        <f aca="false">AVERAGEA(CE135,CG135)</f>
        <v>#DIV/0!</v>
      </c>
      <c r="CG135" s="46"/>
    </row>
    <row r="136" s="18" customFormat="true" ht="26.4" hidden="false" customHeight="true" outlineLevel="0" collapsed="false">
      <c r="B136" s="78"/>
      <c r="C136" s="79"/>
      <c r="D136" s="47" t="s">
        <v>119</v>
      </c>
      <c r="E136" s="50"/>
      <c r="F136" s="32" t="s">
        <v>116</v>
      </c>
      <c r="G136" s="48"/>
      <c r="H136" s="37"/>
      <c r="I136" s="37" t="e">
        <f aca="false">AVERAGEA(H136,J136)</f>
        <v>#DIV/0!</v>
      </c>
      <c r="J136" s="37"/>
      <c r="K136" s="34" t="s">
        <v>55</v>
      </c>
      <c r="L136" s="35"/>
      <c r="M136" s="34" t="s">
        <v>55</v>
      </c>
      <c r="N136" s="37" t="n">
        <v>33</v>
      </c>
      <c r="O136" s="37" t="n">
        <f aca="false">AVERAGEA(N136,P136)</f>
        <v>33</v>
      </c>
      <c r="P136" s="37" t="n">
        <v>33</v>
      </c>
      <c r="Q136" s="34" t="s">
        <v>55</v>
      </c>
      <c r="R136" s="35"/>
      <c r="S136" s="34" t="s">
        <v>55</v>
      </c>
      <c r="T136" s="36" t="s">
        <v>55</v>
      </c>
      <c r="U136" s="37"/>
      <c r="V136" s="36" t="s">
        <v>55</v>
      </c>
      <c r="W136" s="34" t="s">
        <v>55</v>
      </c>
      <c r="X136" s="35"/>
      <c r="Y136" s="34" t="s">
        <v>55</v>
      </c>
      <c r="Z136" s="36" t="s">
        <v>55</v>
      </c>
      <c r="AA136" s="37"/>
      <c r="AB136" s="36" t="s">
        <v>55</v>
      </c>
      <c r="AC136" s="34" t="n">
        <v>71</v>
      </c>
      <c r="AD136" s="35" t="n">
        <f aca="false">AVERAGEA(AE136,AC136)</f>
        <v>35.5</v>
      </c>
      <c r="AE136" s="34" t="s">
        <v>117</v>
      </c>
      <c r="AF136" s="36" t="n">
        <v>60</v>
      </c>
      <c r="AG136" s="37" t="n">
        <f aca="false">AVERAGEA(AH136, AF136)</f>
        <v>40</v>
      </c>
      <c r="AH136" s="36" t="n">
        <v>20</v>
      </c>
      <c r="AI136" s="35" t="n">
        <v>0.25</v>
      </c>
      <c r="AJ136" s="35" t="n">
        <f aca="false">AVERAGEA(AK136, AI136)</f>
        <v>5.125</v>
      </c>
      <c r="AK136" s="35" t="n">
        <v>10</v>
      </c>
      <c r="AL136" s="37" t="n">
        <v>0.25</v>
      </c>
      <c r="AM136" s="37" t="n">
        <f aca="false">AVERAGEA(AN136, AL136)</f>
        <v>5.125</v>
      </c>
      <c r="AN136" s="36" t="n">
        <v>10</v>
      </c>
      <c r="AO136" s="34" t="n">
        <v>6</v>
      </c>
      <c r="AP136" s="35" t="n">
        <f aca="false">AVERAGEA(AQ136, AO136)</f>
        <v>87</v>
      </c>
      <c r="AQ136" s="34" t="n">
        <v>168</v>
      </c>
      <c r="AR136" s="37" t="n">
        <v>4</v>
      </c>
      <c r="AS136" s="37" t="n">
        <f aca="false">AVERAGEA(AT136, AR136)</f>
        <v>26</v>
      </c>
      <c r="AT136" s="36" t="n">
        <v>48</v>
      </c>
      <c r="AU136" s="34" t="n">
        <v>3000</v>
      </c>
      <c r="AV136" s="35" t="n">
        <f aca="false">AVERAGEA(AW136, AU136)</f>
        <v>5085.5</v>
      </c>
      <c r="AW136" s="34" t="n">
        <v>7171</v>
      </c>
      <c r="AX136" s="37" t="n">
        <v>5</v>
      </c>
      <c r="AY136" s="37" t="n">
        <f aca="false">AVERAGEA(AZ136, AX136)</f>
        <v>57.5</v>
      </c>
      <c r="AZ136" s="36" t="n">
        <v>110</v>
      </c>
      <c r="BA136" s="45" t="n">
        <v>0</v>
      </c>
      <c r="BB136" s="45" t="n">
        <f aca="false">AVERAGEA(BC136, BA136)</f>
        <v>2.5</v>
      </c>
      <c r="BC136" s="45" t="n">
        <v>5</v>
      </c>
      <c r="BD136" s="43" t="s">
        <v>68</v>
      </c>
      <c r="BE136" s="43"/>
      <c r="BF136" s="43" t="s">
        <v>68</v>
      </c>
      <c r="BG136" s="45" t="s">
        <v>69</v>
      </c>
      <c r="BH136" s="45"/>
      <c r="BI136" s="45" t="s">
        <v>69</v>
      </c>
      <c r="BJ136" s="43" t="n">
        <v>16.7</v>
      </c>
      <c r="BK136" s="37" t="n">
        <f aca="false">AVERAGEA(BJ136,BL136)</f>
        <v>78.35</v>
      </c>
      <c r="BL136" s="43" t="n">
        <v>140</v>
      </c>
      <c r="BM136" s="45" t="s">
        <v>69</v>
      </c>
      <c r="BN136" s="45"/>
      <c r="BO136" s="45" t="s">
        <v>69</v>
      </c>
      <c r="BP136" s="43" t="n">
        <v>20</v>
      </c>
      <c r="BQ136" s="43" t="n">
        <f aca="false">AVERAGEA(BP136,BR136)</f>
        <v>130</v>
      </c>
      <c r="BR136" s="43" t="n">
        <v>240</v>
      </c>
      <c r="BS136" s="45" t="n">
        <v>2</v>
      </c>
      <c r="BT136" s="45" t="n">
        <f aca="false">AVERAGEA(BS136,BU136)</f>
        <v>6</v>
      </c>
      <c r="BU136" s="46" t="n">
        <v>10</v>
      </c>
      <c r="BV136" s="43" t="n">
        <v>24</v>
      </c>
      <c r="BW136" s="43" t="n">
        <f aca="false">AVERAGEA(BV136,BX136)</f>
        <v>37</v>
      </c>
      <c r="BX136" s="43" t="n">
        <v>50</v>
      </c>
      <c r="BY136" s="45"/>
      <c r="BZ136" s="45" t="e">
        <f aca="false">AVERAGEA(BY136,CA136)</f>
        <v>#DIV/0!</v>
      </c>
      <c r="CA136" s="46"/>
      <c r="CB136" s="43"/>
      <c r="CC136" s="43" t="e">
        <f aca="false">AVERAGEA(CB136,CD136)</f>
        <v>#DIV/0!</v>
      </c>
      <c r="CD136" s="43"/>
      <c r="CE136" s="45"/>
      <c r="CF136" s="45" t="e">
        <f aca="false">AVERAGEA(CE136,CG136)</f>
        <v>#DIV/0!</v>
      </c>
      <c r="CG136" s="46"/>
    </row>
    <row r="137" s="18" customFormat="true" ht="28.35" hidden="false" customHeight="false" outlineLevel="0" collapsed="false">
      <c r="B137" s="78"/>
      <c r="C137" s="79"/>
      <c r="D137" s="79"/>
      <c r="E137" s="50"/>
      <c r="F137" s="47" t="s">
        <v>118</v>
      </c>
      <c r="G137" s="50"/>
      <c r="H137" s="51"/>
      <c r="I137" s="51" t="e">
        <f aca="false">AVERAGEA(H137,J137)</f>
        <v>#DIV/0!</v>
      </c>
      <c r="J137" s="52"/>
      <c r="K137" s="53" t="s">
        <v>55</v>
      </c>
      <c r="L137" s="54"/>
      <c r="M137" s="53" t="s">
        <v>55</v>
      </c>
      <c r="N137" s="51" t="n">
        <v>33</v>
      </c>
      <c r="O137" s="51" t="n">
        <f aca="false">AVERAGEA(N137,P137)</f>
        <v>33</v>
      </c>
      <c r="P137" s="52" t="n">
        <v>33</v>
      </c>
      <c r="Q137" s="53" t="s">
        <v>55</v>
      </c>
      <c r="R137" s="54"/>
      <c r="S137" s="53" t="s">
        <v>55</v>
      </c>
      <c r="T137" s="51" t="s">
        <v>55</v>
      </c>
      <c r="U137" s="51"/>
      <c r="V137" s="51" t="s">
        <v>55</v>
      </c>
      <c r="W137" s="53" t="s">
        <v>55</v>
      </c>
      <c r="X137" s="54"/>
      <c r="Y137" s="53" t="s">
        <v>55</v>
      </c>
      <c r="Z137" s="51" t="s">
        <v>55</v>
      </c>
      <c r="AA137" s="51"/>
      <c r="AB137" s="51" t="s">
        <v>55</v>
      </c>
      <c r="AC137" s="53" t="n">
        <v>71</v>
      </c>
      <c r="AD137" s="54" t="n">
        <f aca="false">AVERAGEA(AE137,AC137)</f>
        <v>35.5</v>
      </c>
      <c r="AE137" s="53" t="s">
        <v>117</v>
      </c>
      <c r="AF137" s="51" t="n">
        <v>60</v>
      </c>
      <c r="AG137" s="51" t="n">
        <f aca="false">AVERAGEA(AH137, AF137)</f>
        <v>40</v>
      </c>
      <c r="AH137" s="52" t="n">
        <v>20</v>
      </c>
      <c r="AI137" s="53" t="n">
        <v>0.25</v>
      </c>
      <c r="AJ137" s="54" t="n">
        <f aca="false">AVERAGEA(AK137, AI137)</f>
        <v>5.125</v>
      </c>
      <c r="AK137" s="54" t="n">
        <v>10</v>
      </c>
      <c r="AL137" s="51" t="n">
        <v>0.25</v>
      </c>
      <c r="AM137" s="51" t="n">
        <f aca="false">AVERAGEA(AN137, AL137)</f>
        <v>5.125</v>
      </c>
      <c r="AN137" s="51" t="n">
        <v>10</v>
      </c>
      <c r="AO137" s="53" t="n">
        <v>6</v>
      </c>
      <c r="AP137" s="53" t="n">
        <f aca="false">AVERAGEA(AQ137, AO137)</f>
        <v>87</v>
      </c>
      <c r="AQ137" s="53" t="n">
        <v>168</v>
      </c>
      <c r="AR137" s="51" t="n">
        <v>4</v>
      </c>
      <c r="AS137" s="51" t="n">
        <f aca="false">AVERAGEA(AT137, AR137)</f>
        <v>26</v>
      </c>
      <c r="AT137" s="51" t="n">
        <v>48</v>
      </c>
      <c r="AU137" s="53" t="n">
        <v>3000</v>
      </c>
      <c r="AV137" s="54" t="n">
        <f aca="false">AVERAGEA(AW137, AU137)</f>
        <v>5085.5</v>
      </c>
      <c r="AW137" s="53" t="n">
        <v>7171</v>
      </c>
      <c r="AX137" s="51" t="n">
        <v>5</v>
      </c>
      <c r="AY137" s="51" t="n">
        <f aca="false">AVERAGEA(AZ137, AX137)</f>
        <v>57.5</v>
      </c>
      <c r="AZ137" s="51" t="n">
        <v>110</v>
      </c>
      <c r="BA137" s="55" t="n">
        <v>0</v>
      </c>
      <c r="BB137" s="55" t="n">
        <f aca="false">AVERAGEA(BC137, BA137)</f>
        <v>2.5</v>
      </c>
      <c r="BC137" s="55" t="n">
        <v>5</v>
      </c>
      <c r="BD137" s="56" t="s">
        <v>68</v>
      </c>
      <c r="BE137" s="56"/>
      <c r="BF137" s="56" t="s">
        <v>68</v>
      </c>
      <c r="BG137" s="55" t="s">
        <v>69</v>
      </c>
      <c r="BH137" s="55"/>
      <c r="BI137" s="55" t="s">
        <v>69</v>
      </c>
      <c r="BJ137" s="56" t="n">
        <v>16.7</v>
      </c>
      <c r="BK137" s="51" t="n">
        <f aca="false">AVERAGEA(BJ137,BL137)</f>
        <v>78.35</v>
      </c>
      <c r="BL137" s="56" t="n">
        <v>140</v>
      </c>
      <c r="BM137" s="55" t="s">
        <v>69</v>
      </c>
      <c r="BN137" s="55"/>
      <c r="BO137" s="55" t="s">
        <v>69</v>
      </c>
      <c r="BP137" s="56" t="n">
        <v>20</v>
      </c>
      <c r="BQ137" s="56" t="n">
        <f aca="false">AVERAGEA(BP137,BR137)</f>
        <v>130</v>
      </c>
      <c r="BR137" s="56" t="n">
        <v>240</v>
      </c>
      <c r="BS137" s="55" t="n">
        <v>2</v>
      </c>
      <c r="BT137" s="55" t="n">
        <f aca="false">AVERAGEA(BS137,BU137)</f>
        <v>6</v>
      </c>
      <c r="BU137" s="57" t="n">
        <v>10</v>
      </c>
      <c r="BV137" s="56" t="n">
        <v>24</v>
      </c>
      <c r="BW137" s="56" t="n">
        <f aca="false">AVERAGEA(BV137,BX137)</f>
        <v>37</v>
      </c>
      <c r="BX137" s="56" t="n">
        <v>50</v>
      </c>
      <c r="BY137" s="55"/>
      <c r="BZ137" s="55" t="e">
        <f aca="false">AVERAGEA(BY137,CA137)</f>
        <v>#DIV/0!</v>
      </c>
      <c r="CA137" s="57"/>
      <c r="CB137" s="56"/>
      <c r="CC137" s="56" t="e">
        <f aca="false">AVERAGEA(CB137,CD137)</f>
        <v>#DIV/0!</v>
      </c>
      <c r="CD137" s="56"/>
      <c r="CE137" s="55"/>
      <c r="CF137" s="55" t="e">
        <f aca="false">AVERAGEA(CE137,CG137)</f>
        <v>#DIV/0!</v>
      </c>
      <c r="CG137" s="57"/>
    </row>
    <row r="138" s="18" customFormat="true" ht="28.35" hidden="false" customHeight="false" outlineLevel="0" collapsed="false">
      <c r="B138" s="86" t="s">
        <v>120</v>
      </c>
      <c r="C138" s="61" t="s">
        <v>102</v>
      </c>
      <c r="D138" s="61"/>
      <c r="E138" s="61"/>
      <c r="F138" s="61" t="s">
        <v>109</v>
      </c>
      <c r="G138" s="87"/>
      <c r="H138" s="29"/>
      <c r="I138" s="30" t="e">
        <f aca="false">AVERAGEA(H138,J138)</f>
        <v>#DIV/0!</v>
      </c>
      <c r="J138" s="29"/>
      <c r="K138" s="27" t="s">
        <v>55</v>
      </c>
      <c r="L138" s="27"/>
      <c r="M138" s="27" t="s">
        <v>55</v>
      </c>
      <c r="N138" s="29" t="n">
        <v>30</v>
      </c>
      <c r="O138" s="30" t="n">
        <f aca="false">AVERAGEA(N138,P138)</f>
        <v>35</v>
      </c>
      <c r="P138" s="29" t="n">
        <v>40</v>
      </c>
      <c r="Q138" s="27" t="s">
        <v>55</v>
      </c>
      <c r="R138" s="27"/>
      <c r="S138" s="27" t="s">
        <v>55</v>
      </c>
      <c r="T138" s="28" t="s">
        <v>55</v>
      </c>
      <c r="U138" s="30"/>
      <c r="V138" s="29" t="s">
        <v>55</v>
      </c>
      <c r="W138" s="27" t="s">
        <v>55</v>
      </c>
      <c r="X138" s="27"/>
      <c r="Y138" s="27" t="s">
        <v>55</v>
      </c>
      <c r="Z138" s="28" t="s">
        <v>55</v>
      </c>
      <c r="AA138" s="30"/>
      <c r="AB138" s="30" t="s">
        <v>55</v>
      </c>
      <c r="AC138" s="27" t="n">
        <v>85</v>
      </c>
      <c r="AD138" s="27" t="n">
        <f aca="false">AVERAGEA(AC138,AE138)</f>
        <v>85</v>
      </c>
      <c r="AE138" s="27" t="n">
        <v>85</v>
      </c>
      <c r="AF138" s="30" t="n">
        <v>30</v>
      </c>
      <c r="AG138" s="29" t="n">
        <f aca="false">AVERAGEA(AH138, AF138)</f>
        <v>30</v>
      </c>
      <c r="AH138" s="29" t="n">
        <v>30</v>
      </c>
      <c r="AI138" s="27" t="s">
        <v>68</v>
      </c>
      <c r="AJ138" s="27"/>
      <c r="AK138" s="27" t="s">
        <v>68</v>
      </c>
      <c r="AL138" s="83" t="s">
        <v>69</v>
      </c>
      <c r="AM138" s="30"/>
      <c r="AN138" s="83" t="s">
        <v>69</v>
      </c>
      <c r="AO138" s="27" t="s">
        <v>68</v>
      </c>
      <c r="AP138" s="27"/>
      <c r="AQ138" s="27" t="s">
        <v>68</v>
      </c>
      <c r="AR138" s="29" t="s">
        <v>68</v>
      </c>
      <c r="AS138" s="29"/>
      <c r="AT138" s="29" t="s">
        <v>68</v>
      </c>
      <c r="AU138" s="27" t="n">
        <v>883</v>
      </c>
      <c r="AV138" s="27" t="n">
        <f aca="false">AVERAGEA(AW138, AU138)</f>
        <v>2765.5</v>
      </c>
      <c r="AW138" s="27" t="n">
        <v>4648</v>
      </c>
      <c r="AX138" s="83" t="n">
        <v>116</v>
      </c>
      <c r="AY138" s="29" t="n">
        <f aca="false">AVERAGEA(AZ138, AX138)</f>
        <v>120.5</v>
      </c>
      <c r="AZ138" s="83" t="n">
        <v>125</v>
      </c>
      <c r="BA138" s="82" t="s">
        <v>69</v>
      </c>
      <c r="BB138" s="82"/>
      <c r="BC138" s="82" t="s">
        <v>69</v>
      </c>
      <c r="BD138" s="83" t="s">
        <v>68</v>
      </c>
      <c r="BE138" s="83"/>
      <c r="BF138" s="83" t="s">
        <v>68</v>
      </c>
      <c r="BG138" s="82" t="s">
        <v>69</v>
      </c>
      <c r="BH138" s="82"/>
      <c r="BI138" s="82" t="s">
        <v>69</v>
      </c>
      <c r="BJ138" s="83" t="s">
        <v>68</v>
      </c>
      <c r="BK138" s="30"/>
      <c r="BL138" s="83" t="s">
        <v>68</v>
      </c>
      <c r="BM138" s="82" t="s">
        <v>69</v>
      </c>
      <c r="BN138" s="82"/>
      <c r="BO138" s="82" t="s">
        <v>69</v>
      </c>
      <c r="BP138" s="83" t="s">
        <v>68</v>
      </c>
      <c r="BQ138" s="83"/>
      <c r="BR138" s="83" t="s">
        <v>68</v>
      </c>
      <c r="BS138" s="82" t="s">
        <v>68</v>
      </c>
      <c r="BT138" s="82"/>
      <c r="BU138" s="85" t="s">
        <v>68</v>
      </c>
      <c r="BV138" s="83" t="s">
        <v>68</v>
      </c>
      <c r="BW138" s="83"/>
      <c r="BX138" s="83" t="s">
        <v>68</v>
      </c>
      <c r="BY138" s="82"/>
      <c r="BZ138" s="82"/>
      <c r="CA138" s="85"/>
      <c r="CB138" s="83"/>
      <c r="CC138" s="83"/>
      <c r="CD138" s="83"/>
      <c r="CE138" s="82"/>
      <c r="CF138" s="82"/>
      <c r="CG138" s="85"/>
    </row>
    <row r="139" s="18" customFormat="true" ht="26.4" hidden="false" customHeight="true" outlineLevel="0" collapsed="false">
      <c r="B139" s="86"/>
      <c r="C139" s="63" t="s">
        <v>70</v>
      </c>
      <c r="D139" s="63" t="s">
        <v>71</v>
      </c>
      <c r="E139" s="63"/>
      <c r="F139" s="63" t="s">
        <v>109</v>
      </c>
      <c r="G139" s="88"/>
      <c r="H139" s="37"/>
      <c r="I139" s="37"/>
      <c r="J139" s="37"/>
      <c r="K139" s="34" t="s">
        <v>55</v>
      </c>
      <c r="L139" s="35"/>
      <c r="M139" s="34" t="s">
        <v>55</v>
      </c>
      <c r="N139" s="37" t="s">
        <v>55</v>
      </c>
      <c r="O139" s="37"/>
      <c r="P139" s="37" t="s">
        <v>55</v>
      </c>
      <c r="Q139" s="34" t="s">
        <v>55</v>
      </c>
      <c r="R139" s="35"/>
      <c r="S139" s="34" t="s">
        <v>55</v>
      </c>
      <c r="T139" s="36" t="s">
        <v>55</v>
      </c>
      <c r="U139" s="37"/>
      <c r="V139" s="36" t="s">
        <v>55</v>
      </c>
      <c r="W139" s="34" t="s">
        <v>55</v>
      </c>
      <c r="X139" s="35"/>
      <c r="Y139" s="34" t="s">
        <v>55</v>
      </c>
      <c r="Z139" s="36" t="s">
        <v>55</v>
      </c>
      <c r="AA139" s="37"/>
      <c r="AB139" s="36" t="s">
        <v>55</v>
      </c>
      <c r="AC139" s="34" t="s">
        <v>68</v>
      </c>
      <c r="AD139" s="35"/>
      <c r="AE139" s="34" t="s">
        <v>68</v>
      </c>
      <c r="AF139" s="36" t="n">
        <v>30</v>
      </c>
      <c r="AG139" s="37" t="n">
        <f aca="false">AVERAGEA(AH139, AF139)</f>
        <v>30</v>
      </c>
      <c r="AH139" s="36" t="n">
        <v>30</v>
      </c>
      <c r="AI139" s="35" t="s">
        <v>68</v>
      </c>
      <c r="AJ139" s="35"/>
      <c r="AK139" s="35" t="s">
        <v>68</v>
      </c>
      <c r="AL139" s="43" t="s">
        <v>69</v>
      </c>
      <c r="AM139" s="37"/>
      <c r="AN139" s="43" t="s">
        <v>69</v>
      </c>
      <c r="AO139" s="34" t="s">
        <v>68</v>
      </c>
      <c r="AP139" s="35"/>
      <c r="AQ139" s="34" t="s">
        <v>68</v>
      </c>
      <c r="AR139" s="43" t="s">
        <v>68</v>
      </c>
      <c r="AS139" s="37"/>
      <c r="AT139" s="43" t="s">
        <v>68</v>
      </c>
      <c r="AU139" s="34" t="s">
        <v>69</v>
      </c>
      <c r="AV139" s="35"/>
      <c r="AW139" s="34" t="s">
        <v>69</v>
      </c>
      <c r="AX139" s="43" t="n">
        <v>252</v>
      </c>
      <c r="AY139" s="37" t="n">
        <f aca="false">AVERAGEA(AZ139, AX139)</f>
        <v>259.5</v>
      </c>
      <c r="AZ139" s="43" t="n">
        <v>267</v>
      </c>
      <c r="BA139" s="45" t="s">
        <v>69</v>
      </c>
      <c r="BB139" s="45"/>
      <c r="BC139" s="45" t="s">
        <v>69</v>
      </c>
      <c r="BD139" s="43" t="s">
        <v>68</v>
      </c>
      <c r="BE139" s="43"/>
      <c r="BF139" s="43" t="s">
        <v>68</v>
      </c>
      <c r="BG139" s="45" t="s">
        <v>69</v>
      </c>
      <c r="BH139" s="45"/>
      <c r="BI139" s="45" t="s">
        <v>69</v>
      </c>
      <c r="BJ139" s="43" t="s">
        <v>68</v>
      </c>
      <c r="BK139" s="37"/>
      <c r="BL139" s="43" t="s">
        <v>68</v>
      </c>
      <c r="BM139" s="45" t="s">
        <v>69</v>
      </c>
      <c r="BN139" s="45"/>
      <c r="BO139" s="45" t="s">
        <v>69</v>
      </c>
      <c r="BP139" s="43" t="s">
        <v>68</v>
      </c>
      <c r="BQ139" s="43"/>
      <c r="BR139" s="43" t="s">
        <v>68</v>
      </c>
      <c r="BS139" s="45" t="s">
        <v>68</v>
      </c>
      <c r="BT139" s="45"/>
      <c r="BU139" s="46" t="s">
        <v>68</v>
      </c>
      <c r="BV139" s="43" t="s">
        <v>68</v>
      </c>
      <c r="BW139" s="43"/>
      <c r="BX139" s="43" t="s">
        <v>68</v>
      </c>
      <c r="BY139" s="45"/>
      <c r="BZ139" s="45"/>
      <c r="CA139" s="46"/>
      <c r="CB139" s="43"/>
      <c r="CC139" s="43"/>
      <c r="CD139" s="43"/>
      <c r="CE139" s="45"/>
      <c r="CF139" s="45"/>
      <c r="CG139" s="46"/>
    </row>
    <row r="140" s="18" customFormat="true" ht="28.35" hidden="false" customHeight="false" outlineLevel="0" collapsed="false">
      <c r="B140" s="86"/>
      <c r="C140" s="63" t="s">
        <v>72</v>
      </c>
      <c r="D140" s="63" t="s">
        <v>73</v>
      </c>
      <c r="E140" s="63"/>
      <c r="F140" s="63" t="s">
        <v>109</v>
      </c>
      <c r="G140" s="88"/>
      <c r="H140" s="37"/>
      <c r="I140" s="37"/>
      <c r="J140" s="37"/>
      <c r="K140" s="34" t="s">
        <v>55</v>
      </c>
      <c r="L140" s="35"/>
      <c r="M140" s="34" t="s">
        <v>55</v>
      </c>
      <c r="N140" s="37" t="s">
        <v>55</v>
      </c>
      <c r="O140" s="37"/>
      <c r="P140" s="37" t="s">
        <v>55</v>
      </c>
      <c r="Q140" s="34" t="s">
        <v>55</v>
      </c>
      <c r="R140" s="35"/>
      <c r="S140" s="34" t="s">
        <v>55</v>
      </c>
      <c r="T140" s="36" t="s">
        <v>55</v>
      </c>
      <c r="U140" s="37"/>
      <c r="V140" s="36" t="s">
        <v>55</v>
      </c>
      <c r="W140" s="34" t="s">
        <v>55</v>
      </c>
      <c r="X140" s="35"/>
      <c r="Y140" s="34" t="s">
        <v>55</v>
      </c>
      <c r="Z140" s="36" t="s">
        <v>55</v>
      </c>
      <c r="AA140" s="37"/>
      <c r="AB140" s="36" t="s">
        <v>55</v>
      </c>
      <c r="AC140" s="34" t="s">
        <v>68</v>
      </c>
      <c r="AD140" s="35"/>
      <c r="AE140" s="34" t="s">
        <v>68</v>
      </c>
      <c r="AF140" s="36" t="n">
        <v>30</v>
      </c>
      <c r="AG140" s="37" t="n">
        <f aca="false">AVERAGEA(AH140, AF140)</f>
        <v>30</v>
      </c>
      <c r="AH140" s="36" t="n">
        <v>30</v>
      </c>
      <c r="AI140" s="35" t="s">
        <v>68</v>
      </c>
      <c r="AJ140" s="35"/>
      <c r="AK140" s="35" t="s">
        <v>68</v>
      </c>
      <c r="AL140" s="43" t="s">
        <v>69</v>
      </c>
      <c r="AM140" s="37"/>
      <c r="AN140" s="43" t="s">
        <v>69</v>
      </c>
      <c r="AO140" s="34" t="s">
        <v>68</v>
      </c>
      <c r="AP140" s="35"/>
      <c r="AQ140" s="34" t="s">
        <v>68</v>
      </c>
      <c r="AR140" s="43" t="s">
        <v>68</v>
      </c>
      <c r="AS140" s="37"/>
      <c r="AT140" s="43" t="s">
        <v>68</v>
      </c>
      <c r="AU140" s="34" t="s">
        <v>69</v>
      </c>
      <c r="AV140" s="35"/>
      <c r="AW140" s="34" t="s">
        <v>69</v>
      </c>
      <c r="AX140" s="43" t="n">
        <v>252</v>
      </c>
      <c r="AY140" s="37" t="n">
        <f aca="false">AVERAGEA(AZ140, AX140)</f>
        <v>259.5</v>
      </c>
      <c r="AZ140" s="43" t="n">
        <v>267</v>
      </c>
      <c r="BA140" s="45" t="s">
        <v>69</v>
      </c>
      <c r="BB140" s="45"/>
      <c r="BC140" s="45" t="s">
        <v>69</v>
      </c>
      <c r="BD140" s="43" t="s">
        <v>68</v>
      </c>
      <c r="BE140" s="43"/>
      <c r="BF140" s="43" t="s">
        <v>68</v>
      </c>
      <c r="BG140" s="45" t="s">
        <v>69</v>
      </c>
      <c r="BH140" s="45"/>
      <c r="BI140" s="45" t="s">
        <v>69</v>
      </c>
      <c r="BJ140" s="43" t="s">
        <v>68</v>
      </c>
      <c r="BK140" s="37"/>
      <c r="BL140" s="43" t="s">
        <v>68</v>
      </c>
      <c r="BM140" s="45" t="s">
        <v>69</v>
      </c>
      <c r="BN140" s="45"/>
      <c r="BO140" s="45" t="s">
        <v>69</v>
      </c>
      <c r="BP140" s="43" t="s">
        <v>68</v>
      </c>
      <c r="BQ140" s="43"/>
      <c r="BR140" s="43" t="s">
        <v>68</v>
      </c>
      <c r="BS140" s="45" t="s">
        <v>68</v>
      </c>
      <c r="BT140" s="45"/>
      <c r="BU140" s="46" t="s">
        <v>68</v>
      </c>
      <c r="BV140" s="43" t="s">
        <v>68</v>
      </c>
      <c r="BW140" s="43"/>
      <c r="BX140" s="43" t="s">
        <v>68</v>
      </c>
      <c r="BY140" s="45"/>
      <c r="BZ140" s="45"/>
      <c r="CA140" s="46"/>
      <c r="CB140" s="43"/>
      <c r="CC140" s="43"/>
      <c r="CD140" s="43"/>
      <c r="CE140" s="45"/>
      <c r="CF140" s="45"/>
      <c r="CG140" s="46"/>
    </row>
    <row r="141" s="18" customFormat="true" ht="28.35" hidden="false" customHeight="false" outlineLevel="0" collapsed="false">
      <c r="B141" s="86"/>
      <c r="C141" s="73" t="s">
        <v>121</v>
      </c>
      <c r="D141" s="74"/>
      <c r="E141" s="75"/>
      <c r="F141" s="73" t="s">
        <v>109</v>
      </c>
      <c r="G141" s="89"/>
      <c r="H141" s="51"/>
      <c r="I141" s="51"/>
      <c r="J141" s="51"/>
      <c r="K141" s="53" t="s">
        <v>55</v>
      </c>
      <c r="L141" s="54"/>
      <c r="M141" s="53" t="s">
        <v>55</v>
      </c>
      <c r="N141" s="51" t="s">
        <v>55</v>
      </c>
      <c r="O141" s="51"/>
      <c r="P141" s="51" t="s">
        <v>55</v>
      </c>
      <c r="Q141" s="53" t="s">
        <v>55</v>
      </c>
      <c r="R141" s="54"/>
      <c r="S141" s="53" t="s">
        <v>55</v>
      </c>
      <c r="T141" s="51" t="s">
        <v>55</v>
      </c>
      <c r="U141" s="51"/>
      <c r="V141" s="51" t="s">
        <v>55</v>
      </c>
      <c r="W141" s="53" t="s">
        <v>55</v>
      </c>
      <c r="X141" s="54"/>
      <c r="Y141" s="53" t="s">
        <v>55</v>
      </c>
      <c r="Z141" s="51" t="s">
        <v>55</v>
      </c>
      <c r="AA141" s="51"/>
      <c r="AB141" s="51" t="s">
        <v>55</v>
      </c>
      <c r="AC141" s="53" t="s">
        <v>68</v>
      </c>
      <c r="AD141" s="54"/>
      <c r="AE141" s="53" t="s">
        <v>68</v>
      </c>
      <c r="AF141" s="51" t="n">
        <v>30</v>
      </c>
      <c r="AG141" s="52" t="n">
        <f aca="false">AVERAGEA(AH141, AF141)</f>
        <v>30</v>
      </c>
      <c r="AH141" s="51" t="n">
        <v>30</v>
      </c>
      <c r="AI141" s="53" t="s">
        <v>68</v>
      </c>
      <c r="AJ141" s="54"/>
      <c r="AK141" s="77" t="s">
        <v>68</v>
      </c>
      <c r="AL141" s="56" t="s">
        <v>69</v>
      </c>
      <c r="AM141" s="52"/>
      <c r="AN141" s="56" t="s">
        <v>69</v>
      </c>
      <c r="AO141" s="53" t="s">
        <v>68</v>
      </c>
      <c r="AP141" s="54"/>
      <c r="AQ141" s="53" t="s">
        <v>68</v>
      </c>
      <c r="AR141" s="56" t="s">
        <v>68</v>
      </c>
      <c r="AS141" s="52"/>
      <c r="AT141" s="56" t="s">
        <v>68</v>
      </c>
      <c r="AU141" s="53" t="s">
        <v>69</v>
      </c>
      <c r="AV141" s="54"/>
      <c r="AW141" s="53" t="s">
        <v>69</v>
      </c>
      <c r="AX141" s="56" t="s">
        <v>68</v>
      </c>
      <c r="AY141" s="52"/>
      <c r="AZ141" s="56" t="s">
        <v>68</v>
      </c>
      <c r="BA141" s="55" t="s">
        <v>69</v>
      </c>
      <c r="BB141" s="55"/>
      <c r="BC141" s="55" t="s">
        <v>69</v>
      </c>
      <c r="BD141" s="56" t="s">
        <v>68</v>
      </c>
      <c r="BE141" s="56"/>
      <c r="BF141" s="56" t="s">
        <v>68</v>
      </c>
      <c r="BG141" s="55" t="s">
        <v>69</v>
      </c>
      <c r="BH141" s="55"/>
      <c r="BI141" s="55" t="s">
        <v>69</v>
      </c>
      <c r="BJ141" s="56" t="s">
        <v>68</v>
      </c>
      <c r="BK141" s="51"/>
      <c r="BL141" s="56" t="s">
        <v>68</v>
      </c>
      <c r="BM141" s="55" t="s">
        <v>69</v>
      </c>
      <c r="BN141" s="55"/>
      <c r="BO141" s="55" t="s">
        <v>69</v>
      </c>
      <c r="BP141" s="56" t="s">
        <v>68</v>
      </c>
      <c r="BQ141" s="56"/>
      <c r="BR141" s="56" t="s">
        <v>68</v>
      </c>
      <c r="BS141" s="55" t="s">
        <v>68</v>
      </c>
      <c r="BT141" s="55"/>
      <c r="BU141" s="57" t="s">
        <v>68</v>
      </c>
      <c r="BV141" s="56" t="s">
        <v>68</v>
      </c>
      <c r="BW141" s="56"/>
      <c r="BX141" s="56" t="s">
        <v>68</v>
      </c>
      <c r="BY141" s="55"/>
      <c r="BZ141" s="55"/>
      <c r="CA141" s="57"/>
      <c r="CB141" s="56"/>
      <c r="CC141" s="56"/>
      <c r="CD141" s="56"/>
      <c r="CE141" s="55"/>
      <c r="CF141" s="55"/>
      <c r="CG141" s="57"/>
    </row>
    <row r="142" s="18" customFormat="true" ht="28.35" hidden="false" customHeight="false" outlineLevel="0" collapsed="false">
      <c r="B142" s="78" t="s">
        <v>122</v>
      </c>
      <c r="C142" s="20" t="s">
        <v>103</v>
      </c>
      <c r="D142" s="20"/>
      <c r="E142" s="20"/>
      <c r="F142" s="20" t="s">
        <v>109</v>
      </c>
      <c r="G142" s="90"/>
      <c r="H142" s="29"/>
      <c r="I142" s="30"/>
      <c r="J142" s="29"/>
      <c r="K142" s="27" t="s">
        <v>55</v>
      </c>
      <c r="L142" s="27"/>
      <c r="M142" s="27" t="s">
        <v>55</v>
      </c>
      <c r="N142" s="29" t="s">
        <v>55</v>
      </c>
      <c r="O142" s="30"/>
      <c r="P142" s="29" t="s">
        <v>55</v>
      </c>
      <c r="Q142" s="27" t="s">
        <v>55</v>
      </c>
      <c r="R142" s="27"/>
      <c r="S142" s="27" t="s">
        <v>55</v>
      </c>
      <c r="T142" s="28" t="s">
        <v>55</v>
      </c>
      <c r="U142" s="30"/>
      <c r="V142" s="29" t="s">
        <v>55</v>
      </c>
      <c r="W142" s="27" t="s">
        <v>55</v>
      </c>
      <c r="X142" s="27"/>
      <c r="Y142" s="27" t="s">
        <v>55</v>
      </c>
      <c r="Z142" s="28" t="s">
        <v>55</v>
      </c>
      <c r="AA142" s="30"/>
      <c r="AB142" s="29" t="s">
        <v>55</v>
      </c>
      <c r="AC142" s="27" t="n">
        <v>85</v>
      </c>
      <c r="AD142" s="27" t="n">
        <f aca="false">AVERAGEA(AC142,AE142)</f>
        <v>85</v>
      </c>
      <c r="AE142" s="27" t="n">
        <v>85</v>
      </c>
      <c r="AF142" s="83" t="s">
        <v>69</v>
      </c>
      <c r="AG142" s="29"/>
      <c r="AH142" s="83" t="s">
        <v>69</v>
      </c>
      <c r="AI142" s="27" t="s">
        <v>68</v>
      </c>
      <c r="AJ142" s="27"/>
      <c r="AK142" s="27" t="s">
        <v>68</v>
      </c>
      <c r="AL142" s="83" t="s">
        <v>69</v>
      </c>
      <c r="AM142" s="29"/>
      <c r="AN142" s="83" t="s">
        <v>69</v>
      </c>
      <c r="AO142" s="27" t="s">
        <v>68</v>
      </c>
      <c r="AP142" s="27"/>
      <c r="AQ142" s="27" t="s">
        <v>68</v>
      </c>
      <c r="AR142" s="29" t="s">
        <v>68</v>
      </c>
      <c r="AS142" s="30"/>
      <c r="AT142" s="29" t="s">
        <v>68</v>
      </c>
      <c r="AU142" s="27" t="n">
        <v>2015</v>
      </c>
      <c r="AV142" s="27" t="n">
        <f aca="false">AVERAGEA(AW142, AU142)</f>
        <v>2207.5</v>
      </c>
      <c r="AW142" s="27" t="n">
        <v>2400</v>
      </c>
      <c r="AX142" s="29" t="s">
        <v>68</v>
      </c>
      <c r="AY142" s="30"/>
      <c r="AZ142" s="29" t="s">
        <v>68</v>
      </c>
      <c r="BA142" s="82" t="n">
        <v>31</v>
      </c>
      <c r="BB142" s="82" t="n">
        <f aca="false">AVERAGEA(BC142, BA142)</f>
        <v>31</v>
      </c>
      <c r="BC142" s="82" t="n">
        <v>31</v>
      </c>
      <c r="BD142" s="83" t="s">
        <v>68</v>
      </c>
      <c r="BE142" s="84"/>
      <c r="BF142" s="83" t="s">
        <v>68</v>
      </c>
      <c r="BG142" s="82" t="s">
        <v>69</v>
      </c>
      <c r="BH142" s="82"/>
      <c r="BI142" s="82" t="s">
        <v>69</v>
      </c>
      <c r="BJ142" s="83" t="s">
        <v>68</v>
      </c>
      <c r="BK142" s="30"/>
      <c r="BL142" s="83" t="s">
        <v>68</v>
      </c>
      <c r="BM142" s="82" t="s">
        <v>69</v>
      </c>
      <c r="BN142" s="82"/>
      <c r="BO142" s="82" t="s">
        <v>69</v>
      </c>
      <c r="BP142" s="83" t="s">
        <v>68</v>
      </c>
      <c r="BQ142" s="84"/>
      <c r="BR142" s="83" t="s">
        <v>68</v>
      </c>
      <c r="BS142" s="82" t="s">
        <v>68</v>
      </c>
      <c r="BT142" s="82"/>
      <c r="BU142" s="85" t="s">
        <v>68</v>
      </c>
      <c r="BV142" s="83" t="s">
        <v>68</v>
      </c>
      <c r="BW142" s="84"/>
      <c r="BX142" s="83" t="s">
        <v>68</v>
      </c>
      <c r="BY142" s="82"/>
      <c r="BZ142" s="82"/>
      <c r="CA142" s="85"/>
      <c r="CB142" s="83"/>
      <c r="CC142" s="84"/>
      <c r="CD142" s="83"/>
      <c r="CE142" s="82"/>
      <c r="CF142" s="82"/>
      <c r="CG142" s="85"/>
    </row>
    <row r="143" s="18" customFormat="true" ht="28.35" hidden="false" customHeight="false" outlineLevel="0" collapsed="false">
      <c r="B143" s="78"/>
      <c r="C143" s="47" t="s">
        <v>111</v>
      </c>
      <c r="D143" s="47"/>
      <c r="E143" s="47"/>
      <c r="F143" s="47" t="s">
        <v>109</v>
      </c>
      <c r="G143" s="91"/>
      <c r="H143" s="51"/>
      <c r="I143" s="51"/>
      <c r="J143" s="52"/>
      <c r="K143" s="53" t="n">
        <v>26.86</v>
      </c>
      <c r="L143" s="54" t="n">
        <f aca="false">AVERAGEA(K143,M143)</f>
        <v>26.86</v>
      </c>
      <c r="M143" s="53" t="n">
        <v>26.86</v>
      </c>
      <c r="N143" s="51" t="s">
        <v>55</v>
      </c>
      <c r="O143" s="51"/>
      <c r="P143" s="52" t="s">
        <v>55</v>
      </c>
      <c r="Q143" s="53" t="n">
        <v>26.86</v>
      </c>
      <c r="R143" s="54" t="n">
        <f aca="false">AVERAGEA(Q143,S143)</f>
        <v>26.86</v>
      </c>
      <c r="S143" s="53" t="n">
        <v>26.86</v>
      </c>
      <c r="T143" s="51" t="n">
        <v>28.45</v>
      </c>
      <c r="U143" s="51" t="n">
        <f aca="false">AVERAGEA(T143,V143)</f>
        <v>28.45</v>
      </c>
      <c r="V143" s="51" t="n">
        <v>28.45</v>
      </c>
      <c r="W143" s="53" t="n">
        <v>87.05</v>
      </c>
      <c r="X143" s="54" t="n">
        <f aca="false">AVERAGEA(W143,Y143)</f>
        <v>87.05</v>
      </c>
      <c r="Y143" s="53" t="n">
        <v>87.05</v>
      </c>
      <c r="Z143" s="51" t="s">
        <v>55</v>
      </c>
      <c r="AA143" s="51"/>
      <c r="AB143" s="51" t="s">
        <v>55</v>
      </c>
      <c r="AC143" s="53" t="n">
        <v>85</v>
      </c>
      <c r="AD143" s="54" t="n">
        <f aca="false">AVERAGEA(AC143,AE143)</f>
        <v>85</v>
      </c>
      <c r="AE143" s="53" t="n">
        <v>85</v>
      </c>
      <c r="AF143" s="56" t="s">
        <v>69</v>
      </c>
      <c r="AG143" s="52"/>
      <c r="AH143" s="56" t="s">
        <v>69</v>
      </c>
      <c r="AI143" s="77" t="s">
        <v>68</v>
      </c>
      <c r="AJ143" s="54"/>
      <c r="AK143" s="77" t="s">
        <v>68</v>
      </c>
      <c r="AL143" s="56" t="s">
        <v>69</v>
      </c>
      <c r="AM143" s="52"/>
      <c r="AN143" s="56" t="s">
        <v>69</v>
      </c>
      <c r="AO143" s="53" t="s">
        <v>68</v>
      </c>
      <c r="AP143" s="54"/>
      <c r="AQ143" s="53" t="s">
        <v>68</v>
      </c>
      <c r="AR143" s="51" t="s">
        <v>68</v>
      </c>
      <c r="AS143" s="51"/>
      <c r="AT143" s="51" t="s">
        <v>68</v>
      </c>
      <c r="AU143" s="53" t="n">
        <v>2600</v>
      </c>
      <c r="AV143" s="54" t="n">
        <f aca="false">AVERAGEA(AW143, AU143)</f>
        <v>5487</v>
      </c>
      <c r="AW143" s="53" t="n">
        <v>8374</v>
      </c>
      <c r="AX143" s="51" t="n">
        <v>125</v>
      </c>
      <c r="AY143" s="51" t="n">
        <f aca="false">AVERAGEA(AZ143, AX143)</f>
        <v>173.5</v>
      </c>
      <c r="AZ143" s="51" t="n">
        <v>222</v>
      </c>
      <c r="BA143" s="55"/>
      <c r="BB143" s="55"/>
      <c r="BC143" s="55"/>
      <c r="BD143" s="56" t="s">
        <v>68</v>
      </c>
      <c r="BE143" s="56"/>
      <c r="BF143" s="56" t="s">
        <v>68</v>
      </c>
      <c r="BG143" s="55" t="s">
        <v>69</v>
      </c>
      <c r="BH143" s="55"/>
      <c r="BI143" s="55" t="s">
        <v>69</v>
      </c>
      <c r="BJ143" s="56" t="s">
        <v>68</v>
      </c>
      <c r="BK143" s="51"/>
      <c r="BL143" s="56" t="s">
        <v>68</v>
      </c>
      <c r="BM143" s="55" t="s">
        <v>69</v>
      </c>
      <c r="BN143" s="55"/>
      <c r="BO143" s="55" t="s">
        <v>69</v>
      </c>
      <c r="BP143" s="56" t="s">
        <v>68</v>
      </c>
      <c r="BQ143" s="56"/>
      <c r="BR143" s="56" t="s">
        <v>68</v>
      </c>
      <c r="BS143" s="55" t="s">
        <v>68</v>
      </c>
      <c r="BT143" s="55"/>
      <c r="BU143" s="57" t="s">
        <v>68</v>
      </c>
      <c r="BV143" s="56" t="s">
        <v>68</v>
      </c>
      <c r="BW143" s="56"/>
      <c r="BX143" s="56" t="s">
        <v>68</v>
      </c>
      <c r="BY143" s="55"/>
      <c r="BZ143" s="55"/>
      <c r="CA143" s="57"/>
      <c r="CB143" s="56"/>
      <c r="CC143" s="56"/>
      <c r="CD143" s="56"/>
      <c r="CE143" s="55"/>
      <c r="CF143" s="55"/>
      <c r="CG143" s="57"/>
    </row>
    <row r="144" s="18" customFormat="true" ht="26.4" hidden="false" customHeight="true" outlineLevel="0" collapsed="false">
      <c r="B144" s="86" t="s">
        <v>123</v>
      </c>
      <c r="C144" s="61" t="s">
        <v>124</v>
      </c>
      <c r="D144" s="59" t="s">
        <v>125</v>
      </c>
      <c r="E144" s="60"/>
      <c r="F144" s="61" t="s">
        <v>126</v>
      </c>
      <c r="G144" s="92"/>
      <c r="H144" s="29"/>
      <c r="I144" s="30" t="e">
        <f aca="false">AVERAGEA(H144,J144)</f>
        <v>#DIV/0!</v>
      </c>
      <c r="J144" s="29"/>
      <c r="K144" s="26" t="s">
        <v>55</v>
      </c>
      <c r="L144" s="27" t="n">
        <f aca="false">AVERAGEA(K144,M144)</f>
        <v>0</v>
      </c>
      <c r="M144" s="26" t="s">
        <v>55</v>
      </c>
      <c r="N144" s="29" t="n">
        <v>95</v>
      </c>
      <c r="O144" s="30" t="n">
        <f aca="false">AVERAGEA(N144,P144)</f>
        <v>95</v>
      </c>
      <c r="P144" s="29" t="n">
        <v>95</v>
      </c>
      <c r="Q144" s="26" t="s">
        <v>55</v>
      </c>
      <c r="R144" s="27" t="n">
        <f aca="false">AVERAGEA(Q144,S144)</f>
        <v>0</v>
      </c>
      <c r="S144" s="26" t="s">
        <v>55</v>
      </c>
      <c r="T144" s="28" t="s">
        <v>55</v>
      </c>
      <c r="U144" s="29" t="n">
        <f aca="false">AVERAGEA(V144, T144)</f>
        <v>0</v>
      </c>
      <c r="V144" s="29" t="s">
        <v>55</v>
      </c>
      <c r="W144" s="26" t="s">
        <v>55</v>
      </c>
      <c r="X144" s="27" t="n">
        <f aca="false">AVERAGEA(Y144, W144)</f>
        <v>0</v>
      </c>
      <c r="Y144" s="26" t="s">
        <v>55</v>
      </c>
      <c r="Z144" s="28" t="s">
        <v>55</v>
      </c>
      <c r="AA144" s="29"/>
      <c r="AB144" s="30" t="s">
        <v>55</v>
      </c>
      <c r="AC144" s="26" t="n">
        <v>98</v>
      </c>
      <c r="AD144" s="27" t="n">
        <f aca="false">AVERAGEA(AC144,AE144)</f>
        <v>98</v>
      </c>
      <c r="AE144" s="26" t="n">
        <v>98</v>
      </c>
      <c r="AF144" s="83" t="s">
        <v>69</v>
      </c>
      <c r="AG144" s="83"/>
      <c r="AH144" s="83" t="s">
        <v>69</v>
      </c>
      <c r="AI144" s="26" t="s">
        <v>68</v>
      </c>
      <c r="AJ144" s="27"/>
      <c r="AK144" s="26" t="s">
        <v>68</v>
      </c>
      <c r="AL144" s="83" t="s">
        <v>69</v>
      </c>
      <c r="AM144" s="29"/>
      <c r="AN144" s="83" t="s">
        <v>69</v>
      </c>
      <c r="AO144" s="26" t="s">
        <v>68</v>
      </c>
      <c r="AP144" s="27"/>
      <c r="AQ144" s="26" t="s">
        <v>68</v>
      </c>
      <c r="AR144" s="29" t="s">
        <v>68</v>
      </c>
      <c r="AS144" s="30"/>
      <c r="AT144" s="29" t="s">
        <v>68</v>
      </c>
      <c r="AU144" s="26" t="n">
        <v>1800</v>
      </c>
      <c r="AV144" s="27" t="n">
        <f aca="false">AVERAGEA(AW144, AU144)</f>
        <v>3391</v>
      </c>
      <c r="AW144" s="26" t="n">
        <v>4982</v>
      </c>
      <c r="AX144" s="29" t="n">
        <v>38</v>
      </c>
      <c r="AY144" s="30" t="n">
        <f aca="false">AVERAGEA(AZ144, AX144)</f>
        <v>39.5</v>
      </c>
      <c r="AZ144" s="29" t="n">
        <v>41</v>
      </c>
      <c r="BA144" s="82" t="n">
        <v>0</v>
      </c>
      <c r="BB144" s="82" t="n">
        <f aca="false">AVERAGEA(BC144, BA144)</f>
        <v>0</v>
      </c>
      <c r="BC144" s="82" t="n">
        <v>0</v>
      </c>
      <c r="BD144" s="83" t="s">
        <v>68</v>
      </c>
      <c r="BE144" s="83"/>
      <c r="BF144" s="83" t="s">
        <v>68</v>
      </c>
      <c r="BG144" s="82" t="s">
        <v>69</v>
      </c>
      <c r="BH144" s="82"/>
      <c r="BI144" s="82" t="s">
        <v>69</v>
      </c>
      <c r="BJ144" s="83" t="s">
        <v>68</v>
      </c>
      <c r="BK144" s="30"/>
      <c r="BL144" s="83" t="s">
        <v>68</v>
      </c>
      <c r="BM144" s="82" t="s">
        <v>69</v>
      </c>
      <c r="BN144" s="82"/>
      <c r="BO144" s="82" t="s">
        <v>69</v>
      </c>
      <c r="BP144" s="83" t="s">
        <v>68</v>
      </c>
      <c r="BQ144" s="83"/>
      <c r="BR144" s="83" t="s">
        <v>68</v>
      </c>
      <c r="BS144" s="82" t="s">
        <v>68</v>
      </c>
      <c r="BT144" s="82"/>
      <c r="BU144" s="85" t="s">
        <v>68</v>
      </c>
      <c r="BV144" s="83" t="s">
        <v>68</v>
      </c>
      <c r="BW144" s="83"/>
      <c r="BX144" s="83" t="s">
        <v>68</v>
      </c>
      <c r="BY144" s="82"/>
      <c r="BZ144" s="82"/>
      <c r="CA144" s="85"/>
      <c r="CB144" s="83"/>
      <c r="CC144" s="83"/>
      <c r="CD144" s="83"/>
      <c r="CE144" s="82"/>
      <c r="CF144" s="82"/>
      <c r="CG144" s="85"/>
    </row>
    <row r="145" s="18" customFormat="true" ht="28.35" hidden="false" customHeight="false" outlineLevel="0" collapsed="false">
      <c r="B145" s="86"/>
      <c r="C145" s="61"/>
      <c r="D145" s="59"/>
      <c r="E145" s="60"/>
      <c r="F145" s="63" t="s">
        <v>127</v>
      </c>
      <c r="G145" s="93"/>
      <c r="H145" s="37"/>
      <c r="I145" s="38" t="e">
        <f aca="false">AVERAGEA(H145,J145)</f>
        <v>#DIV/0!</v>
      </c>
      <c r="J145" s="37"/>
      <c r="K145" s="34" t="s">
        <v>55</v>
      </c>
      <c r="L145" s="39" t="n">
        <f aca="false">AVERAGEA(K145,M145)</f>
        <v>0</v>
      </c>
      <c r="M145" s="34" t="s">
        <v>55</v>
      </c>
      <c r="N145" s="37" t="n">
        <v>95</v>
      </c>
      <c r="O145" s="38" t="n">
        <f aca="false">AVERAGEA(N145,P145)</f>
        <v>95</v>
      </c>
      <c r="P145" s="37" t="n">
        <v>95</v>
      </c>
      <c r="Q145" s="34" t="s">
        <v>55</v>
      </c>
      <c r="R145" s="39" t="n">
        <f aca="false">AVERAGEA(Q145,S145)</f>
        <v>0</v>
      </c>
      <c r="S145" s="34" t="s">
        <v>55</v>
      </c>
      <c r="T145" s="36" t="s">
        <v>55</v>
      </c>
      <c r="U145" s="37" t="n">
        <f aca="false">AVERAGEA(V145, T145)</f>
        <v>0</v>
      </c>
      <c r="V145" s="36" t="s">
        <v>55</v>
      </c>
      <c r="W145" s="34" t="s">
        <v>55</v>
      </c>
      <c r="X145" s="39" t="n">
        <f aca="false">AVERAGEA(Y145, W145)</f>
        <v>0</v>
      </c>
      <c r="Y145" s="34" t="s">
        <v>55</v>
      </c>
      <c r="Z145" s="36" t="s">
        <v>55</v>
      </c>
      <c r="AA145" s="37"/>
      <c r="AB145" s="37" t="s">
        <v>55</v>
      </c>
      <c r="AC145" s="34" t="n">
        <v>98</v>
      </c>
      <c r="AD145" s="39" t="n">
        <f aca="false">AVERAGEA(AC145,AE145)</f>
        <v>98</v>
      </c>
      <c r="AE145" s="34" t="n">
        <v>98</v>
      </c>
      <c r="AF145" s="43" t="s">
        <v>69</v>
      </c>
      <c r="AG145" s="43"/>
      <c r="AH145" s="43" t="s">
        <v>69</v>
      </c>
      <c r="AI145" s="34" t="s">
        <v>68</v>
      </c>
      <c r="AJ145" s="39"/>
      <c r="AK145" s="34" t="s">
        <v>68</v>
      </c>
      <c r="AL145" s="43" t="s">
        <v>69</v>
      </c>
      <c r="AM145" s="37"/>
      <c r="AN145" s="43" t="s">
        <v>69</v>
      </c>
      <c r="AO145" s="34" t="s">
        <v>68</v>
      </c>
      <c r="AP145" s="39"/>
      <c r="AQ145" s="34" t="s">
        <v>68</v>
      </c>
      <c r="AR145" s="37" t="s">
        <v>68</v>
      </c>
      <c r="AS145" s="38"/>
      <c r="AT145" s="37" t="s">
        <v>68</v>
      </c>
      <c r="AU145" s="34" t="n">
        <v>1800</v>
      </c>
      <c r="AV145" s="39" t="n">
        <f aca="false">AVERAGEA(AW145, AU145)</f>
        <v>3391</v>
      </c>
      <c r="AW145" s="34" t="n">
        <v>4982</v>
      </c>
      <c r="AX145" s="37" t="n">
        <v>41</v>
      </c>
      <c r="AY145" s="38" t="n">
        <f aca="false">AVERAGEA(AZ145, AX145)</f>
        <v>41</v>
      </c>
      <c r="AZ145" s="37" t="n">
        <v>41</v>
      </c>
      <c r="BA145" s="45" t="n">
        <v>0</v>
      </c>
      <c r="BB145" s="45" t="n">
        <f aca="false">AVERAGEA(BC145, BA145)</f>
        <v>0</v>
      </c>
      <c r="BC145" s="45" t="n">
        <v>0</v>
      </c>
      <c r="BD145" s="43" t="s">
        <v>68</v>
      </c>
      <c r="BE145" s="43"/>
      <c r="BF145" s="43" t="s">
        <v>68</v>
      </c>
      <c r="BG145" s="45" t="s">
        <v>69</v>
      </c>
      <c r="BH145" s="45"/>
      <c r="BI145" s="45" t="s">
        <v>69</v>
      </c>
      <c r="BJ145" s="43" t="s">
        <v>68</v>
      </c>
      <c r="BK145" s="37"/>
      <c r="BL145" s="43" t="s">
        <v>68</v>
      </c>
      <c r="BM145" s="45" t="s">
        <v>69</v>
      </c>
      <c r="BN145" s="45"/>
      <c r="BO145" s="45" t="s">
        <v>69</v>
      </c>
      <c r="BP145" s="43" t="s">
        <v>68</v>
      </c>
      <c r="BQ145" s="43"/>
      <c r="BR145" s="43" t="s">
        <v>68</v>
      </c>
      <c r="BS145" s="45" t="s">
        <v>68</v>
      </c>
      <c r="BT145" s="45"/>
      <c r="BU145" s="46" t="s">
        <v>68</v>
      </c>
      <c r="BV145" s="43" t="s">
        <v>68</v>
      </c>
      <c r="BW145" s="43"/>
      <c r="BX145" s="43" t="s">
        <v>68</v>
      </c>
      <c r="BY145" s="45"/>
      <c r="BZ145" s="45"/>
      <c r="CA145" s="46"/>
      <c r="CB145" s="43"/>
      <c r="CC145" s="43"/>
      <c r="CD145" s="43"/>
      <c r="CE145" s="45"/>
      <c r="CF145" s="45"/>
      <c r="CG145" s="46"/>
    </row>
    <row r="146" s="18" customFormat="true" ht="28.35" hidden="false" customHeight="false" outlineLevel="0" collapsed="false">
      <c r="B146" s="86"/>
      <c r="C146" s="61"/>
      <c r="D146" s="59"/>
      <c r="E146" s="60"/>
      <c r="F146" s="63" t="s">
        <v>128</v>
      </c>
      <c r="G146" s="93"/>
      <c r="H146" s="37"/>
      <c r="I146" s="38" t="e">
        <f aca="false">AVERAGEA(H146,J146)</f>
        <v>#DIV/0!</v>
      </c>
      <c r="J146" s="37"/>
      <c r="K146" s="34" t="s">
        <v>55</v>
      </c>
      <c r="L146" s="39" t="n">
        <f aca="false">AVERAGEA(K146,M146)</f>
        <v>0</v>
      </c>
      <c r="M146" s="34" t="s">
        <v>55</v>
      </c>
      <c r="N146" s="37" t="n">
        <v>90</v>
      </c>
      <c r="O146" s="38" t="n">
        <f aca="false">AVERAGEA(N146,P146)</f>
        <v>90</v>
      </c>
      <c r="P146" s="37" t="n">
        <v>90</v>
      </c>
      <c r="Q146" s="34" t="s">
        <v>55</v>
      </c>
      <c r="R146" s="39" t="n">
        <f aca="false">AVERAGEA(Q146,S146)</f>
        <v>0</v>
      </c>
      <c r="S146" s="34" t="s">
        <v>55</v>
      </c>
      <c r="T146" s="36" t="s">
        <v>55</v>
      </c>
      <c r="U146" s="37" t="n">
        <f aca="false">AVERAGEA(V146, T146)</f>
        <v>0</v>
      </c>
      <c r="V146" s="36" t="s">
        <v>55</v>
      </c>
      <c r="W146" s="34" t="s">
        <v>55</v>
      </c>
      <c r="X146" s="39" t="n">
        <f aca="false">AVERAGEA(Y146, W146)</f>
        <v>0</v>
      </c>
      <c r="Y146" s="34" t="s">
        <v>55</v>
      </c>
      <c r="Z146" s="36" t="s">
        <v>55</v>
      </c>
      <c r="AA146" s="37"/>
      <c r="AB146" s="37" t="s">
        <v>55</v>
      </c>
      <c r="AC146" s="34" t="n">
        <v>98</v>
      </c>
      <c r="AD146" s="39" t="n">
        <f aca="false">AVERAGEA(AC146,AE146)</f>
        <v>98</v>
      </c>
      <c r="AE146" s="34" t="n">
        <v>98</v>
      </c>
      <c r="AF146" s="43" t="s">
        <v>69</v>
      </c>
      <c r="AG146" s="43"/>
      <c r="AH146" s="43" t="s">
        <v>69</v>
      </c>
      <c r="AI146" s="34" t="s">
        <v>68</v>
      </c>
      <c r="AJ146" s="39"/>
      <c r="AK146" s="34" t="s">
        <v>68</v>
      </c>
      <c r="AL146" s="43" t="s">
        <v>69</v>
      </c>
      <c r="AM146" s="37"/>
      <c r="AN146" s="43" t="s">
        <v>69</v>
      </c>
      <c r="AO146" s="34" t="s">
        <v>68</v>
      </c>
      <c r="AP146" s="39"/>
      <c r="AQ146" s="34" t="s">
        <v>68</v>
      </c>
      <c r="AR146" s="37" t="s">
        <v>68</v>
      </c>
      <c r="AS146" s="38"/>
      <c r="AT146" s="37" t="s">
        <v>68</v>
      </c>
      <c r="AU146" s="34" t="n">
        <v>1800</v>
      </c>
      <c r="AV146" s="39" t="n">
        <f aca="false">AVERAGEA(AW146, AU146)</f>
        <v>3391</v>
      </c>
      <c r="AW146" s="34" t="n">
        <v>4982</v>
      </c>
      <c r="AX146" s="37" t="n">
        <v>36</v>
      </c>
      <c r="AY146" s="38" t="n">
        <f aca="false">AVERAGEA(AZ146, AX146)</f>
        <v>48</v>
      </c>
      <c r="AZ146" s="37" t="n">
        <v>60</v>
      </c>
      <c r="BA146" s="45" t="n">
        <v>0</v>
      </c>
      <c r="BB146" s="45" t="n">
        <f aca="false">AVERAGEA(BC146, BA146)</f>
        <v>0</v>
      </c>
      <c r="BC146" s="45" t="n">
        <v>0</v>
      </c>
      <c r="BD146" s="43" t="s">
        <v>68</v>
      </c>
      <c r="BE146" s="43"/>
      <c r="BF146" s="43" t="s">
        <v>68</v>
      </c>
      <c r="BG146" s="45" t="s">
        <v>69</v>
      </c>
      <c r="BH146" s="45"/>
      <c r="BI146" s="45" t="s">
        <v>69</v>
      </c>
      <c r="BJ146" s="43" t="s">
        <v>68</v>
      </c>
      <c r="BK146" s="37"/>
      <c r="BL146" s="43" t="s">
        <v>68</v>
      </c>
      <c r="BM146" s="45" t="s">
        <v>69</v>
      </c>
      <c r="BN146" s="45"/>
      <c r="BO146" s="45" t="s">
        <v>69</v>
      </c>
      <c r="BP146" s="43" t="s">
        <v>68</v>
      </c>
      <c r="BQ146" s="43"/>
      <c r="BR146" s="43" t="s">
        <v>68</v>
      </c>
      <c r="BS146" s="45" t="s">
        <v>68</v>
      </c>
      <c r="BT146" s="45"/>
      <c r="BU146" s="46" t="s">
        <v>68</v>
      </c>
      <c r="BV146" s="43" t="s">
        <v>68</v>
      </c>
      <c r="BW146" s="43"/>
      <c r="BX146" s="43" t="s">
        <v>68</v>
      </c>
      <c r="BY146" s="45"/>
      <c r="BZ146" s="45"/>
      <c r="CA146" s="46"/>
      <c r="CB146" s="43"/>
      <c r="CC146" s="43"/>
      <c r="CD146" s="43"/>
      <c r="CE146" s="45"/>
      <c r="CF146" s="45"/>
      <c r="CG146" s="46"/>
    </row>
    <row r="147" s="18" customFormat="true" ht="28.35" hidden="false" customHeight="false" outlineLevel="0" collapsed="false">
      <c r="B147" s="86"/>
      <c r="C147" s="61"/>
      <c r="D147" s="59"/>
      <c r="E147" s="60"/>
      <c r="F147" s="63" t="s">
        <v>129</v>
      </c>
      <c r="G147" s="93"/>
      <c r="H147" s="37"/>
      <c r="I147" s="38" t="e">
        <f aca="false">AVERAGEA(H147,J147)</f>
        <v>#DIV/0!</v>
      </c>
      <c r="J147" s="37"/>
      <c r="K147" s="34" t="s">
        <v>55</v>
      </c>
      <c r="L147" s="39" t="n">
        <f aca="false">AVERAGEA(K147,M147)</f>
        <v>0</v>
      </c>
      <c r="M147" s="34" t="s">
        <v>55</v>
      </c>
      <c r="N147" s="37" t="n">
        <v>90</v>
      </c>
      <c r="O147" s="38" t="n">
        <f aca="false">AVERAGEA(N147,P147)</f>
        <v>90</v>
      </c>
      <c r="P147" s="37" t="n">
        <v>90</v>
      </c>
      <c r="Q147" s="34" t="s">
        <v>55</v>
      </c>
      <c r="R147" s="39" t="n">
        <f aca="false">AVERAGEA(Q147,S147)</f>
        <v>0</v>
      </c>
      <c r="S147" s="34" t="s">
        <v>55</v>
      </c>
      <c r="T147" s="36" t="s">
        <v>55</v>
      </c>
      <c r="U147" s="37" t="n">
        <f aca="false">AVERAGEA(V147, T147)</f>
        <v>0</v>
      </c>
      <c r="V147" s="36" t="s">
        <v>55</v>
      </c>
      <c r="W147" s="34" t="s">
        <v>55</v>
      </c>
      <c r="X147" s="39" t="n">
        <f aca="false">AVERAGEA(Y147, W147)</f>
        <v>0</v>
      </c>
      <c r="Y147" s="34" t="s">
        <v>55</v>
      </c>
      <c r="Z147" s="36" t="s">
        <v>55</v>
      </c>
      <c r="AA147" s="37"/>
      <c r="AB147" s="37" t="s">
        <v>55</v>
      </c>
      <c r="AC147" s="34" t="n">
        <v>98</v>
      </c>
      <c r="AD147" s="39" t="n">
        <f aca="false">AVERAGEA(AC147,AE147)</f>
        <v>98</v>
      </c>
      <c r="AE147" s="34" t="n">
        <v>98</v>
      </c>
      <c r="AF147" s="43" t="s">
        <v>69</v>
      </c>
      <c r="AG147" s="43"/>
      <c r="AH147" s="43" t="s">
        <v>69</v>
      </c>
      <c r="AI147" s="34" t="s">
        <v>68</v>
      </c>
      <c r="AJ147" s="39"/>
      <c r="AK147" s="34" t="s">
        <v>68</v>
      </c>
      <c r="AL147" s="43" t="s">
        <v>69</v>
      </c>
      <c r="AM147" s="37"/>
      <c r="AN147" s="43" t="s">
        <v>69</v>
      </c>
      <c r="AO147" s="34" t="s">
        <v>68</v>
      </c>
      <c r="AP147" s="39"/>
      <c r="AQ147" s="34" t="s">
        <v>68</v>
      </c>
      <c r="AR147" s="37" t="s">
        <v>68</v>
      </c>
      <c r="AS147" s="38"/>
      <c r="AT147" s="37" t="s">
        <v>68</v>
      </c>
      <c r="AU147" s="34" t="n">
        <v>1800</v>
      </c>
      <c r="AV147" s="39" t="n">
        <f aca="false">AVERAGEA(AW147, AU147)</f>
        <v>3391</v>
      </c>
      <c r="AW147" s="34" t="n">
        <v>4982</v>
      </c>
      <c r="AX147" s="37" t="n">
        <v>41</v>
      </c>
      <c r="AY147" s="38" t="n">
        <f aca="false">AVERAGEA(AZ147, AX147)</f>
        <v>133</v>
      </c>
      <c r="AZ147" s="37" t="n">
        <v>225</v>
      </c>
      <c r="BA147" s="45" t="n">
        <v>0</v>
      </c>
      <c r="BB147" s="45" t="n">
        <f aca="false">AVERAGEA(BC147, BA147)</f>
        <v>0</v>
      </c>
      <c r="BC147" s="45" t="n">
        <v>0</v>
      </c>
      <c r="BD147" s="43" t="s">
        <v>68</v>
      </c>
      <c r="BE147" s="43"/>
      <c r="BF147" s="43" t="s">
        <v>68</v>
      </c>
      <c r="BG147" s="45" t="s">
        <v>69</v>
      </c>
      <c r="BH147" s="45"/>
      <c r="BI147" s="45" t="s">
        <v>69</v>
      </c>
      <c r="BJ147" s="43" t="s">
        <v>68</v>
      </c>
      <c r="BK147" s="37"/>
      <c r="BL147" s="43" t="s">
        <v>68</v>
      </c>
      <c r="BM147" s="45" t="s">
        <v>69</v>
      </c>
      <c r="BN147" s="45"/>
      <c r="BO147" s="45" t="s">
        <v>69</v>
      </c>
      <c r="BP147" s="43" t="s">
        <v>68</v>
      </c>
      <c r="BQ147" s="43"/>
      <c r="BR147" s="43" t="s">
        <v>68</v>
      </c>
      <c r="BS147" s="45" t="s">
        <v>68</v>
      </c>
      <c r="BT147" s="45"/>
      <c r="BU147" s="46" t="s">
        <v>68</v>
      </c>
      <c r="BV147" s="43" t="s">
        <v>68</v>
      </c>
      <c r="BW147" s="43"/>
      <c r="BX147" s="43" t="s">
        <v>68</v>
      </c>
      <c r="BY147" s="45"/>
      <c r="BZ147" s="45"/>
      <c r="CA147" s="46"/>
      <c r="CB147" s="43"/>
      <c r="CC147" s="43"/>
      <c r="CD147" s="43"/>
      <c r="CE147" s="45"/>
      <c r="CF147" s="45"/>
      <c r="CG147" s="46"/>
    </row>
    <row r="148" s="18" customFormat="true" ht="28.35" hidden="false" customHeight="false" outlineLevel="0" collapsed="false">
      <c r="B148" s="86"/>
      <c r="C148" s="61"/>
      <c r="D148" s="65" t="s">
        <v>130</v>
      </c>
      <c r="E148" s="67"/>
      <c r="F148" s="63" t="s">
        <v>131</v>
      </c>
      <c r="G148" s="93"/>
      <c r="H148" s="37"/>
      <c r="I148" s="38" t="e">
        <f aca="false">AVERAGEA(H148,J148)</f>
        <v>#DIV/0!</v>
      </c>
      <c r="J148" s="37"/>
      <c r="K148" s="34" t="s">
        <v>55</v>
      </c>
      <c r="L148" s="39" t="n">
        <f aca="false">AVERAGEA(K148,M148)</f>
        <v>0</v>
      </c>
      <c r="M148" s="34" t="s">
        <v>55</v>
      </c>
      <c r="N148" s="37" t="n">
        <v>95</v>
      </c>
      <c r="O148" s="38" t="n">
        <f aca="false">AVERAGEA(N148,P148)</f>
        <v>95</v>
      </c>
      <c r="P148" s="37" t="n">
        <v>95</v>
      </c>
      <c r="Q148" s="34" t="s">
        <v>55</v>
      </c>
      <c r="R148" s="39" t="n">
        <f aca="false">AVERAGEA(Q148,S148)</f>
        <v>0</v>
      </c>
      <c r="S148" s="34" t="s">
        <v>55</v>
      </c>
      <c r="T148" s="36" t="s">
        <v>55</v>
      </c>
      <c r="U148" s="37" t="n">
        <f aca="false">AVERAGEA(V148, T148)</f>
        <v>0</v>
      </c>
      <c r="V148" s="36" t="s">
        <v>55</v>
      </c>
      <c r="W148" s="34" t="s">
        <v>55</v>
      </c>
      <c r="X148" s="39" t="n">
        <f aca="false">AVERAGEA(Y148, W148)</f>
        <v>0</v>
      </c>
      <c r="Y148" s="34" t="s">
        <v>55</v>
      </c>
      <c r="Z148" s="36" t="s">
        <v>55</v>
      </c>
      <c r="AA148" s="37"/>
      <c r="AB148" s="37" t="s">
        <v>55</v>
      </c>
      <c r="AC148" s="34" t="n">
        <v>98</v>
      </c>
      <c r="AD148" s="39" t="n">
        <f aca="false">AVERAGEA(AC148,AE148)</f>
        <v>98</v>
      </c>
      <c r="AE148" s="34" t="n">
        <v>98</v>
      </c>
      <c r="AF148" s="43" t="s">
        <v>69</v>
      </c>
      <c r="AG148" s="43"/>
      <c r="AH148" s="43" t="s">
        <v>69</v>
      </c>
      <c r="AI148" s="34" t="s">
        <v>68</v>
      </c>
      <c r="AJ148" s="39"/>
      <c r="AK148" s="34" t="s">
        <v>68</v>
      </c>
      <c r="AL148" s="43" t="s">
        <v>69</v>
      </c>
      <c r="AM148" s="37"/>
      <c r="AN148" s="43" t="s">
        <v>69</v>
      </c>
      <c r="AO148" s="34" t="s">
        <v>68</v>
      </c>
      <c r="AP148" s="39"/>
      <c r="AQ148" s="34" t="s">
        <v>68</v>
      </c>
      <c r="AR148" s="37" t="s">
        <v>68</v>
      </c>
      <c r="AS148" s="38"/>
      <c r="AT148" s="37" t="s">
        <v>68</v>
      </c>
      <c r="AU148" s="34" t="n">
        <v>1673</v>
      </c>
      <c r="AV148" s="39" t="n">
        <f aca="false">AVERAGEA(AW148, AU148)</f>
        <v>8825</v>
      </c>
      <c r="AW148" s="34" t="n">
        <v>15977</v>
      </c>
      <c r="AX148" s="37" t="n">
        <v>38</v>
      </c>
      <c r="AY148" s="38" t="n">
        <f aca="false">AVERAGEA(AZ148, AX148)</f>
        <v>39.5</v>
      </c>
      <c r="AZ148" s="37" t="n">
        <v>41</v>
      </c>
      <c r="BA148" s="45" t="n">
        <v>0</v>
      </c>
      <c r="BB148" s="45" t="n">
        <f aca="false">AVERAGEA(BC148, BA148)</f>
        <v>0</v>
      </c>
      <c r="BC148" s="45" t="n">
        <v>0</v>
      </c>
      <c r="BD148" s="43" t="s">
        <v>68</v>
      </c>
      <c r="BE148" s="43"/>
      <c r="BF148" s="43" t="s">
        <v>68</v>
      </c>
      <c r="BG148" s="45" t="s">
        <v>69</v>
      </c>
      <c r="BH148" s="45"/>
      <c r="BI148" s="45" t="s">
        <v>69</v>
      </c>
      <c r="BJ148" s="43" t="s">
        <v>68</v>
      </c>
      <c r="BK148" s="37"/>
      <c r="BL148" s="43" t="s">
        <v>68</v>
      </c>
      <c r="BM148" s="45" t="s">
        <v>69</v>
      </c>
      <c r="BN148" s="45"/>
      <c r="BO148" s="45" t="s">
        <v>69</v>
      </c>
      <c r="BP148" s="43" t="s">
        <v>68</v>
      </c>
      <c r="BQ148" s="43"/>
      <c r="BR148" s="43" t="s">
        <v>68</v>
      </c>
      <c r="BS148" s="45" t="s">
        <v>68</v>
      </c>
      <c r="BT148" s="45"/>
      <c r="BU148" s="46" t="s">
        <v>68</v>
      </c>
      <c r="BV148" s="43" t="s">
        <v>68</v>
      </c>
      <c r="BW148" s="43"/>
      <c r="BX148" s="43" t="s">
        <v>68</v>
      </c>
      <c r="BY148" s="45"/>
      <c r="BZ148" s="45"/>
      <c r="CA148" s="46"/>
      <c r="CB148" s="43"/>
      <c r="CC148" s="43"/>
      <c r="CD148" s="43"/>
      <c r="CE148" s="45"/>
      <c r="CF148" s="45"/>
      <c r="CG148" s="46"/>
    </row>
    <row r="149" s="18" customFormat="true" ht="28.35" hidden="false" customHeight="false" outlineLevel="0" collapsed="false">
      <c r="B149" s="86"/>
      <c r="C149" s="61"/>
      <c r="D149" s="65"/>
      <c r="E149" s="67"/>
      <c r="F149" s="63" t="s">
        <v>132</v>
      </c>
      <c r="G149" s="93"/>
      <c r="H149" s="37"/>
      <c r="I149" s="38" t="e">
        <f aca="false">AVERAGEA(H149,J149)</f>
        <v>#DIV/0!</v>
      </c>
      <c r="J149" s="37"/>
      <c r="K149" s="34" t="s">
        <v>55</v>
      </c>
      <c r="L149" s="39" t="n">
        <f aca="false">AVERAGEA(K149,M149)</f>
        <v>0</v>
      </c>
      <c r="M149" s="34" t="s">
        <v>55</v>
      </c>
      <c r="N149" s="37" t="n">
        <v>95</v>
      </c>
      <c r="O149" s="38" t="n">
        <f aca="false">AVERAGEA(N149,P149)</f>
        <v>95</v>
      </c>
      <c r="P149" s="37" t="n">
        <v>95</v>
      </c>
      <c r="Q149" s="34" t="s">
        <v>55</v>
      </c>
      <c r="R149" s="39" t="n">
        <f aca="false">AVERAGEA(Q149,S149)</f>
        <v>0</v>
      </c>
      <c r="S149" s="34" t="s">
        <v>55</v>
      </c>
      <c r="T149" s="36" t="s">
        <v>55</v>
      </c>
      <c r="U149" s="37" t="n">
        <f aca="false">AVERAGEA(V149, T149)</f>
        <v>0</v>
      </c>
      <c r="V149" s="36" t="s">
        <v>55</v>
      </c>
      <c r="W149" s="34" t="s">
        <v>55</v>
      </c>
      <c r="X149" s="39" t="n">
        <f aca="false">AVERAGEA(Y149, W149)</f>
        <v>0</v>
      </c>
      <c r="Y149" s="34" t="s">
        <v>55</v>
      </c>
      <c r="Z149" s="36" t="s">
        <v>55</v>
      </c>
      <c r="AA149" s="37"/>
      <c r="AB149" s="37" t="s">
        <v>55</v>
      </c>
      <c r="AC149" s="34" t="n">
        <v>98</v>
      </c>
      <c r="AD149" s="39" t="n">
        <f aca="false">AVERAGEA(AC149,AE149)</f>
        <v>98</v>
      </c>
      <c r="AE149" s="34" t="n">
        <v>98</v>
      </c>
      <c r="AF149" s="43" t="s">
        <v>69</v>
      </c>
      <c r="AG149" s="43"/>
      <c r="AH149" s="43" t="s">
        <v>69</v>
      </c>
      <c r="AI149" s="34" t="s">
        <v>68</v>
      </c>
      <c r="AJ149" s="39"/>
      <c r="AK149" s="34" t="s">
        <v>68</v>
      </c>
      <c r="AL149" s="43" t="s">
        <v>69</v>
      </c>
      <c r="AM149" s="37"/>
      <c r="AN149" s="43" t="s">
        <v>69</v>
      </c>
      <c r="AO149" s="34" t="s">
        <v>68</v>
      </c>
      <c r="AP149" s="39"/>
      <c r="AQ149" s="34" t="s">
        <v>68</v>
      </c>
      <c r="AR149" s="37" t="s">
        <v>68</v>
      </c>
      <c r="AS149" s="38"/>
      <c r="AT149" s="37" t="s">
        <v>68</v>
      </c>
      <c r="AU149" s="34" t="n">
        <v>1673</v>
      </c>
      <c r="AV149" s="39" t="n">
        <f aca="false">AVERAGEA(AW149, AU149)</f>
        <v>8825</v>
      </c>
      <c r="AW149" s="34" t="n">
        <v>15977</v>
      </c>
      <c r="AX149" s="37" t="n">
        <v>41</v>
      </c>
      <c r="AY149" s="38" t="n">
        <f aca="false">AVERAGEA(AZ149, AX149)</f>
        <v>41</v>
      </c>
      <c r="AZ149" s="37" t="n">
        <v>41</v>
      </c>
      <c r="BA149" s="45" t="n">
        <v>0</v>
      </c>
      <c r="BB149" s="45" t="n">
        <f aca="false">AVERAGEA(BC149, BA149)</f>
        <v>0</v>
      </c>
      <c r="BC149" s="45" t="n">
        <v>0</v>
      </c>
      <c r="BD149" s="43" t="s">
        <v>68</v>
      </c>
      <c r="BE149" s="43"/>
      <c r="BF149" s="43" t="s">
        <v>68</v>
      </c>
      <c r="BG149" s="45" t="s">
        <v>69</v>
      </c>
      <c r="BH149" s="45"/>
      <c r="BI149" s="45" t="s">
        <v>69</v>
      </c>
      <c r="BJ149" s="43" t="s">
        <v>68</v>
      </c>
      <c r="BK149" s="37"/>
      <c r="BL149" s="43" t="s">
        <v>68</v>
      </c>
      <c r="BM149" s="45" t="s">
        <v>69</v>
      </c>
      <c r="BN149" s="45"/>
      <c r="BO149" s="45" t="s">
        <v>69</v>
      </c>
      <c r="BP149" s="43" t="s">
        <v>68</v>
      </c>
      <c r="BQ149" s="43"/>
      <c r="BR149" s="43" t="s">
        <v>68</v>
      </c>
      <c r="BS149" s="45" t="s">
        <v>68</v>
      </c>
      <c r="BT149" s="45"/>
      <c r="BU149" s="46" t="s">
        <v>68</v>
      </c>
      <c r="BV149" s="43" t="s">
        <v>68</v>
      </c>
      <c r="BW149" s="43"/>
      <c r="BX149" s="43" t="s">
        <v>68</v>
      </c>
      <c r="BY149" s="45"/>
      <c r="BZ149" s="45"/>
      <c r="CA149" s="46"/>
      <c r="CB149" s="43"/>
      <c r="CC149" s="43"/>
      <c r="CD149" s="43"/>
      <c r="CE149" s="45"/>
      <c r="CF149" s="45"/>
      <c r="CG149" s="46"/>
    </row>
    <row r="150" s="18" customFormat="true" ht="28.35" hidden="false" customHeight="false" outlineLevel="0" collapsed="false">
      <c r="B150" s="86"/>
      <c r="C150" s="61"/>
      <c r="D150" s="65"/>
      <c r="E150" s="67"/>
      <c r="F150" s="63" t="s">
        <v>128</v>
      </c>
      <c r="G150" s="93"/>
      <c r="H150" s="37"/>
      <c r="I150" s="38" t="e">
        <f aca="false">AVERAGEA(H150,J150)</f>
        <v>#DIV/0!</v>
      </c>
      <c r="J150" s="37"/>
      <c r="K150" s="34" t="s">
        <v>55</v>
      </c>
      <c r="L150" s="39" t="n">
        <f aca="false">AVERAGEA(K150,M150)</f>
        <v>0</v>
      </c>
      <c r="M150" s="34" t="s">
        <v>55</v>
      </c>
      <c r="N150" s="37" t="n">
        <v>90</v>
      </c>
      <c r="O150" s="38" t="n">
        <f aca="false">AVERAGEA(N150,P150)</f>
        <v>90</v>
      </c>
      <c r="P150" s="37" t="n">
        <v>90</v>
      </c>
      <c r="Q150" s="34" t="s">
        <v>55</v>
      </c>
      <c r="R150" s="39" t="n">
        <f aca="false">AVERAGEA(Q150,S150)</f>
        <v>0</v>
      </c>
      <c r="S150" s="34" t="s">
        <v>55</v>
      </c>
      <c r="T150" s="36" t="s">
        <v>55</v>
      </c>
      <c r="U150" s="37" t="n">
        <f aca="false">AVERAGEA(V150, T150)</f>
        <v>0</v>
      </c>
      <c r="V150" s="36" t="s">
        <v>55</v>
      </c>
      <c r="W150" s="34" t="s">
        <v>55</v>
      </c>
      <c r="X150" s="39" t="n">
        <f aca="false">AVERAGEA(Y150, W150)</f>
        <v>0</v>
      </c>
      <c r="Y150" s="34" t="s">
        <v>55</v>
      </c>
      <c r="Z150" s="36" t="s">
        <v>55</v>
      </c>
      <c r="AA150" s="37"/>
      <c r="AB150" s="37" t="s">
        <v>55</v>
      </c>
      <c r="AC150" s="34" t="n">
        <v>98</v>
      </c>
      <c r="AD150" s="39" t="n">
        <f aca="false">AVERAGEA(AC150,AE150)</f>
        <v>98</v>
      </c>
      <c r="AE150" s="34" t="n">
        <v>98</v>
      </c>
      <c r="AF150" s="43" t="s">
        <v>69</v>
      </c>
      <c r="AG150" s="43"/>
      <c r="AH150" s="43" t="s">
        <v>69</v>
      </c>
      <c r="AI150" s="34" t="s">
        <v>68</v>
      </c>
      <c r="AJ150" s="39"/>
      <c r="AK150" s="34" t="s">
        <v>68</v>
      </c>
      <c r="AL150" s="43" t="s">
        <v>69</v>
      </c>
      <c r="AM150" s="37"/>
      <c r="AN150" s="43" t="s">
        <v>69</v>
      </c>
      <c r="AO150" s="34" t="s">
        <v>68</v>
      </c>
      <c r="AP150" s="39"/>
      <c r="AQ150" s="34" t="s">
        <v>68</v>
      </c>
      <c r="AR150" s="37" t="s">
        <v>68</v>
      </c>
      <c r="AS150" s="38"/>
      <c r="AT150" s="37" t="s">
        <v>68</v>
      </c>
      <c r="AU150" s="34" t="n">
        <v>1800</v>
      </c>
      <c r="AV150" s="39" t="n">
        <f aca="false">AVERAGEA(AW150, AU150)</f>
        <v>6689.5</v>
      </c>
      <c r="AW150" s="34" t="n">
        <v>11579</v>
      </c>
      <c r="AX150" s="37" t="n">
        <v>36</v>
      </c>
      <c r="AY150" s="38" t="n">
        <f aca="false">AVERAGEA(AZ150, AX150)</f>
        <v>48</v>
      </c>
      <c r="AZ150" s="37" t="n">
        <v>60</v>
      </c>
      <c r="BA150" s="45" t="n">
        <v>0</v>
      </c>
      <c r="BB150" s="45" t="n">
        <f aca="false">AVERAGEA(BC150, BA150)</f>
        <v>0</v>
      </c>
      <c r="BC150" s="45" t="n">
        <v>0</v>
      </c>
      <c r="BD150" s="43" t="s">
        <v>68</v>
      </c>
      <c r="BE150" s="43"/>
      <c r="BF150" s="43" t="s">
        <v>68</v>
      </c>
      <c r="BG150" s="45" t="s">
        <v>69</v>
      </c>
      <c r="BH150" s="45"/>
      <c r="BI150" s="45" t="s">
        <v>69</v>
      </c>
      <c r="BJ150" s="43" t="s">
        <v>68</v>
      </c>
      <c r="BK150" s="37"/>
      <c r="BL150" s="43" t="s">
        <v>68</v>
      </c>
      <c r="BM150" s="45" t="s">
        <v>69</v>
      </c>
      <c r="BN150" s="45"/>
      <c r="BO150" s="45" t="s">
        <v>69</v>
      </c>
      <c r="BP150" s="43" t="s">
        <v>68</v>
      </c>
      <c r="BQ150" s="43"/>
      <c r="BR150" s="43" t="s">
        <v>68</v>
      </c>
      <c r="BS150" s="45" t="s">
        <v>68</v>
      </c>
      <c r="BT150" s="45"/>
      <c r="BU150" s="46" t="s">
        <v>68</v>
      </c>
      <c r="BV150" s="43" t="s">
        <v>68</v>
      </c>
      <c r="BW150" s="43"/>
      <c r="BX150" s="43" t="s">
        <v>68</v>
      </c>
      <c r="BY150" s="45"/>
      <c r="BZ150" s="45"/>
      <c r="CA150" s="46"/>
      <c r="CB150" s="43"/>
      <c r="CC150" s="43"/>
      <c r="CD150" s="43"/>
      <c r="CE150" s="45"/>
      <c r="CF150" s="45"/>
      <c r="CG150" s="46"/>
    </row>
    <row r="151" s="18" customFormat="true" ht="28.35" hidden="false" customHeight="false" outlineLevel="0" collapsed="false">
      <c r="B151" s="86"/>
      <c r="C151" s="61"/>
      <c r="D151" s="65"/>
      <c r="E151" s="67"/>
      <c r="F151" s="63" t="s">
        <v>129</v>
      </c>
      <c r="G151" s="93"/>
      <c r="H151" s="37"/>
      <c r="I151" s="38" t="e">
        <f aca="false">AVERAGEA(H151,J151)</f>
        <v>#DIV/0!</v>
      </c>
      <c r="J151" s="37"/>
      <c r="K151" s="34" t="s">
        <v>55</v>
      </c>
      <c r="L151" s="39" t="n">
        <f aca="false">AVERAGEA(K151,M151)</f>
        <v>0</v>
      </c>
      <c r="M151" s="34" t="s">
        <v>55</v>
      </c>
      <c r="N151" s="37" t="n">
        <v>90</v>
      </c>
      <c r="O151" s="38" t="n">
        <f aca="false">AVERAGEA(N151,P151)</f>
        <v>90</v>
      </c>
      <c r="P151" s="37" t="n">
        <v>90</v>
      </c>
      <c r="Q151" s="34" t="s">
        <v>55</v>
      </c>
      <c r="R151" s="39" t="n">
        <f aca="false">AVERAGEA(Q151,S151)</f>
        <v>0</v>
      </c>
      <c r="S151" s="34" t="s">
        <v>55</v>
      </c>
      <c r="T151" s="36" t="s">
        <v>55</v>
      </c>
      <c r="U151" s="37" t="n">
        <f aca="false">AVERAGEA(V151, T151)</f>
        <v>0</v>
      </c>
      <c r="V151" s="36" t="s">
        <v>55</v>
      </c>
      <c r="W151" s="34" t="s">
        <v>55</v>
      </c>
      <c r="X151" s="39" t="n">
        <f aca="false">AVERAGEA(Y151, W151)</f>
        <v>0</v>
      </c>
      <c r="Y151" s="34" t="s">
        <v>55</v>
      </c>
      <c r="Z151" s="36" t="s">
        <v>55</v>
      </c>
      <c r="AA151" s="37"/>
      <c r="AB151" s="37" t="s">
        <v>55</v>
      </c>
      <c r="AC151" s="34" t="n">
        <v>98</v>
      </c>
      <c r="AD151" s="39" t="n">
        <f aca="false">AVERAGEA(AC151,AE151)</f>
        <v>98</v>
      </c>
      <c r="AE151" s="34" t="n">
        <v>98</v>
      </c>
      <c r="AF151" s="43" t="s">
        <v>69</v>
      </c>
      <c r="AG151" s="43"/>
      <c r="AH151" s="43" t="s">
        <v>69</v>
      </c>
      <c r="AI151" s="34" t="s">
        <v>68</v>
      </c>
      <c r="AJ151" s="39"/>
      <c r="AK151" s="34" t="s">
        <v>68</v>
      </c>
      <c r="AL151" s="43" t="s">
        <v>69</v>
      </c>
      <c r="AM151" s="37"/>
      <c r="AN151" s="43" t="s">
        <v>69</v>
      </c>
      <c r="AO151" s="34" t="s">
        <v>68</v>
      </c>
      <c r="AP151" s="39"/>
      <c r="AQ151" s="34" t="s">
        <v>68</v>
      </c>
      <c r="AR151" s="37" t="s">
        <v>68</v>
      </c>
      <c r="AS151" s="38"/>
      <c r="AT151" s="37" t="s">
        <v>68</v>
      </c>
      <c r="AU151" s="34" t="n">
        <v>1800</v>
      </c>
      <c r="AV151" s="39" t="n">
        <f aca="false">AVERAGEA(AW151, AU151)</f>
        <v>6689.5</v>
      </c>
      <c r="AW151" s="34" t="n">
        <v>11579</v>
      </c>
      <c r="AX151" s="37" t="n">
        <v>41</v>
      </c>
      <c r="AY151" s="38" t="n">
        <f aca="false">AVERAGEA(AZ151, AX151)</f>
        <v>133</v>
      </c>
      <c r="AZ151" s="37" t="n">
        <v>225</v>
      </c>
      <c r="BA151" s="45" t="n">
        <v>0</v>
      </c>
      <c r="BB151" s="45" t="n">
        <f aca="false">AVERAGEA(BC151, BA151)</f>
        <v>0</v>
      </c>
      <c r="BC151" s="45" t="n">
        <v>0</v>
      </c>
      <c r="BD151" s="43" t="s">
        <v>68</v>
      </c>
      <c r="BE151" s="43"/>
      <c r="BF151" s="43" t="s">
        <v>68</v>
      </c>
      <c r="BG151" s="45" t="s">
        <v>69</v>
      </c>
      <c r="BH151" s="45"/>
      <c r="BI151" s="45" t="s">
        <v>69</v>
      </c>
      <c r="BJ151" s="43" t="s">
        <v>68</v>
      </c>
      <c r="BK151" s="37"/>
      <c r="BL151" s="43" t="s">
        <v>68</v>
      </c>
      <c r="BM151" s="45" t="s">
        <v>69</v>
      </c>
      <c r="BN151" s="45"/>
      <c r="BO151" s="45" t="s">
        <v>69</v>
      </c>
      <c r="BP151" s="43" t="s">
        <v>68</v>
      </c>
      <c r="BQ151" s="43"/>
      <c r="BR151" s="43" t="s">
        <v>68</v>
      </c>
      <c r="BS151" s="45" t="s">
        <v>68</v>
      </c>
      <c r="BT151" s="45"/>
      <c r="BU151" s="46" t="s">
        <v>68</v>
      </c>
      <c r="BV151" s="43" t="s">
        <v>68</v>
      </c>
      <c r="BW151" s="43"/>
      <c r="BX151" s="43" t="s">
        <v>68</v>
      </c>
      <c r="BY151" s="45"/>
      <c r="BZ151" s="45"/>
      <c r="CA151" s="46"/>
      <c r="CB151" s="43"/>
      <c r="CC151" s="43"/>
      <c r="CD151" s="43"/>
      <c r="CE151" s="45"/>
      <c r="CF151" s="45"/>
      <c r="CG151" s="46"/>
    </row>
    <row r="152" s="18" customFormat="true" ht="28.35" hidden="false" customHeight="false" outlineLevel="0" collapsed="false">
      <c r="B152" s="86"/>
      <c r="C152" s="65" t="s">
        <v>133</v>
      </c>
      <c r="D152" s="68"/>
      <c r="E152" s="67"/>
      <c r="F152" s="63" t="s">
        <v>131</v>
      </c>
      <c r="G152" s="88"/>
      <c r="H152" s="37"/>
      <c r="I152" s="37" t="e">
        <f aca="false">AVERAGEA(H152,J152)</f>
        <v>#DIV/0!</v>
      </c>
      <c r="J152" s="37"/>
      <c r="K152" s="34" t="s">
        <v>55</v>
      </c>
      <c r="L152" s="39" t="n">
        <f aca="false">AVERAGEA(K152,M152)</f>
        <v>0</v>
      </c>
      <c r="M152" s="34" t="s">
        <v>55</v>
      </c>
      <c r="N152" s="37" t="n">
        <v>50</v>
      </c>
      <c r="O152" s="37" t="n">
        <f aca="false">AVERAGEA(N152,P152)</f>
        <v>67.5</v>
      </c>
      <c r="P152" s="37" t="n">
        <v>85</v>
      </c>
      <c r="Q152" s="34" t="s">
        <v>55</v>
      </c>
      <c r="R152" s="39" t="n">
        <f aca="false">AVERAGEA(Q152,S152)</f>
        <v>0</v>
      </c>
      <c r="S152" s="34" t="s">
        <v>55</v>
      </c>
      <c r="T152" s="36" t="s">
        <v>55</v>
      </c>
      <c r="U152" s="37" t="n">
        <f aca="false">AVERAGEA(V152, T152)</f>
        <v>0</v>
      </c>
      <c r="V152" s="36" t="s">
        <v>55</v>
      </c>
      <c r="W152" s="34" t="s">
        <v>55</v>
      </c>
      <c r="X152" s="39" t="n">
        <f aca="false">AVERAGEA(Y152, W152)</f>
        <v>0</v>
      </c>
      <c r="Y152" s="34" t="s">
        <v>55</v>
      </c>
      <c r="Z152" s="36" t="s">
        <v>55</v>
      </c>
      <c r="AA152" s="37"/>
      <c r="AB152" s="36" t="s">
        <v>55</v>
      </c>
      <c r="AC152" s="34" t="s">
        <v>68</v>
      </c>
      <c r="AD152" s="39"/>
      <c r="AE152" s="34" t="s">
        <v>68</v>
      </c>
      <c r="AF152" s="43" t="s">
        <v>69</v>
      </c>
      <c r="AG152" s="37"/>
      <c r="AH152" s="43" t="s">
        <v>69</v>
      </c>
      <c r="AI152" s="34" t="s">
        <v>68</v>
      </c>
      <c r="AJ152" s="34"/>
      <c r="AK152" s="34" t="s">
        <v>68</v>
      </c>
      <c r="AL152" s="43" t="s">
        <v>69</v>
      </c>
      <c r="AM152" s="37"/>
      <c r="AN152" s="43" t="s">
        <v>69</v>
      </c>
      <c r="AO152" s="34" t="s">
        <v>68</v>
      </c>
      <c r="AP152" s="34"/>
      <c r="AQ152" s="34" t="s">
        <v>68</v>
      </c>
      <c r="AR152" s="37" t="s">
        <v>68</v>
      </c>
      <c r="AS152" s="37"/>
      <c r="AT152" s="36" t="s">
        <v>68</v>
      </c>
      <c r="AU152" s="34" t="n">
        <v>850</v>
      </c>
      <c r="AV152" s="39" t="n">
        <f aca="false">AVERAGEA(AW152, AU152)</f>
        <v>2482.9</v>
      </c>
      <c r="AW152" s="34" t="n">
        <v>4115.8</v>
      </c>
      <c r="AX152" s="43" t="n">
        <v>18</v>
      </c>
      <c r="AY152" s="38" t="n">
        <f aca="false">AVERAGEA(AZ152, AX152)</f>
        <v>18</v>
      </c>
      <c r="AZ152" s="43" t="n">
        <v>18</v>
      </c>
      <c r="BA152" s="45" t="n">
        <v>0</v>
      </c>
      <c r="BB152" s="45" t="n">
        <f aca="false">AVERAGEA(BC152, BA152)</f>
        <v>0</v>
      </c>
      <c r="BC152" s="45" t="n">
        <v>0</v>
      </c>
      <c r="BD152" s="43" t="s">
        <v>68</v>
      </c>
      <c r="BE152" s="43"/>
      <c r="BF152" s="43" t="s">
        <v>68</v>
      </c>
      <c r="BG152" s="45" t="s">
        <v>69</v>
      </c>
      <c r="BH152" s="45"/>
      <c r="BI152" s="45" t="s">
        <v>69</v>
      </c>
      <c r="BJ152" s="43" t="s">
        <v>68</v>
      </c>
      <c r="BK152" s="37"/>
      <c r="BL152" s="43" t="s">
        <v>68</v>
      </c>
      <c r="BM152" s="45" t="s">
        <v>69</v>
      </c>
      <c r="BN152" s="45"/>
      <c r="BO152" s="45" t="s">
        <v>69</v>
      </c>
      <c r="BP152" s="43" t="s">
        <v>68</v>
      </c>
      <c r="BQ152" s="43"/>
      <c r="BR152" s="43" t="s">
        <v>68</v>
      </c>
      <c r="BS152" s="45" t="s">
        <v>68</v>
      </c>
      <c r="BT152" s="45"/>
      <c r="BU152" s="46" t="s">
        <v>68</v>
      </c>
      <c r="BV152" s="43" t="s">
        <v>68</v>
      </c>
      <c r="BW152" s="43"/>
      <c r="BX152" s="43" t="s">
        <v>68</v>
      </c>
      <c r="BY152" s="45"/>
      <c r="BZ152" s="45"/>
      <c r="CA152" s="46"/>
      <c r="CB152" s="43"/>
      <c r="CC152" s="43"/>
      <c r="CD152" s="43"/>
      <c r="CE152" s="45"/>
      <c r="CF152" s="45"/>
      <c r="CG152" s="46"/>
    </row>
    <row r="153" s="18" customFormat="true" ht="28.35" hidden="false" customHeight="false" outlineLevel="0" collapsed="false">
      <c r="B153" s="86"/>
      <c r="C153" s="65"/>
      <c r="D153" s="65"/>
      <c r="E153" s="67"/>
      <c r="F153" s="63" t="s">
        <v>132</v>
      </c>
      <c r="G153" s="88"/>
      <c r="H153" s="37"/>
      <c r="I153" s="37" t="e">
        <f aca="false">AVERAGEA(H153,J153)</f>
        <v>#DIV/0!</v>
      </c>
      <c r="J153" s="37"/>
      <c r="K153" s="34" t="s">
        <v>55</v>
      </c>
      <c r="L153" s="39" t="n">
        <f aca="false">AVERAGEA(K153,M153)</f>
        <v>0</v>
      </c>
      <c r="M153" s="34" t="s">
        <v>55</v>
      </c>
      <c r="N153" s="37" t="n">
        <v>50</v>
      </c>
      <c r="O153" s="37" t="n">
        <f aca="false">AVERAGEA(N153,P153)</f>
        <v>67.5</v>
      </c>
      <c r="P153" s="37" t="n">
        <v>85</v>
      </c>
      <c r="Q153" s="34" t="s">
        <v>55</v>
      </c>
      <c r="R153" s="39" t="n">
        <f aca="false">AVERAGEA(Q153,S153)</f>
        <v>0</v>
      </c>
      <c r="S153" s="34" t="s">
        <v>55</v>
      </c>
      <c r="T153" s="36" t="s">
        <v>55</v>
      </c>
      <c r="U153" s="37" t="n">
        <f aca="false">AVERAGEA(V153, T153)</f>
        <v>0</v>
      </c>
      <c r="V153" s="36" t="s">
        <v>55</v>
      </c>
      <c r="W153" s="34" t="s">
        <v>55</v>
      </c>
      <c r="X153" s="39" t="n">
        <f aca="false">AVERAGEA(Y153, W153)</f>
        <v>0</v>
      </c>
      <c r="Y153" s="34" t="s">
        <v>55</v>
      </c>
      <c r="Z153" s="36" t="s">
        <v>55</v>
      </c>
      <c r="AA153" s="37"/>
      <c r="AB153" s="36" t="s">
        <v>55</v>
      </c>
      <c r="AC153" s="34" t="s">
        <v>68</v>
      </c>
      <c r="AD153" s="39"/>
      <c r="AE153" s="34" t="s">
        <v>68</v>
      </c>
      <c r="AF153" s="43" t="s">
        <v>69</v>
      </c>
      <c r="AG153" s="37"/>
      <c r="AH153" s="43" t="s">
        <v>69</v>
      </c>
      <c r="AI153" s="34" t="s">
        <v>68</v>
      </c>
      <c r="AJ153" s="34"/>
      <c r="AK153" s="34" t="s">
        <v>68</v>
      </c>
      <c r="AL153" s="43" t="s">
        <v>69</v>
      </c>
      <c r="AM153" s="37"/>
      <c r="AN153" s="43" t="s">
        <v>69</v>
      </c>
      <c r="AO153" s="34" t="s">
        <v>68</v>
      </c>
      <c r="AP153" s="34"/>
      <c r="AQ153" s="34" t="s">
        <v>68</v>
      </c>
      <c r="AR153" s="37" t="s">
        <v>68</v>
      </c>
      <c r="AS153" s="37"/>
      <c r="AT153" s="36" t="s">
        <v>68</v>
      </c>
      <c r="AU153" s="34" t="n">
        <v>850</v>
      </c>
      <c r="AV153" s="39" t="n">
        <f aca="false">AVERAGEA(AW153, AU153)</f>
        <v>2482.9</v>
      </c>
      <c r="AW153" s="34" t="n">
        <v>4115.8</v>
      </c>
      <c r="AX153" s="43" t="n">
        <v>18</v>
      </c>
      <c r="AY153" s="38" t="n">
        <f aca="false">AVERAGEA(AZ153, AX153)</f>
        <v>18</v>
      </c>
      <c r="AZ153" s="43" t="n">
        <v>18</v>
      </c>
      <c r="BA153" s="45" t="n">
        <v>0</v>
      </c>
      <c r="BB153" s="45" t="n">
        <f aca="false">AVERAGEA(BC153, BA153)</f>
        <v>0</v>
      </c>
      <c r="BC153" s="45" t="n">
        <v>0</v>
      </c>
      <c r="BD153" s="43" t="s">
        <v>68</v>
      </c>
      <c r="BE153" s="43"/>
      <c r="BF153" s="43" t="s">
        <v>68</v>
      </c>
      <c r="BG153" s="45" t="s">
        <v>69</v>
      </c>
      <c r="BH153" s="45"/>
      <c r="BI153" s="45" t="s">
        <v>69</v>
      </c>
      <c r="BJ153" s="43" t="s">
        <v>68</v>
      </c>
      <c r="BK153" s="37"/>
      <c r="BL153" s="43" t="s">
        <v>68</v>
      </c>
      <c r="BM153" s="45" t="s">
        <v>69</v>
      </c>
      <c r="BN153" s="45"/>
      <c r="BO153" s="45" t="s">
        <v>69</v>
      </c>
      <c r="BP153" s="43" t="s">
        <v>68</v>
      </c>
      <c r="BQ153" s="43"/>
      <c r="BR153" s="43" t="s">
        <v>68</v>
      </c>
      <c r="BS153" s="45" t="s">
        <v>68</v>
      </c>
      <c r="BT153" s="45"/>
      <c r="BU153" s="46" t="s">
        <v>68</v>
      </c>
      <c r="BV153" s="43" t="s">
        <v>68</v>
      </c>
      <c r="BW153" s="43"/>
      <c r="BX153" s="43" t="s">
        <v>68</v>
      </c>
      <c r="BY153" s="45"/>
      <c r="BZ153" s="45"/>
      <c r="CA153" s="46"/>
      <c r="CB153" s="43"/>
      <c r="CC153" s="43"/>
      <c r="CD153" s="43"/>
      <c r="CE153" s="45"/>
      <c r="CF153" s="45"/>
      <c r="CG153" s="46"/>
    </row>
    <row r="154" s="18" customFormat="true" ht="28.35" hidden="false" customHeight="false" outlineLevel="0" collapsed="false">
      <c r="B154" s="86"/>
      <c r="C154" s="65"/>
      <c r="D154" s="65"/>
      <c r="E154" s="67"/>
      <c r="F154" s="63" t="s">
        <v>128</v>
      </c>
      <c r="G154" s="88"/>
      <c r="H154" s="37"/>
      <c r="I154" s="37" t="e">
        <f aca="false">AVERAGEA(H154,J154)</f>
        <v>#DIV/0!</v>
      </c>
      <c r="J154" s="37"/>
      <c r="K154" s="34" t="s">
        <v>55</v>
      </c>
      <c r="L154" s="39" t="n">
        <f aca="false">AVERAGEA(K154,M154)</f>
        <v>0</v>
      </c>
      <c r="M154" s="34" t="s">
        <v>55</v>
      </c>
      <c r="N154" s="37" t="n">
        <v>50</v>
      </c>
      <c r="O154" s="37" t="n">
        <f aca="false">AVERAGEA(N154,P154)</f>
        <v>67.5</v>
      </c>
      <c r="P154" s="37" t="n">
        <v>85</v>
      </c>
      <c r="Q154" s="34" t="s">
        <v>55</v>
      </c>
      <c r="R154" s="39" t="n">
        <f aca="false">AVERAGEA(Q154,S154)</f>
        <v>0</v>
      </c>
      <c r="S154" s="34" t="s">
        <v>55</v>
      </c>
      <c r="T154" s="36" t="s">
        <v>55</v>
      </c>
      <c r="U154" s="37" t="n">
        <f aca="false">AVERAGEA(V154, T154)</f>
        <v>0</v>
      </c>
      <c r="V154" s="36" t="s">
        <v>55</v>
      </c>
      <c r="W154" s="34" t="s">
        <v>55</v>
      </c>
      <c r="X154" s="39" t="n">
        <f aca="false">AVERAGEA(Y154, W154)</f>
        <v>0</v>
      </c>
      <c r="Y154" s="34" t="s">
        <v>55</v>
      </c>
      <c r="Z154" s="36" t="s">
        <v>55</v>
      </c>
      <c r="AA154" s="37"/>
      <c r="AB154" s="36" t="s">
        <v>55</v>
      </c>
      <c r="AC154" s="34" t="s">
        <v>68</v>
      </c>
      <c r="AD154" s="39"/>
      <c r="AE154" s="34" t="s">
        <v>68</v>
      </c>
      <c r="AF154" s="43" t="s">
        <v>69</v>
      </c>
      <c r="AG154" s="37"/>
      <c r="AH154" s="43" t="s">
        <v>69</v>
      </c>
      <c r="AI154" s="34" t="s">
        <v>68</v>
      </c>
      <c r="AJ154" s="34"/>
      <c r="AK154" s="34" t="s">
        <v>68</v>
      </c>
      <c r="AL154" s="43" t="s">
        <v>69</v>
      </c>
      <c r="AM154" s="37"/>
      <c r="AN154" s="43" t="s">
        <v>69</v>
      </c>
      <c r="AO154" s="34" t="s">
        <v>68</v>
      </c>
      <c r="AP154" s="34"/>
      <c r="AQ154" s="34" t="s">
        <v>68</v>
      </c>
      <c r="AR154" s="37" t="s">
        <v>68</v>
      </c>
      <c r="AS154" s="37"/>
      <c r="AT154" s="36" t="s">
        <v>68</v>
      </c>
      <c r="AU154" s="34" t="n">
        <v>850</v>
      </c>
      <c r="AV154" s="39" t="n">
        <f aca="false">AVERAGEA(AW154, AU154)</f>
        <v>2482.9</v>
      </c>
      <c r="AW154" s="34" t="n">
        <v>4115.8</v>
      </c>
      <c r="AX154" s="43" t="n">
        <v>18</v>
      </c>
      <c r="AY154" s="38" t="n">
        <f aca="false">AVERAGEA(AZ154, AX154)</f>
        <v>18</v>
      </c>
      <c r="AZ154" s="43" t="n">
        <v>18</v>
      </c>
      <c r="BA154" s="45" t="n">
        <v>0</v>
      </c>
      <c r="BB154" s="45" t="n">
        <f aca="false">AVERAGEA(BC154, BA154)</f>
        <v>0</v>
      </c>
      <c r="BC154" s="45" t="n">
        <v>0</v>
      </c>
      <c r="BD154" s="43" t="s">
        <v>68</v>
      </c>
      <c r="BE154" s="43"/>
      <c r="BF154" s="43" t="s">
        <v>68</v>
      </c>
      <c r="BG154" s="45" t="s">
        <v>69</v>
      </c>
      <c r="BH154" s="45"/>
      <c r="BI154" s="45" t="s">
        <v>69</v>
      </c>
      <c r="BJ154" s="43" t="s">
        <v>68</v>
      </c>
      <c r="BK154" s="37"/>
      <c r="BL154" s="43" t="s">
        <v>68</v>
      </c>
      <c r="BM154" s="45" t="s">
        <v>69</v>
      </c>
      <c r="BN154" s="45"/>
      <c r="BO154" s="45" t="s">
        <v>69</v>
      </c>
      <c r="BP154" s="43" t="s">
        <v>68</v>
      </c>
      <c r="BQ154" s="43"/>
      <c r="BR154" s="43" t="s">
        <v>68</v>
      </c>
      <c r="BS154" s="45" t="s">
        <v>68</v>
      </c>
      <c r="BT154" s="45"/>
      <c r="BU154" s="46" t="s">
        <v>68</v>
      </c>
      <c r="BV154" s="43" t="s">
        <v>68</v>
      </c>
      <c r="BW154" s="43"/>
      <c r="BX154" s="43" t="s">
        <v>68</v>
      </c>
      <c r="BY154" s="45"/>
      <c r="BZ154" s="45"/>
      <c r="CA154" s="46"/>
      <c r="CB154" s="43"/>
      <c r="CC154" s="43"/>
      <c r="CD154" s="43"/>
      <c r="CE154" s="45"/>
      <c r="CF154" s="45"/>
      <c r="CG154" s="46"/>
    </row>
    <row r="155" s="18" customFormat="true" ht="28.35" hidden="false" customHeight="false" outlineLevel="0" collapsed="false">
      <c r="B155" s="86"/>
      <c r="C155" s="65"/>
      <c r="D155" s="65"/>
      <c r="E155" s="67"/>
      <c r="F155" s="63" t="s">
        <v>129</v>
      </c>
      <c r="G155" s="88"/>
      <c r="H155" s="37"/>
      <c r="I155" s="37" t="e">
        <f aca="false">AVERAGEA(H155,J155)</f>
        <v>#DIV/0!</v>
      </c>
      <c r="J155" s="37"/>
      <c r="K155" s="34" t="s">
        <v>55</v>
      </c>
      <c r="L155" s="39" t="n">
        <f aca="false">AVERAGEA(K155,M155)</f>
        <v>0</v>
      </c>
      <c r="M155" s="34" t="s">
        <v>55</v>
      </c>
      <c r="N155" s="37" t="n">
        <v>50</v>
      </c>
      <c r="O155" s="37" t="n">
        <f aca="false">AVERAGEA(N155,P155)</f>
        <v>67.5</v>
      </c>
      <c r="P155" s="37" t="n">
        <v>85</v>
      </c>
      <c r="Q155" s="34" t="s">
        <v>55</v>
      </c>
      <c r="R155" s="39" t="n">
        <f aca="false">AVERAGEA(Q155,S155)</f>
        <v>0</v>
      </c>
      <c r="S155" s="34" t="s">
        <v>55</v>
      </c>
      <c r="T155" s="36" t="s">
        <v>55</v>
      </c>
      <c r="U155" s="37" t="n">
        <f aca="false">AVERAGEA(V155, T155)</f>
        <v>0</v>
      </c>
      <c r="V155" s="36" t="s">
        <v>55</v>
      </c>
      <c r="W155" s="34" t="s">
        <v>55</v>
      </c>
      <c r="X155" s="39" t="n">
        <f aca="false">AVERAGEA(Y155, W155)</f>
        <v>0</v>
      </c>
      <c r="Y155" s="34" t="s">
        <v>55</v>
      </c>
      <c r="Z155" s="36" t="s">
        <v>55</v>
      </c>
      <c r="AA155" s="37"/>
      <c r="AB155" s="36" t="s">
        <v>55</v>
      </c>
      <c r="AC155" s="34" t="s">
        <v>68</v>
      </c>
      <c r="AD155" s="39"/>
      <c r="AE155" s="34" t="s">
        <v>68</v>
      </c>
      <c r="AF155" s="43" t="s">
        <v>69</v>
      </c>
      <c r="AG155" s="37"/>
      <c r="AH155" s="43" t="s">
        <v>69</v>
      </c>
      <c r="AI155" s="34" t="s">
        <v>68</v>
      </c>
      <c r="AJ155" s="34"/>
      <c r="AK155" s="34" t="s">
        <v>68</v>
      </c>
      <c r="AL155" s="43" t="s">
        <v>69</v>
      </c>
      <c r="AM155" s="37"/>
      <c r="AN155" s="43" t="s">
        <v>69</v>
      </c>
      <c r="AO155" s="34" t="s">
        <v>68</v>
      </c>
      <c r="AP155" s="34"/>
      <c r="AQ155" s="34" t="s">
        <v>68</v>
      </c>
      <c r="AR155" s="37" t="s">
        <v>68</v>
      </c>
      <c r="AS155" s="37"/>
      <c r="AT155" s="36" t="s">
        <v>68</v>
      </c>
      <c r="AU155" s="34" t="n">
        <v>850</v>
      </c>
      <c r="AV155" s="39" t="n">
        <f aca="false">AVERAGEA(AW155, AU155)</f>
        <v>2482.9</v>
      </c>
      <c r="AW155" s="34" t="n">
        <v>4115.8</v>
      </c>
      <c r="AX155" s="43" t="n">
        <v>18</v>
      </c>
      <c r="AY155" s="38" t="n">
        <f aca="false">AVERAGEA(AZ155, AX155)</f>
        <v>18</v>
      </c>
      <c r="AZ155" s="43" t="n">
        <v>18</v>
      </c>
      <c r="BA155" s="45" t="n">
        <v>0</v>
      </c>
      <c r="BB155" s="45" t="n">
        <f aca="false">AVERAGEA(BC155, BA155)</f>
        <v>0</v>
      </c>
      <c r="BC155" s="45" t="n">
        <v>0</v>
      </c>
      <c r="BD155" s="43" t="s">
        <v>68</v>
      </c>
      <c r="BE155" s="43"/>
      <c r="BF155" s="43" t="s">
        <v>68</v>
      </c>
      <c r="BG155" s="45" t="s">
        <v>69</v>
      </c>
      <c r="BH155" s="45"/>
      <c r="BI155" s="45" t="s">
        <v>69</v>
      </c>
      <c r="BJ155" s="43" t="s">
        <v>68</v>
      </c>
      <c r="BK155" s="37"/>
      <c r="BL155" s="43" t="s">
        <v>68</v>
      </c>
      <c r="BM155" s="45" t="s">
        <v>69</v>
      </c>
      <c r="BN155" s="45"/>
      <c r="BO155" s="45" t="s">
        <v>69</v>
      </c>
      <c r="BP155" s="43" t="s">
        <v>68</v>
      </c>
      <c r="BQ155" s="43"/>
      <c r="BR155" s="43" t="s">
        <v>68</v>
      </c>
      <c r="BS155" s="45" t="s">
        <v>68</v>
      </c>
      <c r="BT155" s="45"/>
      <c r="BU155" s="46" t="s">
        <v>68</v>
      </c>
      <c r="BV155" s="43" t="s">
        <v>68</v>
      </c>
      <c r="BW155" s="43"/>
      <c r="BX155" s="43" t="s">
        <v>68</v>
      </c>
      <c r="BY155" s="45"/>
      <c r="BZ155" s="45"/>
      <c r="CA155" s="46"/>
      <c r="CB155" s="43"/>
      <c r="CC155" s="43"/>
      <c r="CD155" s="43"/>
      <c r="CE155" s="45"/>
      <c r="CF155" s="45"/>
      <c r="CG155" s="46"/>
    </row>
    <row r="156" s="18" customFormat="true" ht="28.35" hidden="false" customHeight="false" outlineLevel="0" collapsed="false">
      <c r="B156" s="86"/>
      <c r="C156" s="63" t="s">
        <v>134</v>
      </c>
      <c r="D156" s="63"/>
      <c r="E156" s="63"/>
      <c r="F156" s="63" t="s">
        <v>109</v>
      </c>
      <c r="G156" s="88"/>
      <c r="H156" s="37"/>
      <c r="I156" s="37" t="e">
        <f aca="false">AVERAGEA(H156,J156)</f>
        <v>#DIV/0!</v>
      </c>
      <c r="J156" s="37"/>
      <c r="K156" s="34" t="s">
        <v>55</v>
      </c>
      <c r="L156" s="39" t="n">
        <f aca="false">AVERAGEA(K156,M156)</f>
        <v>0</v>
      </c>
      <c r="M156" s="34" t="s">
        <v>55</v>
      </c>
      <c r="N156" s="37" t="n">
        <v>90</v>
      </c>
      <c r="O156" s="37" t="n">
        <f aca="false">AVERAGEA(N156,P156)</f>
        <v>90</v>
      </c>
      <c r="P156" s="37" t="n">
        <v>90</v>
      </c>
      <c r="Q156" s="34" t="s">
        <v>55</v>
      </c>
      <c r="R156" s="39" t="n">
        <f aca="false">AVERAGEA(Q156,S156)</f>
        <v>0</v>
      </c>
      <c r="S156" s="34" t="s">
        <v>55</v>
      </c>
      <c r="T156" s="36" t="s">
        <v>55</v>
      </c>
      <c r="U156" s="37" t="n">
        <f aca="false">AVERAGEA(V156, T156)</f>
        <v>0</v>
      </c>
      <c r="V156" s="36" t="s">
        <v>55</v>
      </c>
      <c r="W156" s="34" t="s">
        <v>55</v>
      </c>
      <c r="X156" s="39" t="n">
        <f aca="false">AVERAGEA(Y156, W156)</f>
        <v>0</v>
      </c>
      <c r="Y156" s="34" t="s">
        <v>55</v>
      </c>
      <c r="Z156" s="36" t="s">
        <v>55</v>
      </c>
      <c r="AA156" s="37"/>
      <c r="AB156" s="36" t="s">
        <v>55</v>
      </c>
      <c r="AC156" s="34" t="s">
        <v>68</v>
      </c>
      <c r="AD156" s="39"/>
      <c r="AE156" s="34" t="s">
        <v>68</v>
      </c>
      <c r="AF156" s="36" t="n">
        <v>25</v>
      </c>
      <c r="AG156" s="37" t="n">
        <f aca="false">AVERAGEA(AH156, AF156)</f>
        <v>25</v>
      </c>
      <c r="AH156" s="36" t="n">
        <v>25</v>
      </c>
      <c r="AI156" s="34" t="s">
        <v>68</v>
      </c>
      <c r="AJ156" s="34"/>
      <c r="AK156" s="34" t="s">
        <v>68</v>
      </c>
      <c r="AL156" s="43" t="s">
        <v>69</v>
      </c>
      <c r="AM156" s="37"/>
      <c r="AN156" s="43" t="s">
        <v>69</v>
      </c>
      <c r="AO156" s="34" t="s">
        <v>68</v>
      </c>
      <c r="AP156" s="34"/>
      <c r="AQ156" s="34" t="s">
        <v>68</v>
      </c>
      <c r="AR156" s="37" t="s">
        <v>68</v>
      </c>
      <c r="AS156" s="37"/>
      <c r="AT156" s="36" t="s">
        <v>68</v>
      </c>
      <c r="AU156" s="34" t="n">
        <v>2250</v>
      </c>
      <c r="AV156" s="34" t="n">
        <f aca="false">AVERAGEA(AW156, AU156)</f>
        <v>3000</v>
      </c>
      <c r="AW156" s="34" t="n">
        <v>3750</v>
      </c>
      <c r="AX156" s="43" t="s">
        <v>68</v>
      </c>
      <c r="AY156" s="37"/>
      <c r="AZ156" s="43" t="s">
        <v>68</v>
      </c>
      <c r="BA156" s="45" t="s">
        <v>69</v>
      </c>
      <c r="BB156" s="45"/>
      <c r="BC156" s="45" t="s">
        <v>69</v>
      </c>
      <c r="BD156" s="43" t="s">
        <v>68</v>
      </c>
      <c r="BE156" s="43"/>
      <c r="BF156" s="43" t="s">
        <v>68</v>
      </c>
      <c r="BG156" s="45" t="s">
        <v>69</v>
      </c>
      <c r="BH156" s="45"/>
      <c r="BI156" s="45" t="s">
        <v>69</v>
      </c>
      <c r="BJ156" s="43" t="s">
        <v>68</v>
      </c>
      <c r="BK156" s="37"/>
      <c r="BL156" s="43" t="s">
        <v>68</v>
      </c>
      <c r="BM156" s="45" t="s">
        <v>69</v>
      </c>
      <c r="BN156" s="45"/>
      <c r="BO156" s="45" t="s">
        <v>69</v>
      </c>
      <c r="BP156" s="43" t="s">
        <v>68</v>
      </c>
      <c r="BQ156" s="43"/>
      <c r="BR156" s="43" t="s">
        <v>68</v>
      </c>
      <c r="BS156" s="45" t="s">
        <v>68</v>
      </c>
      <c r="BT156" s="45"/>
      <c r="BU156" s="46" t="s">
        <v>68</v>
      </c>
      <c r="BV156" s="43" t="s">
        <v>68</v>
      </c>
      <c r="BW156" s="43"/>
      <c r="BX156" s="43" t="s">
        <v>68</v>
      </c>
      <c r="BY156" s="45"/>
      <c r="BZ156" s="45"/>
      <c r="CA156" s="46"/>
      <c r="CB156" s="43"/>
      <c r="CC156" s="43"/>
      <c r="CD156" s="43"/>
      <c r="CE156" s="45"/>
      <c r="CF156" s="45"/>
      <c r="CG156" s="46"/>
    </row>
    <row r="157" s="18" customFormat="true" ht="28.35" hidden="false" customHeight="false" outlineLevel="0" collapsed="false">
      <c r="B157" s="86"/>
      <c r="C157" s="74" t="s">
        <v>135</v>
      </c>
      <c r="D157" s="63" t="s">
        <v>136</v>
      </c>
      <c r="E157" s="63"/>
      <c r="F157" s="63" t="s">
        <v>137</v>
      </c>
      <c r="G157" s="88"/>
      <c r="H157" s="37"/>
      <c r="I157" s="37" t="e">
        <f aca="false">AVERAGEA(H157,J157)</f>
        <v>#DIV/0!</v>
      </c>
      <c r="J157" s="37"/>
      <c r="K157" s="34" t="s">
        <v>55</v>
      </c>
      <c r="L157" s="39" t="n">
        <f aca="false">AVERAGEA(K157,M157)</f>
        <v>0</v>
      </c>
      <c r="M157" s="34" t="s">
        <v>55</v>
      </c>
      <c r="N157" s="37" t="n">
        <v>12</v>
      </c>
      <c r="O157" s="37" t="n">
        <f aca="false">AVERAGEA(N157,P157)</f>
        <v>18.5</v>
      </c>
      <c r="P157" s="37" t="n">
        <v>25</v>
      </c>
      <c r="Q157" s="34" t="s">
        <v>55</v>
      </c>
      <c r="R157" s="39" t="n">
        <f aca="false">AVERAGEA(Q157,S157)</f>
        <v>0</v>
      </c>
      <c r="S157" s="34" t="s">
        <v>55</v>
      </c>
      <c r="T157" s="36" t="s">
        <v>55</v>
      </c>
      <c r="U157" s="37" t="n">
        <f aca="false">AVERAGEA(V157, T157)</f>
        <v>0</v>
      </c>
      <c r="V157" s="36" t="s">
        <v>55</v>
      </c>
      <c r="W157" s="34" t="s">
        <v>55</v>
      </c>
      <c r="X157" s="39" t="n">
        <f aca="false">AVERAGEA(Y157, W157)</f>
        <v>0</v>
      </c>
      <c r="Y157" s="34" t="s">
        <v>55</v>
      </c>
      <c r="Z157" s="36" t="s">
        <v>55</v>
      </c>
      <c r="AA157" s="37"/>
      <c r="AB157" s="36" t="s">
        <v>55</v>
      </c>
      <c r="AC157" s="34" t="n">
        <v>25</v>
      </c>
      <c r="AD157" s="39" t="n">
        <f aca="false">AVERAGEA(AC157,AE157)</f>
        <v>35</v>
      </c>
      <c r="AE157" s="34" t="n">
        <v>45</v>
      </c>
      <c r="AF157" s="36" t="n">
        <v>0</v>
      </c>
      <c r="AG157" s="37" t="n">
        <f aca="false">AVERAGEA(AH157, AF157)</f>
        <v>0</v>
      </c>
      <c r="AH157" s="36" t="n">
        <v>0</v>
      </c>
      <c r="AI157" s="34" t="n">
        <v>5</v>
      </c>
      <c r="AJ157" s="39" t="n">
        <f aca="false">AVERAGEA(AK157, AI157)</f>
        <v>17.5</v>
      </c>
      <c r="AK157" s="34" t="n">
        <v>30</v>
      </c>
      <c r="AL157" s="43" t="n">
        <v>5</v>
      </c>
      <c r="AM157" s="37" t="n">
        <f aca="false">AVERAGEA(AN157, AL157)</f>
        <v>17.5</v>
      </c>
      <c r="AN157" s="43" t="n">
        <v>30</v>
      </c>
      <c r="AO157" s="34" t="n">
        <v>0</v>
      </c>
      <c r="AP157" s="35" t="n">
        <f aca="false">AVERAGEA(AQ157, AO157)</f>
        <v>0</v>
      </c>
      <c r="AQ157" s="34" t="n">
        <v>0</v>
      </c>
      <c r="AR157" s="37" t="n">
        <v>0</v>
      </c>
      <c r="AS157" s="37" t="n">
        <f aca="false">AVERAGEA(AT157, AR157)</f>
        <v>0</v>
      </c>
      <c r="AT157" s="36" t="n">
        <v>0</v>
      </c>
      <c r="AU157" s="34" t="n">
        <v>5000</v>
      </c>
      <c r="AV157" s="39" t="n">
        <f aca="false">AVERAGEA(AW157, AU157)</f>
        <v>9000</v>
      </c>
      <c r="AW157" s="34" t="n">
        <v>13000</v>
      </c>
      <c r="AX157" s="43" t="n">
        <v>220</v>
      </c>
      <c r="AY157" s="38" t="n">
        <f aca="false">AVERAGEA(AZ157, AX157)</f>
        <v>385</v>
      </c>
      <c r="AZ157" s="43" t="n">
        <v>550</v>
      </c>
      <c r="BA157" s="45" t="n">
        <v>25</v>
      </c>
      <c r="BB157" s="45" t="n">
        <f aca="false">AVERAGEA(BC157, BA157)</f>
        <v>47.5</v>
      </c>
      <c r="BC157" s="45" t="n">
        <v>70</v>
      </c>
      <c r="BD157" s="43" t="n">
        <v>0</v>
      </c>
      <c r="BE157" s="37" t="n">
        <f aca="false">AVERAGEA(BD157,BF157)</f>
        <v>0</v>
      </c>
      <c r="BF157" s="43" t="n">
        <v>0</v>
      </c>
      <c r="BG157" s="45" t="n">
        <v>0</v>
      </c>
      <c r="BH157" s="45" t="n">
        <f aca="false">AVERAGEA(BI157, BG157)</f>
        <v>0</v>
      </c>
      <c r="BI157" s="45" t="n">
        <v>0</v>
      </c>
      <c r="BJ157" s="43" t="n">
        <v>0</v>
      </c>
      <c r="BK157" s="37" t="n">
        <f aca="false">AVERAGEA(BJ157,BL157)</f>
        <v>0</v>
      </c>
      <c r="BL157" s="43" t="n">
        <v>0</v>
      </c>
      <c r="BM157" s="45" t="n">
        <v>0</v>
      </c>
      <c r="BN157" s="45" t="n">
        <f aca="false">AVERAGEA(BO157, BM157)</f>
        <v>0</v>
      </c>
      <c r="BO157" s="45" t="n">
        <v>0</v>
      </c>
      <c r="BP157" s="43" t="n">
        <v>0</v>
      </c>
      <c r="BQ157" s="37" t="n">
        <f aca="false">AVERAGEA(BP157,BR157)</f>
        <v>0</v>
      </c>
      <c r="BR157" s="43" t="n">
        <v>0</v>
      </c>
      <c r="BS157" s="45" t="n">
        <v>0</v>
      </c>
      <c r="BT157" s="45" t="n">
        <f aca="false">AVERAGEA(BU157, BS157)</f>
        <v>0</v>
      </c>
      <c r="BU157" s="46" t="n">
        <v>0</v>
      </c>
      <c r="BV157" s="43" t="n">
        <v>0</v>
      </c>
      <c r="BW157" s="37" t="n">
        <f aca="false">AVERAGEA(BV157,BX157)</f>
        <v>0</v>
      </c>
      <c r="BX157" s="43" t="n">
        <v>0</v>
      </c>
      <c r="BY157" s="45"/>
      <c r="BZ157" s="45" t="e">
        <f aca="false">AVERAGEA(CA157, BY157)</f>
        <v>#DIV/0!</v>
      </c>
      <c r="CA157" s="46"/>
      <c r="CB157" s="43"/>
      <c r="CC157" s="37" t="e">
        <f aca="false">AVERAGEA(CB157,CD157)</f>
        <v>#DIV/0!</v>
      </c>
      <c r="CD157" s="43"/>
      <c r="CE157" s="45"/>
      <c r="CF157" s="45" t="e">
        <f aca="false">AVERAGEA(CG157, CE157)</f>
        <v>#DIV/0!</v>
      </c>
      <c r="CG157" s="46"/>
    </row>
    <row r="158" s="18" customFormat="true" ht="28.35" hidden="false" customHeight="false" outlineLevel="0" collapsed="false">
      <c r="B158" s="86"/>
      <c r="C158" s="74"/>
      <c r="D158" s="63" t="s">
        <v>138</v>
      </c>
      <c r="E158" s="63"/>
      <c r="F158" s="63" t="s">
        <v>139</v>
      </c>
      <c r="G158" s="88"/>
      <c r="H158" s="37"/>
      <c r="I158" s="37" t="e">
        <f aca="false">AVERAGEA(H158,J158)</f>
        <v>#DIV/0!</v>
      </c>
      <c r="J158" s="37"/>
      <c r="K158" s="34" t="s">
        <v>55</v>
      </c>
      <c r="L158" s="39" t="n">
        <f aca="false">AVERAGEA(K158,M158)</f>
        <v>0</v>
      </c>
      <c r="M158" s="34" t="s">
        <v>55</v>
      </c>
      <c r="N158" s="37" t="n">
        <v>10</v>
      </c>
      <c r="O158" s="37" t="n">
        <f aca="false">AVERAGEA(N158,P158)</f>
        <v>15</v>
      </c>
      <c r="P158" s="37" t="n">
        <v>20</v>
      </c>
      <c r="Q158" s="34" t="s">
        <v>55</v>
      </c>
      <c r="R158" s="39" t="n">
        <f aca="false">AVERAGEA(Q158,S158)</f>
        <v>0</v>
      </c>
      <c r="S158" s="34" t="s">
        <v>55</v>
      </c>
      <c r="T158" s="36" t="s">
        <v>55</v>
      </c>
      <c r="U158" s="37" t="n">
        <f aca="false">AVERAGEA(V158, T158)</f>
        <v>0</v>
      </c>
      <c r="V158" s="36" t="s">
        <v>55</v>
      </c>
      <c r="W158" s="34" t="s">
        <v>55</v>
      </c>
      <c r="X158" s="39" t="n">
        <f aca="false">AVERAGEA(Y158, W158)</f>
        <v>0</v>
      </c>
      <c r="Y158" s="34" t="s">
        <v>55</v>
      </c>
      <c r="Z158" s="36" t="s">
        <v>55</v>
      </c>
      <c r="AA158" s="37"/>
      <c r="AB158" s="36" t="s">
        <v>55</v>
      </c>
      <c r="AC158" s="34" t="n">
        <v>20</v>
      </c>
      <c r="AD158" s="39" t="n">
        <f aca="false">AVERAGEA(AC158,AE158)</f>
        <v>30</v>
      </c>
      <c r="AE158" s="34" t="n">
        <v>40</v>
      </c>
      <c r="AF158" s="36" t="n">
        <v>0</v>
      </c>
      <c r="AG158" s="37" t="n">
        <f aca="false">AVERAGEA(AH158, AF158)</f>
        <v>0</v>
      </c>
      <c r="AH158" s="36" t="n">
        <v>0</v>
      </c>
      <c r="AI158" s="34" t="n">
        <v>5</v>
      </c>
      <c r="AJ158" s="39" t="n">
        <f aca="false">AVERAGEA(AK158, AI158)</f>
        <v>17.5</v>
      </c>
      <c r="AK158" s="34" t="n">
        <v>30</v>
      </c>
      <c r="AL158" s="43" t="n">
        <v>5</v>
      </c>
      <c r="AM158" s="37" t="n">
        <f aca="false">AVERAGEA(AN158, AL158)</f>
        <v>17.5</v>
      </c>
      <c r="AN158" s="43" t="n">
        <v>30</v>
      </c>
      <c r="AO158" s="34" t="n">
        <v>0</v>
      </c>
      <c r="AP158" s="35" t="n">
        <f aca="false">AVERAGEA(AQ158, AO158)</f>
        <v>0</v>
      </c>
      <c r="AQ158" s="34" t="n">
        <v>0</v>
      </c>
      <c r="AR158" s="37" t="n">
        <v>0</v>
      </c>
      <c r="AS158" s="37" t="n">
        <f aca="false">AVERAGEA(AT158, AR158)</f>
        <v>0</v>
      </c>
      <c r="AT158" s="36" t="n">
        <v>0</v>
      </c>
      <c r="AU158" s="34" t="n">
        <v>7000</v>
      </c>
      <c r="AV158" s="39" t="n">
        <f aca="false">AVERAGEA(AW158, AU158)</f>
        <v>12500</v>
      </c>
      <c r="AW158" s="34" t="n">
        <v>18000</v>
      </c>
      <c r="AX158" s="43" t="n">
        <v>300</v>
      </c>
      <c r="AY158" s="38" t="n">
        <f aca="false">AVERAGEA(AZ158, AX158)</f>
        <v>500</v>
      </c>
      <c r="AZ158" s="43" t="n">
        <v>700</v>
      </c>
      <c r="BA158" s="45" t="n">
        <v>35</v>
      </c>
      <c r="BB158" s="45" t="n">
        <f aca="false">AVERAGEA(BC158, BA158)</f>
        <v>62.5</v>
      </c>
      <c r="BC158" s="45" t="n">
        <v>90</v>
      </c>
      <c r="BD158" s="43" t="n">
        <v>0</v>
      </c>
      <c r="BE158" s="37" t="n">
        <f aca="false">AVERAGEA(BD158,BF158)</f>
        <v>0</v>
      </c>
      <c r="BF158" s="43" t="n">
        <v>0</v>
      </c>
      <c r="BG158" s="45" t="n">
        <v>0</v>
      </c>
      <c r="BH158" s="45" t="n">
        <f aca="false">AVERAGEA(BI158, BG158)</f>
        <v>0</v>
      </c>
      <c r="BI158" s="45" t="n">
        <v>0</v>
      </c>
      <c r="BJ158" s="43" t="n">
        <v>0</v>
      </c>
      <c r="BK158" s="37" t="n">
        <f aca="false">AVERAGEA(BJ158,BL158)</f>
        <v>0</v>
      </c>
      <c r="BL158" s="43" t="n">
        <v>0</v>
      </c>
      <c r="BM158" s="45" t="n">
        <v>0</v>
      </c>
      <c r="BN158" s="45" t="n">
        <f aca="false">AVERAGEA(BO158, BM158)</f>
        <v>0</v>
      </c>
      <c r="BO158" s="45" t="n">
        <v>0</v>
      </c>
      <c r="BP158" s="43" t="n">
        <v>0</v>
      </c>
      <c r="BQ158" s="37" t="n">
        <f aca="false">AVERAGEA(BP158,BR158)</f>
        <v>0</v>
      </c>
      <c r="BR158" s="43" t="n">
        <v>0</v>
      </c>
      <c r="BS158" s="45" t="n">
        <v>0</v>
      </c>
      <c r="BT158" s="45" t="n">
        <f aca="false">AVERAGEA(BU158, BS158)</f>
        <v>0</v>
      </c>
      <c r="BU158" s="46" t="n">
        <v>0</v>
      </c>
      <c r="BV158" s="43" t="n">
        <v>0</v>
      </c>
      <c r="BW158" s="37" t="n">
        <f aca="false">AVERAGEA(BV158,BX158)</f>
        <v>0</v>
      </c>
      <c r="BX158" s="43" t="n">
        <v>0</v>
      </c>
      <c r="BY158" s="45"/>
      <c r="BZ158" s="45" t="e">
        <f aca="false">AVERAGEA(CA158, BY158)</f>
        <v>#DIV/0!</v>
      </c>
      <c r="CA158" s="46"/>
      <c r="CB158" s="43"/>
      <c r="CC158" s="37" t="e">
        <f aca="false">AVERAGEA(CB158,CD158)</f>
        <v>#DIV/0!</v>
      </c>
      <c r="CD158" s="43"/>
      <c r="CE158" s="45"/>
      <c r="CF158" s="45" t="e">
        <f aca="false">AVERAGEA(CG158, CE158)</f>
        <v>#DIV/0!</v>
      </c>
      <c r="CG158" s="46"/>
    </row>
    <row r="159" s="18" customFormat="true" ht="28.35" hidden="false" customHeight="false" outlineLevel="0" collapsed="false">
      <c r="B159" s="86"/>
      <c r="C159" s="74"/>
      <c r="D159" s="63" t="s">
        <v>140</v>
      </c>
      <c r="E159" s="63"/>
      <c r="F159" s="63" t="s">
        <v>141</v>
      </c>
      <c r="G159" s="88"/>
      <c r="H159" s="37"/>
      <c r="I159" s="37" t="e">
        <f aca="false">AVERAGEA(H159,J159)</f>
        <v>#DIV/0!</v>
      </c>
      <c r="J159" s="37"/>
      <c r="K159" s="34" t="s">
        <v>55</v>
      </c>
      <c r="L159" s="39" t="n">
        <f aca="false">AVERAGEA(K159,M159)</f>
        <v>0</v>
      </c>
      <c r="M159" s="34" t="s">
        <v>55</v>
      </c>
      <c r="N159" s="37" t="n">
        <v>8</v>
      </c>
      <c r="O159" s="37" t="n">
        <f aca="false">AVERAGEA(N159,P159)</f>
        <v>11.5</v>
      </c>
      <c r="P159" s="37" t="n">
        <v>15</v>
      </c>
      <c r="Q159" s="34" t="s">
        <v>55</v>
      </c>
      <c r="R159" s="39" t="n">
        <f aca="false">AVERAGEA(Q159,S159)</f>
        <v>0</v>
      </c>
      <c r="S159" s="34" t="s">
        <v>55</v>
      </c>
      <c r="T159" s="36" t="s">
        <v>55</v>
      </c>
      <c r="U159" s="37" t="n">
        <f aca="false">AVERAGEA(V159, T159)</f>
        <v>0</v>
      </c>
      <c r="V159" s="36" t="s">
        <v>55</v>
      </c>
      <c r="W159" s="34" t="s">
        <v>55</v>
      </c>
      <c r="X159" s="39" t="n">
        <f aca="false">AVERAGEA(Y159, W159)</f>
        <v>0</v>
      </c>
      <c r="Y159" s="34" t="s">
        <v>55</v>
      </c>
      <c r="Z159" s="36" t="s">
        <v>55</v>
      </c>
      <c r="AA159" s="37"/>
      <c r="AB159" s="36" t="s">
        <v>55</v>
      </c>
      <c r="AC159" s="34" t="n">
        <v>15</v>
      </c>
      <c r="AD159" s="39" t="n">
        <f aca="false">AVERAGEA(AC159,AE159)</f>
        <v>25</v>
      </c>
      <c r="AE159" s="34" t="n">
        <v>35</v>
      </c>
      <c r="AF159" s="36" t="n">
        <v>0</v>
      </c>
      <c r="AG159" s="37" t="n">
        <f aca="false">AVERAGEA(AH159, AF159)</f>
        <v>0</v>
      </c>
      <c r="AH159" s="36" t="n">
        <v>0</v>
      </c>
      <c r="AI159" s="34" t="n">
        <v>5</v>
      </c>
      <c r="AJ159" s="39" t="n">
        <f aca="false">AVERAGEA(AK159, AI159)</f>
        <v>17.5</v>
      </c>
      <c r="AK159" s="34" t="n">
        <v>30</v>
      </c>
      <c r="AL159" s="43" t="n">
        <v>5</v>
      </c>
      <c r="AM159" s="37" t="n">
        <f aca="false">AVERAGEA(AN159, AL159)</f>
        <v>17.5</v>
      </c>
      <c r="AN159" s="43" t="n">
        <v>30</v>
      </c>
      <c r="AO159" s="34" t="n">
        <v>0</v>
      </c>
      <c r="AP159" s="35" t="n">
        <f aca="false">AVERAGEA(AQ159, AO159)</f>
        <v>0</v>
      </c>
      <c r="AQ159" s="34" t="n">
        <v>0</v>
      </c>
      <c r="AR159" s="37" t="n">
        <v>0</v>
      </c>
      <c r="AS159" s="37" t="n">
        <f aca="false">AVERAGEA(AT159, AR159)</f>
        <v>0</v>
      </c>
      <c r="AT159" s="36" t="n">
        <v>0</v>
      </c>
      <c r="AU159" s="34" t="n">
        <v>10000</v>
      </c>
      <c r="AV159" s="39" t="n">
        <f aca="false">AVERAGEA(AW159, AU159)</f>
        <v>17500</v>
      </c>
      <c r="AW159" s="34" t="n">
        <v>25000</v>
      </c>
      <c r="AX159" s="43" t="n">
        <v>400</v>
      </c>
      <c r="AY159" s="38" t="n">
        <f aca="false">AVERAGEA(AZ159, AX159)</f>
        <v>650</v>
      </c>
      <c r="AZ159" s="43" t="n">
        <v>900</v>
      </c>
      <c r="BA159" s="45" t="n">
        <v>50</v>
      </c>
      <c r="BB159" s="45" t="n">
        <f aca="false">AVERAGEA(BC159, BA159)</f>
        <v>85</v>
      </c>
      <c r="BC159" s="45" t="n">
        <v>120</v>
      </c>
      <c r="BD159" s="43" t="n">
        <v>0</v>
      </c>
      <c r="BE159" s="37" t="n">
        <f aca="false">AVERAGEA(BD159,BF159)</f>
        <v>0</v>
      </c>
      <c r="BF159" s="43" t="n">
        <v>0</v>
      </c>
      <c r="BG159" s="45" t="n">
        <v>0</v>
      </c>
      <c r="BH159" s="45" t="n">
        <f aca="false">AVERAGEA(BI159, BG159)</f>
        <v>0</v>
      </c>
      <c r="BI159" s="45" t="n">
        <v>0</v>
      </c>
      <c r="BJ159" s="43" t="n">
        <v>0</v>
      </c>
      <c r="BK159" s="37" t="n">
        <f aca="false">AVERAGEA(BJ159,BL159)</f>
        <v>0</v>
      </c>
      <c r="BL159" s="43" t="n">
        <v>0</v>
      </c>
      <c r="BM159" s="45" t="n">
        <v>0</v>
      </c>
      <c r="BN159" s="45" t="n">
        <f aca="false">AVERAGEA(BO159, BM159)</f>
        <v>0</v>
      </c>
      <c r="BO159" s="45" t="n">
        <v>0</v>
      </c>
      <c r="BP159" s="43" t="n">
        <v>0</v>
      </c>
      <c r="BQ159" s="37" t="n">
        <f aca="false">AVERAGEA(BP159,BR159)</f>
        <v>0</v>
      </c>
      <c r="BR159" s="43" t="n">
        <v>0</v>
      </c>
      <c r="BS159" s="45" t="n">
        <v>0</v>
      </c>
      <c r="BT159" s="45" t="n">
        <f aca="false">AVERAGEA(BU159, BS159)</f>
        <v>0</v>
      </c>
      <c r="BU159" s="46" t="n">
        <v>0</v>
      </c>
      <c r="BV159" s="43" t="n">
        <v>0</v>
      </c>
      <c r="BW159" s="37" t="n">
        <f aca="false">AVERAGEA(BV159,BX159)</f>
        <v>0</v>
      </c>
      <c r="BX159" s="43" t="n">
        <v>0</v>
      </c>
      <c r="BY159" s="45"/>
      <c r="BZ159" s="45" t="e">
        <f aca="false">AVERAGEA(CA159, BY159)</f>
        <v>#DIV/0!</v>
      </c>
      <c r="CA159" s="46"/>
      <c r="CB159" s="43"/>
      <c r="CC159" s="37" t="e">
        <f aca="false">AVERAGEA(CB159,CD159)</f>
        <v>#DIV/0!</v>
      </c>
      <c r="CD159" s="43"/>
      <c r="CE159" s="45"/>
      <c r="CF159" s="45" t="e">
        <f aca="false">AVERAGEA(CG159, CE159)</f>
        <v>#DIV/0!</v>
      </c>
      <c r="CG159" s="46"/>
    </row>
    <row r="160" s="18" customFormat="true" ht="28.35" hidden="false" customHeight="false" outlineLevel="0" collapsed="false">
      <c r="B160" s="86"/>
      <c r="C160" s="74"/>
      <c r="D160" s="94"/>
      <c r="E160" s="75"/>
      <c r="F160" s="73" t="s">
        <v>109</v>
      </c>
      <c r="G160" s="89"/>
      <c r="H160" s="52"/>
      <c r="I160" s="38"/>
      <c r="J160" s="52"/>
      <c r="K160" s="77" t="s">
        <v>55</v>
      </c>
      <c r="L160" s="54" t="n">
        <f aca="false">AVERAGEA(K160,M160)</f>
        <v>0</v>
      </c>
      <c r="M160" s="77" t="s">
        <v>55</v>
      </c>
      <c r="N160" s="52" t="s">
        <v>55</v>
      </c>
      <c r="O160" s="38"/>
      <c r="P160" s="52" t="s">
        <v>55</v>
      </c>
      <c r="Q160" s="77" t="s">
        <v>55</v>
      </c>
      <c r="R160" s="54" t="n">
        <f aca="false">AVERAGEA(Q160,S160)</f>
        <v>0</v>
      </c>
      <c r="S160" s="77" t="s">
        <v>55</v>
      </c>
      <c r="T160" s="52" t="s">
        <v>55</v>
      </c>
      <c r="U160" s="52" t="n">
        <f aca="false">AVERAGEA(V160, T160)</f>
        <v>0</v>
      </c>
      <c r="V160" s="52" t="s">
        <v>55</v>
      </c>
      <c r="W160" s="77" t="s">
        <v>55</v>
      </c>
      <c r="X160" s="54" t="n">
        <f aca="false">AVERAGEA(Y160, W160)</f>
        <v>0</v>
      </c>
      <c r="Y160" s="77" t="s">
        <v>55</v>
      </c>
      <c r="Z160" s="52" t="s">
        <v>55</v>
      </c>
      <c r="AA160" s="52"/>
      <c r="AB160" s="52" t="s">
        <v>55</v>
      </c>
      <c r="AC160" s="77" t="n">
        <v>90</v>
      </c>
      <c r="AD160" s="54" t="n">
        <f aca="false">AVERAGEA(AC160,AE160)</f>
        <v>90</v>
      </c>
      <c r="AE160" s="77" t="n">
        <v>90</v>
      </c>
      <c r="AF160" s="56" t="s">
        <v>69</v>
      </c>
      <c r="AG160" s="52"/>
      <c r="AH160" s="56" t="s">
        <v>69</v>
      </c>
      <c r="AI160" s="77" t="s">
        <v>68</v>
      </c>
      <c r="AJ160" s="54"/>
      <c r="AK160" s="77" t="s">
        <v>68</v>
      </c>
      <c r="AL160" s="56" t="s">
        <v>69</v>
      </c>
      <c r="AM160" s="52"/>
      <c r="AN160" s="56" t="s">
        <v>69</v>
      </c>
      <c r="AO160" s="77" t="s">
        <v>68</v>
      </c>
      <c r="AP160" s="54"/>
      <c r="AQ160" s="77" t="s">
        <v>68</v>
      </c>
      <c r="AR160" s="52" t="s">
        <v>68</v>
      </c>
      <c r="AS160" s="51"/>
      <c r="AT160" s="52" t="s">
        <v>68</v>
      </c>
      <c r="AU160" s="77" t="n">
        <v>2694</v>
      </c>
      <c r="AV160" s="54" t="n">
        <f aca="false">AVERAGEA(AW160, AU160)</f>
        <v>4820.5</v>
      </c>
      <c r="AW160" s="77" t="n">
        <v>6947</v>
      </c>
      <c r="AX160" s="56" t="s">
        <v>68</v>
      </c>
      <c r="AY160" s="52"/>
      <c r="AZ160" s="56" t="s">
        <v>68</v>
      </c>
      <c r="BA160" s="55" t="s">
        <v>69</v>
      </c>
      <c r="BB160" s="55"/>
      <c r="BC160" s="55" t="s">
        <v>69</v>
      </c>
      <c r="BD160" s="56" t="s">
        <v>68</v>
      </c>
      <c r="BE160" s="56"/>
      <c r="BF160" s="56" t="s">
        <v>68</v>
      </c>
      <c r="BG160" s="55" t="s">
        <v>69</v>
      </c>
      <c r="BH160" s="55"/>
      <c r="BI160" s="55" t="s">
        <v>69</v>
      </c>
      <c r="BJ160" s="56" t="s">
        <v>68</v>
      </c>
      <c r="BK160" s="51"/>
      <c r="BL160" s="56" t="s">
        <v>68</v>
      </c>
      <c r="BM160" s="55" t="s">
        <v>69</v>
      </c>
      <c r="BN160" s="55"/>
      <c r="BO160" s="55" t="s">
        <v>69</v>
      </c>
      <c r="BP160" s="56" t="s">
        <v>68</v>
      </c>
      <c r="BQ160" s="56"/>
      <c r="BR160" s="56" t="s">
        <v>68</v>
      </c>
      <c r="BS160" s="55" t="s">
        <v>68</v>
      </c>
      <c r="BT160" s="55"/>
      <c r="BU160" s="57" t="s">
        <v>68</v>
      </c>
      <c r="BV160" s="56" t="s">
        <v>68</v>
      </c>
      <c r="BW160" s="56"/>
      <c r="BX160" s="56" t="s">
        <v>68</v>
      </c>
      <c r="BY160" s="55"/>
      <c r="BZ160" s="55"/>
      <c r="CA160" s="57"/>
      <c r="CB160" s="56"/>
      <c r="CC160" s="56"/>
      <c r="CD160" s="56"/>
      <c r="CE160" s="55"/>
      <c r="CF160" s="55"/>
      <c r="CG160" s="57"/>
    </row>
    <row r="161" s="18" customFormat="true" ht="28.35" hidden="false" customHeight="false" outlineLevel="0" collapsed="false">
      <c r="B161" s="78" t="s">
        <v>142</v>
      </c>
      <c r="C161" s="21" t="s">
        <v>143</v>
      </c>
      <c r="D161" s="20" t="s">
        <v>144</v>
      </c>
      <c r="E161" s="95"/>
      <c r="F161" s="96" t="s">
        <v>145</v>
      </c>
      <c r="G161" s="97"/>
      <c r="H161" s="29"/>
      <c r="I161" s="30" t="e">
        <f aca="false">AVERAGEA(H161,J161)</f>
        <v>#DIV/0!</v>
      </c>
      <c r="J161" s="98"/>
      <c r="K161" s="26" t="s">
        <v>55</v>
      </c>
      <c r="L161" s="27" t="n">
        <f aca="false">AVERAGEA(K161,M161)</f>
        <v>0</v>
      </c>
      <c r="M161" s="26" t="s">
        <v>55</v>
      </c>
      <c r="N161" s="29" t="n">
        <v>16</v>
      </c>
      <c r="O161" s="30" t="n">
        <f aca="false">AVERAGEA(N161,P161)</f>
        <v>19</v>
      </c>
      <c r="P161" s="98" t="n">
        <v>22</v>
      </c>
      <c r="Q161" s="26" t="s">
        <v>55</v>
      </c>
      <c r="R161" s="27" t="n">
        <f aca="false">AVERAGEA(Q161,S161)</f>
        <v>0</v>
      </c>
      <c r="S161" s="26" t="s">
        <v>55</v>
      </c>
      <c r="T161" s="29" t="s">
        <v>55</v>
      </c>
      <c r="U161" s="98" t="n">
        <f aca="false">AVERAGEA(V161, T161)</f>
        <v>0</v>
      </c>
      <c r="V161" s="98" t="s">
        <v>55</v>
      </c>
      <c r="W161" s="27" t="s">
        <v>55</v>
      </c>
      <c r="X161" s="27" t="n">
        <f aca="false">AVERAGEA(Y161, W161)</f>
        <v>0</v>
      </c>
      <c r="Y161" s="27" t="s">
        <v>55</v>
      </c>
      <c r="Z161" s="29" t="s">
        <v>55</v>
      </c>
      <c r="AA161" s="98"/>
      <c r="AB161" s="98" t="s">
        <v>55</v>
      </c>
      <c r="AC161" s="27" t="n">
        <v>8</v>
      </c>
      <c r="AD161" s="27" t="n">
        <f aca="false">AVERAGEA(AC161,AE161)</f>
        <v>15</v>
      </c>
      <c r="AE161" s="27" t="n">
        <v>22</v>
      </c>
      <c r="AF161" s="83" t="n">
        <v>0</v>
      </c>
      <c r="AG161" s="98" t="n">
        <f aca="false">AVERAGEA(AH161, AF161)</f>
        <v>0</v>
      </c>
      <c r="AH161" s="83" t="n">
        <v>0</v>
      </c>
      <c r="AI161" s="99" t="n">
        <v>100</v>
      </c>
      <c r="AJ161" s="27" t="n">
        <f aca="false">AVERAGEA(AK161, AI161)</f>
        <v>100</v>
      </c>
      <c r="AK161" s="100" t="n">
        <v>100</v>
      </c>
      <c r="AL161" s="83" t="n">
        <v>100</v>
      </c>
      <c r="AM161" s="101" t="n">
        <f aca="false">AVERAGEA(AN161, AL161)</f>
        <v>100</v>
      </c>
      <c r="AN161" s="83" t="n">
        <v>100</v>
      </c>
      <c r="AO161" s="27" t="n">
        <v>0</v>
      </c>
      <c r="AP161" s="27" t="n">
        <f aca="false">AVERAGEA(AQ161, AO161)</f>
        <v>0</v>
      </c>
      <c r="AQ161" s="27" t="n">
        <v>0</v>
      </c>
      <c r="AR161" s="29" t="n">
        <v>0</v>
      </c>
      <c r="AS161" s="30" t="n">
        <f aca="false">AVERAGEA(AT161, AR161)</f>
        <v>0</v>
      </c>
      <c r="AT161" s="29" t="n">
        <v>0</v>
      </c>
      <c r="AU161" s="102" t="n">
        <v>1200</v>
      </c>
      <c r="AV161" s="27" t="n">
        <f aca="false">AVERAGEA(AW161, AU161)</f>
        <v>1600</v>
      </c>
      <c r="AW161" s="27" t="n">
        <v>2000</v>
      </c>
      <c r="AX161" s="83" t="n">
        <v>20</v>
      </c>
      <c r="AY161" s="30" t="n">
        <f aca="false">AVERAGEA(AZ161, AX161)</f>
        <v>30</v>
      </c>
      <c r="AZ161" s="83" t="n">
        <v>40</v>
      </c>
      <c r="BA161" s="26" t="n">
        <v>0</v>
      </c>
      <c r="BB161" s="27" t="n">
        <v>0</v>
      </c>
      <c r="BC161" s="26" t="n">
        <v>0</v>
      </c>
      <c r="BD161" s="83" t="n">
        <v>0</v>
      </c>
      <c r="BE161" s="30" t="n">
        <f aca="false">AVERAGEA(BF161, BD161)</f>
        <v>0</v>
      </c>
      <c r="BF161" s="83" t="n">
        <v>0</v>
      </c>
      <c r="BG161" s="26" t="n">
        <v>0</v>
      </c>
      <c r="BH161" s="27" t="n">
        <v>0</v>
      </c>
      <c r="BI161" s="26" t="n">
        <v>0</v>
      </c>
      <c r="BJ161" s="83" t="n">
        <v>0</v>
      </c>
      <c r="BK161" s="30" t="n">
        <f aca="false">AVERAGEA(BL161, BJ161)</f>
        <v>0</v>
      </c>
      <c r="BL161" s="83" t="n">
        <v>0</v>
      </c>
      <c r="BM161" s="26" t="n">
        <v>0</v>
      </c>
      <c r="BN161" s="27" t="n">
        <v>0</v>
      </c>
      <c r="BO161" s="26" t="n">
        <v>0</v>
      </c>
      <c r="BP161" s="83" t="n">
        <v>0</v>
      </c>
      <c r="BQ161" s="30" t="n">
        <f aca="false">AVERAGEA(BR161, BP161)</f>
        <v>0</v>
      </c>
      <c r="BR161" s="83" t="n">
        <v>0</v>
      </c>
      <c r="BS161" s="26" t="n">
        <v>0</v>
      </c>
      <c r="BT161" s="27" t="n">
        <v>0</v>
      </c>
      <c r="BU161" s="103" t="n">
        <v>0</v>
      </c>
      <c r="BV161" s="83" t="n">
        <v>0</v>
      </c>
      <c r="BW161" s="30" t="n">
        <f aca="false">AVERAGEA(BX161, BV161)</f>
        <v>0</v>
      </c>
      <c r="BX161" s="83" t="n">
        <v>0</v>
      </c>
      <c r="BY161" s="26"/>
      <c r="BZ161" s="27" t="n">
        <v>0</v>
      </c>
      <c r="CA161" s="103"/>
      <c r="CB161" s="83"/>
      <c r="CC161" s="30" t="e">
        <f aca="false">AVERAGEA(CD161, CB161)</f>
        <v>#DIV/0!</v>
      </c>
      <c r="CD161" s="83"/>
      <c r="CE161" s="26"/>
      <c r="CF161" s="27" t="n">
        <v>0</v>
      </c>
      <c r="CG161" s="103"/>
    </row>
    <row r="162" s="18" customFormat="true" ht="28.35" hidden="false" customHeight="false" outlineLevel="0" collapsed="false">
      <c r="B162" s="78"/>
      <c r="C162" s="21" t="s">
        <v>146</v>
      </c>
      <c r="D162" s="32" t="s">
        <v>147</v>
      </c>
      <c r="E162" s="104"/>
      <c r="F162" s="105" t="s">
        <v>148</v>
      </c>
      <c r="G162" s="106"/>
      <c r="H162" s="37"/>
      <c r="I162" s="107" t="e">
        <f aca="false">AVERAGEA(H162,J162)</f>
        <v>#DIV/0!</v>
      </c>
      <c r="J162" s="108"/>
      <c r="K162" s="34" t="s">
        <v>55</v>
      </c>
      <c r="L162" s="109" t="n">
        <f aca="false">AVERAGEA(K162,M162)</f>
        <v>0</v>
      </c>
      <c r="M162" s="34" t="s">
        <v>55</v>
      </c>
      <c r="N162" s="37" t="n">
        <v>17</v>
      </c>
      <c r="O162" s="107" t="n">
        <f aca="false">AVERAGEA(N162,P162)</f>
        <v>20</v>
      </c>
      <c r="P162" s="108" t="n">
        <v>23</v>
      </c>
      <c r="Q162" s="34" t="s">
        <v>55</v>
      </c>
      <c r="R162" s="109" t="n">
        <f aca="false">AVERAGEA(Q162,S162)</f>
        <v>0</v>
      </c>
      <c r="S162" s="34" t="s">
        <v>55</v>
      </c>
      <c r="T162" s="37" t="s">
        <v>55</v>
      </c>
      <c r="U162" s="108" t="n">
        <f aca="false">AVERAGEA(V162, T162)</f>
        <v>0</v>
      </c>
      <c r="V162" s="108" t="s">
        <v>55</v>
      </c>
      <c r="W162" s="35" t="s">
        <v>55</v>
      </c>
      <c r="X162" s="109" t="n">
        <f aca="false">AVERAGEA(Y162, W162)</f>
        <v>0</v>
      </c>
      <c r="Y162" s="35" t="s">
        <v>55</v>
      </c>
      <c r="Z162" s="37" t="s">
        <v>55</v>
      </c>
      <c r="AA162" s="108"/>
      <c r="AB162" s="108" t="s">
        <v>55</v>
      </c>
      <c r="AC162" s="35" t="n">
        <v>10</v>
      </c>
      <c r="AD162" s="109" t="n">
        <f aca="false">AVERAGEA(AC162,AE162)</f>
        <v>18</v>
      </c>
      <c r="AE162" s="35" t="n">
        <v>26</v>
      </c>
      <c r="AF162" s="43" t="n">
        <v>0</v>
      </c>
      <c r="AG162" s="108" t="n">
        <f aca="false">AVERAGEA(AH162, AF162)</f>
        <v>0</v>
      </c>
      <c r="AH162" s="43" t="n">
        <v>0</v>
      </c>
      <c r="AI162" s="110" t="n">
        <v>100</v>
      </c>
      <c r="AJ162" s="111" t="n">
        <f aca="false">AVERAGEA(AK162, AI162)</f>
        <v>100</v>
      </c>
      <c r="AK162" s="112" t="n">
        <v>100</v>
      </c>
      <c r="AL162" s="43" t="n">
        <v>100</v>
      </c>
      <c r="AM162" s="113" t="n">
        <f aca="false">AVERAGEA(AN162, AL162)</f>
        <v>100</v>
      </c>
      <c r="AN162" s="43" t="n">
        <v>100</v>
      </c>
      <c r="AO162" s="35" t="n">
        <v>0</v>
      </c>
      <c r="AP162" s="35" t="n">
        <f aca="false">AVERAGEA(AQ162, AO162)</f>
        <v>0</v>
      </c>
      <c r="AQ162" s="35" t="n">
        <v>0</v>
      </c>
      <c r="AR162" s="37" t="n">
        <v>0</v>
      </c>
      <c r="AS162" s="36" t="n">
        <f aca="false">AVERAGEA(AT162, AR162)</f>
        <v>0</v>
      </c>
      <c r="AT162" s="37" t="n">
        <v>0</v>
      </c>
      <c r="AU162" s="114" t="n">
        <v>900</v>
      </c>
      <c r="AV162" s="109" t="n">
        <f aca="false">AVERAGEA(AW162, AU162)</f>
        <v>1150</v>
      </c>
      <c r="AW162" s="35" t="n">
        <v>1400</v>
      </c>
      <c r="AX162" s="43" t="n">
        <v>15</v>
      </c>
      <c r="AY162" s="107" t="n">
        <f aca="false">AVERAGEA(AZ162, AX162)</f>
        <v>22.5</v>
      </c>
      <c r="AZ162" s="43" t="n">
        <v>30</v>
      </c>
      <c r="BA162" s="34" t="n">
        <v>0</v>
      </c>
      <c r="BB162" s="35" t="n">
        <v>0</v>
      </c>
      <c r="BC162" s="34" t="n">
        <v>0</v>
      </c>
      <c r="BD162" s="43" t="n">
        <v>0</v>
      </c>
      <c r="BE162" s="107" t="n">
        <f aca="false">AVERAGEA(BF162, BD162)</f>
        <v>0</v>
      </c>
      <c r="BF162" s="43" t="n">
        <v>0</v>
      </c>
      <c r="BG162" s="34" t="n">
        <v>0</v>
      </c>
      <c r="BH162" s="35" t="n">
        <v>0</v>
      </c>
      <c r="BI162" s="34" t="n">
        <v>0</v>
      </c>
      <c r="BJ162" s="43" t="n">
        <v>0</v>
      </c>
      <c r="BK162" s="107" t="n">
        <f aca="false">AVERAGEA(BL162, BJ162)</f>
        <v>0</v>
      </c>
      <c r="BL162" s="43" t="n">
        <v>0</v>
      </c>
      <c r="BM162" s="34" t="n">
        <v>0</v>
      </c>
      <c r="BN162" s="35" t="n">
        <v>0</v>
      </c>
      <c r="BO162" s="34" t="n">
        <v>0</v>
      </c>
      <c r="BP162" s="43" t="n">
        <v>0</v>
      </c>
      <c r="BQ162" s="107" t="n">
        <f aca="false">AVERAGEA(BR162, BP162)</f>
        <v>0</v>
      </c>
      <c r="BR162" s="43" t="n">
        <v>0</v>
      </c>
      <c r="BS162" s="34" t="n">
        <v>0</v>
      </c>
      <c r="BT162" s="35" t="n">
        <v>0</v>
      </c>
      <c r="BU162" s="40" t="n">
        <v>0</v>
      </c>
      <c r="BV162" s="43" t="n">
        <v>0</v>
      </c>
      <c r="BW162" s="107" t="n">
        <f aca="false">AVERAGEA(BX162, BV162)</f>
        <v>0</v>
      </c>
      <c r="BX162" s="43" t="n">
        <v>0</v>
      </c>
      <c r="BY162" s="34"/>
      <c r="BZ162" s="35" t="n">
        <v>0</v>
      </c>
      <c r="CA162" s="40"/>
      <c r="CB162" s="43"/>
      <c r="CC162" s="107" t="e">
        <f aca="false">AVERAGEA(CD162, CB162)</f>
        <v>#DIV/0!</v>
      </c>
      <c r="CD162" s="43"/>
      <c r="CE162" s="34"/>
      <c r="CF162" s="35" t="n">
        <v>0</v>
      </c>
      <c r="CG162" s="40"/>
    </row>
    <row r="163" s="18" customFormat="true" ht="28.35" hidden="false" customHeight="false" outlineLevel="0" collapsed="false">
      <c r="B163" s="78"/>
      <c r="C163" s="21" t="s">
        <v>149</v>
      </c>
      <c r="D163" s="32" t="s">
        <v>150</v>
      </c>
      <c r="E163" s="104"/>
      <c r="F163" s="105" t="s">
        <v>151</v>
      </c>
      <c r="G163" s="106"/>
      <c r="H163" s="37"/>
      <c r="I163" s="107" t="e">
        <f aca="false">AVERAGEA(H163,J163)</f>
        <v>#DIV/0!</v>
      </c>
      <c r="J163" s="108"/>
      <c r="K163" s="34" t="s">
        <v>55</v>
      </c>
      <c r="L163" s="109" t="n">
        <f aca="false">AVERAGEA(K163,M163)</f>
        <v>0</v>
      </c>
      <c r="M163" s="34" t="s">
        <v>55</v>
      </c>
      <c r="N163" s="37" t="n">
        <v>18</v>
      </c>
      <c r="O163" s="107" t="n">
        <f aca="false">AVERAGEA(N163,P163)</f>
        <v>21</v>
      </c>
      <c r="P163" s="108" t="n">
        <v>24</v>
      </c>
      <c r="Q163" s="34" t="s">
        <v>55</v>
      </c>
      <c r="R163" s="109" t="n">
        <f aca="false">AVERAGEA(Q163,S163)</f>
        <v>0</v>
      </c>
      <c r="S163" s="34" t="s">
        <v>55</v>
      </c>
      <c r="T163" s="115" t="s">
        <v>55</v>
      </c>
      <c r="U163" s="108" t="n">
        <f aca="false">AVERAGEA(V163, T163)</f>
        <v>0</v>
      </c>
      <c r="V163" s="36" t="s">
        <v>55</v>
      </c>
      <c r="W163" s="35" t="s">
        <v>55</v>
      </c>
      <c r="X163" s="109" t="n">
        <f aca="false">AVERAGEA(Y163, W163)</f>
        <v>0</v>
      </c>
      <c r="Y163" s="35" t="s">
        <v>55</v>
      </c>
      <c r="Z163" s="115" t="s">
        <v>55</v>
      </c>
      <c r="AA163" s="108"/>
      <c r="AB163" s="36" t="s">
        <v>55</v>
      </c>
      <c r="AC163" s="35" t="n">
        <v>12</v>
      </c>
      <c r="AD163" s="109" t="n">
        <f aca="false">AVERAGEA(AC163,AE163)</f>
        <v>22</v>
      </c>
      <c r="AE163" s="35" t="n">
        <v>32</v>
      </c>
      <c r="AF163" s="43" t="n">
        <v>0</v>
      </c>
      <c r="AG163" s="108" t="n">
        <f aca="false">AVERAGEA(AH163, AF163)</f>
        <v>0</v>
      </c>
      <c r="AH163" s="43" t="n">
        <v>0</v>
      </c>
      <c r="AI163" s="110" t="n">
        <v>100</v>
      </c>
      <c r="AJ163" s="35" t="n">
        <f aca="false">AVERAGEA(AK163, AI163)</f>
        <v>100</v>
      </c>
      <c r="AK163" s="112" t="n">
        <v>100</v>
      </c>
      <c r="AL163" s="43" t="n">
        <v>100</v>
      </c>
      <c r="AM163" s="113" t="n">
        <f aca="false">AVERAGEA(AN163, AL163)</f>
        <v>100</v>
      </c>
      <c r="AN163" s="43" t="n">
        <v>100</v>
      </c>
      <c r="AO163" s="35" t="n">
        <v>0</v>
      </c>
      <c r="AP163" s="35" t="n">
        <f aca="false">AVERAGEA(AQ163, AO163)</f>
        <v>0</v>
      </c>
      <c r="AQ163" s="35" t="n">
        <v>0</v>
      </c>
      <c r="AR163" s="37" t="n">
        <v>0</v>
      </c>
      <c r="AS163" s="36" t="n">
        <f aca="false">AVERAGEA(AT163, AR163)</f>
        <v>0</v>
      </c>
      <c r="AT163" s="37" t="n">
        <v>0</v>
      </c>
      <c r="AU163" s="114" t="n">
        <v>10</v>
      </c>
      <c r="AV163" s="109" t="n">
        <f aca="false">AVERAGEA(AW163, AU163)</f>
        <v>15</v>
      </c>
      <c r="AW163" s="35" t="n">
        <v>20</v>
      </c>
      <c r="AX163" s="43" t="n">
        <v>10</v>
      </c>
      <c r="AY163" s="107" t="n">
        <f aca="false">AVERAGEA(AZ163, AX163)</f>
        <v>15</v>
      </c>
      <c r="AZ163" s="43" t="n">
        <v>20</v>
      </c>
      <c r="BA163" s="34" t="n">
        <v>0</v>
      </c>
      <c r="BB163" s="35" t="n">
        <v>0</v>
      </c>
      <c r="BC163" s="34" t="n">
        <v>0</v>
      </c>
      <c r="BD163" s="43" t="n">
        <v>0</v>
      </c>
      <c r="BE163" s="107" t="n">
        <f aca="false">AVERAGEA(BF163, BD163)</f>
        <v>0</v>
      </c>
      <c r="BF163" s="43" t="n">
        <v>0</v>
      </c>
      <c r="BG163" s="34" t="n">
        <v>0</v>
      </c>
      <c r="BH163" s="35" t="n">
        <v>0</v>
      </c>
      <c r="BI163" s="34" t="n">
        <v>0</v>
      </c>
      <c r="BJ163" s="43" t="n">
        <v>0</v>
      </c>
      <c r="BK163" s="107" t="n">
        <f aca="false">AVERAGEA(BL163, BJ163)</f>
        <v>0</v>
      </c>
      <c r="BL163" s="43" t="n">
        <v>0</v>
      </c>
      <c r="BM163" s="34" t="n">
        <v>0</v>
      </c>
      <c r="BN163" s="35" t="n">
        <v>0</v>
      </c>
      <c r="BO163" s="34" t="n">
        <v>0</v>
      </c>
      <c r="BP163" s="43" t="n">
        <v>0</v>
      </c>
      <c r="BQ163" s="107" t="n">
        <f aca="false">AVERAGEA(BR163, BP163)</f>
        <v>0</v>
      </c>
      <c r="BR163" s="43" t="n">
        <v>0</v>
      </c>
      <c r="BS163" s="34" t="n">
        <v>0</v>
      </c>
      <c r="BT163" s="35" t="n">
        <v>0</v>
      </c>
      <c r="BU163" s="40" t="n">
        <v>0</v>
      </c>
      <c r="BV163" s="43" t="n">
        <v>0</v>
      </c>
      <c r="BW163" s="107" t="n">
        <f aca="false">AVERAGEA(BX163, BV163)</f>
        <v>0</v>
      </c>
      <c r="BX163" s="43" t="n">
        <v>0</v>
      </c>
      <c r="BY163" s="34"/>
      <c r="BZ163" s="35" t="n">
        <v>0</v>
      </c>
      <c r="CA163" s="40"/>
      <c r="CB163" s="43"/>
      <c r="CC163" s="107" t="e">
        <f aca="false">AVERAGEA(CD163, CB163)</f>
        <v>#DIV/0!</v>
      </c>
      <c r="CD163" s="43"/>
      <c r="CE163" s="34"/>
      <c r="CF163" s="35" t="n">
        <v>0</v>
      </c>
      <c r="CG163" s="40"/>
    </row>
    <row r="164" s="18" customFormat="true" ht="28.35" hidden="false" customHeight="false" outlineLevel="0" collapsed="false">
      <c r="B164" s="78"/>
      <c r="C164" s="21" t="s">
        <v>152</v>
      </c>
      <c r="D164" s="116" t="s">
        <v>153</v>
      </c>
      <c r="E164" s="104"/>
      <c r="F164" s="105" t="s">
        <v>154</v>
      </c>
      <c r="G164" s="106"/>
      <c r="H164" s="36"/>
      <c r="I164" s="37" t="e">
        <f aca="false">AVERAGEA(H164,J164)</f>
        <v>#DIV/0!</v>
      </c>
      <c r="J164" s="117"/>
      <c r="K164" s="34" t="s">
        <v>55</v>
      </c>
      <c r="L164" s="39" t="n">
        <f aca="false">AVERAGEA(K164,M164)</f>
        <v>0</v>
      </c>
      <c r="M164" s="34" t="s">
        <v>55</v>
      </c>
      <c r="N164" s="36" t="n">
        <v>19</v>
      </c>
      <c r="O164" s="37" t="n">
        <f aca="false">AVERAGEA(N164,P164)</f>
        <v>22</v>
      </c>
      <c r="P164" s="117" t="n">
        <v>25</v>
      </c>
      <c r="Q164" s="34" t="s">
        <v>55</v>
      </c>
      <c r="R164" s="39" t="n">
        <f aca="false">AVERAGEA(Q164,S164)</f>
        <v>0</v>
      </c>
      <c r="S164" s="34" t="s">
        <v>55</v>
      </c>
      <c r="T164" s="36" t="s">
        <v>55</v>
      </c>
      <c r="U164" s="117" t="n">
        <f aca="false">AVERAGEA(V164, T164)</f>
        <v>0</v>
      </c>
      <c r="V164" s="117" t="s">
        <v>55</v>
      </c>
      <c r="W164" s="34" t="s">
        <v>55</v>
      </c>
      <c r="X164" s="39" t="n">
        <f aca="false">AVERAGEA(Y164, W164)</f>
        <v>0</v>
      </c>
      <c r="Y164" s="34" t="s">
        <v>55</v>
      </c>
      <c r="Z164" s="36" t="s">
        <v>55</v>
      </c>
      <c r="AA164" s="117"/>
      <c r="AB164" s="117" t="s">
        <v>55</v>
      </c>
      <c r="AC164" s="34" t="n">
        <v>15</v>
      </c>
      <c r="AD164" s="39" t="n">
        <f aca="false">AVERAGEA(AC164,AE164)</f>
        <v>27.5</v>
      </c>
      <c r="AE164" s="34" t="n">
        <v>40</v>
      </c>
      <c r="AF164" s="43" t="n">
        <v>0</v>
      </c>
      <c r="AG164" s="117" t="n">
        <f aca="false">AVERAGEA(AH164, AF164)</f>
        <v>0</v>
      </c>
      <c r="AH164" s="43" t="n">
        <v>0</v>
      </c>
      <c r="AI164" s="118" t="n">
        <v>100</v>
      </c>
      <c r="AJ164" s="39" t="n">
        <f aca="false">AVERAGEA(AK164, AI164)</f>
        <v>100</v>
      </c>
      <c r="AK164" s="112" t="n">
        <v>100</v>
      </c>
      <c r="AL164" s="43" t="n">
        <v>100</v>
      </c>
      <c r="AM164" s="117" t="n">
        <f aca="false">AVERAGEA(AN164, AL164)</f>
        <v>100</v>
      </c>
      <c r="AN164" s="43" t="n">
        <v>100</v>
      </c>
      <c r="AO164" s="34" t="n">
        <v>0</v>
      </c>
      <c r="AP164" s="39" t="n">
        <f aca="false">AVERAGEA(AQ164, AO164)</f>
        <v>0</v>
      </c>
      <c r="AQ164" s="34" t="n">
        <v>0</v>
      </c>
      <c r="AR164" s="36" t="n">
        <v>0</v>
      </c>
      <c r="AS164" s="37" t="n">
        <f aca="false">AVERAGEA(AT164, AR164)</f>
        <v>0</v>
      </c>
      <c r="AT164" s="36" t="n">
        <v>0</v>
      </c>
      <c r="AU164" s="114" t="n">
        <v>500</v>
      </c>
      <c r="AV164" s="39" t="n">
        <f aca="false">AVERAGEA(AW164, AU164)</f>
        <v>700</v>
      </c>
      <c r="AW164" s="34" t="n">
        <v>900</v>
      </c>
      <c r="AX164" s="43" t="n">
        <v>8</v>
      </c>
      <c r="AY164" s="37" t="n">
        <f aca="false">AVERAGEA(AZ164, AX164)</f>
        <v>13</v>
      </c>
      <c r="AZ164" s="43" t="n">
        <v>18</v>
      </c>
      <c r="BA164" s="34" t="n">
        <v>0</v>
      </c>
      <c r="BB164" s="39" t="n">
        <f aca="false">AVERAGEA(BC164, BA164)</f>
        <v>0</v>
      </c>
      <c r="BC164" s="34" t="n">
        <v>0</v>
      </c>
      <c r="BD164" s="43" t="n">
        <v>0</v>
      </c>
      <c r="BE164" s="37" t="n">
        <f aca="false">AVERAGEA(BF164, BD164)</f>
        <v>0</v>
      </c>
      <c r="BF164" s="43" t="n">
        <v>0</v>
      </c>
      <c r="BG164" s="34" t="n">
        <v>0</v>
      </c>
      <c r="BH164" s="39" t="n">
        <f aca="false">AVERAGEA(BI164, BG164)</f>
        <v>0</v>
      </c>
      <c r="BI164" s="34" t="n">
        <v>0</v>
      </c>
      <c r="BJ164" s="43" t="n">
        <v>0</v>
      </c>
      <c r="BK164" s="37" t="n">
        <f aca="false">AVERAGEA(BL164, BJ164)</f>
        <v>0</v>
      </c>
      <c r="BL164" s="43" t="n">
        <v>0</v>
      </c>
      <c r="BM164" s="34" t="n">
        <v>0</v>
      </c>
      <c r="BN164" s="39" t="n">
        <f aca="false">AVERAGEA(BO164, BM164)</f>
        <v>0</v>
      </c>
      <c r="BO164" s="34" t="n">
        <v>0</v>
      </c>
      <c r="BP164" s="43" t="n">
        <v>0</v>
      </c>
      <c r="BQ164" s="37" t="n">
        <f aca="false">AVERAGEA(BR164, BP164)</f>
        <v>0</v>
      </c>
      <c r="BR164" s="43" t="n">
        <v>0</v>
      </c>
      <c r="BS164" s="34" t="n">
        <v>0</v>
      </c>
      <c r="BT164" s="39" t="n">
        <f aca="false">AVERAGEA(BU164, BS164)</f>
        <v>0</v>
      </c>
      <c r="BU164" s="34" t="n">
        <v>0</v>
      </c>
      <c r="BV164" s="43" t="n">
        <v>0</v>
      </c>
      <c r="BW164" s="37" t="n">
        <f aca="false">AVERAGEA(BX164, BV164)</f>
        <v>0</v>
      </c>
      <c r="BX164" s="43" t="n">
        <v>0</v>
      </c>
      <c r="BY164" s="34"/>
      <c r="BZ164" s="39" t="e">
        <f aca="false">AVERAGEA(CA164, BY164)</f>
        <v>#DIV/0!</v>
      </c>
      <c r="CA164" s="34"/>
      <c r="CB164" s="43"/>
      <c r="CC164" s="37" t="e">
        <f aca="false">AVERAGEA(CD164, CB164)</f>
        <v>#DIV/0!</v>
      </c>
      <c r="CD164" s="43"/>
      <c r="CE164" s="34"/>
      <c r="CF164" s="39" t="e">
        <f aca="false">AVERAGEA(CG164, CE164)</f>
        <v>#DIV/0!</v>
      </c>
      <c r="CG164" s="34"/>
    </row>
    <row r="165" s="18" customFormat="true" ht="28.35" hidden="false" customHeight="false" outlineLevel="0" collapsed="false">
      <c r="B165" s="78"/>
      <c r="C165" s="49" t="s">
        <v>155</v>
      </c>
      <c r="D165" s="42" t="s">
        <v>156</v>
      </c>
      <c r="E165" s="119"/>
      <c r="F165" s="32" t="s">
        <v>157</v>
      </c>
      <c r="G165" s="120"/>
      <c r="H165" s="37"/>
      <c r="I165" s="38" t="e">
        <f aca="false">AVERAGEA(H165,J165)</f>
        <v>#DIV/0!</v>
      </c>
      <c r="J165" s="36"/>
      <c r="K165" s="34" t="s">
        <v>55</v>
      </c>
      <c r="L165" s="39" t="n">
        <f aca="false">AVERAGEA(K165,M165)</f>
        <v>0</v>
      </c>
      <c r="M165" s="34" t="s">
        <v>55</v>
      </c>
      <c r="N165" s="37" t="n">
        <v>18</v>
      </c>
      <c r="O165" s="38" t="n">
        <f aca="false">AVERAGEA(N165,P165)</f>
        <v>23</v>
      </c>
      <c r="P165" s="36" t="n">
        <v>28</v>
      </c>
      <c r="Q165" s="34" t="s">
        <v>55</v>
      </c>
      <c r="R165" s="39" t="n">
        <f aca="false">AVERAGEA(Q165,S165)</f>
        <v>0</v>
      </c>
      <c r="S165" s="34" t="s">
        <v>55</v>
      </c>
      <c r="T165" s="37" t="s">
        <v>55</v>
      </c>
      <c r="U165" s="36" t="n">
        <f aca="false">AVERAGEA(V165, T165)</f>
        <v>0</v>
      </c>
      <c r="V165" s="36" t="s">
        <v>55</v>
      </c>
      <c r="W165" s="34" t="s">
        <v>55</v>
      </c>
      <c r="X165" s="39" t="n">
        <f aca="false">AVERAGEA(Y165, W165)</f>
        <v>0</v>
      </c>
      <c r="Y165" s="34" t="s">
        <v>55</v>
      </c>
      <c r="Z165" s="37" t="s">
        <v>55</v>
      </c>
      <c r="AA165" s="36"/>
      <c r="AB165" s="36" t="s">
        <v>55</v>
      </c>
      <c r="AC165" s="34" t="n">
        <v>30</v>
      </c>
      <c r="AD165" s="39" t="n">
        <f aca="false">AVERAGEA(AC165,AE165)</f>
        <v>52.5</v>
      </c>
      <c r="AE165" s="34" t="n">
        <v>75</v>
      </c>
      <c r="AF165" s="36" t="n">
        <v>20</v>
      </c>
      <c r="AG165" s="36" t="n">
        <f aca="false">AVERAGEA(AH165, AF165)</f>
        <v>30</v>
      </c>
      <c r="AH165" s="43" t="n">
        <v>40</v>
      </c>
      <c r="AI165" s="34" t="n">
        <v>5</v>
      </c>
      <c r="AJ165" s="39" t="n">
        <f aca="false">AVERAGEA(AK165, AI165)</f>
        <v>10</v>
      </c>
      <c r="AK165" s="34" t="n">
        <v>15</v>
      </c>
      <c r="AL165" s="43" t="n">
        <v>5</v>
      </c>
      <c r="AM165" s="36" t="n">
        <f aca="false">AVERAGEA(AN165, AL165)</f>
        <v>10</v>
      </c>
      <c r="AN165" s="43" t="n">
        <v>15</v>
      </c>
      <c r="AO165" s="34" t="n">
        <v>2</v>
      </c>
      <c r="AP165" s="39" t="n">
        <f aca="false">AVERAGEA(AQ165, AO165)</f>
        <v>3</v>
      </c>
      <c r="AQ165" s="34" t="n">
        <v>4</v>
      </c>
      <c r="AR165" s="37" t="n">
        <v>1</v>
      </c>
      <c r="AS165" s="38" t="n">
        <f aca="false">AVERAGEA(AT165, AR165)</f>
        <v>2</v>
      </c>
      <c r="AT165" s="37" t="n">
        <v>3</v>
      </c>
      <c r="AU165" s="34" t="n">
        <v>3000</v>
      </c>
      <c r="AV165" s="39" t="n">
        <f aca="false">AVERAGEA(AW165, AU165)</f>
        <v>4250</v>
      </c>
      <c r="AW165" s="34" t="n">
        <v>5500</v>
      </c>
      <c r="AX165" s="43" t="n">
        <v>32</v>
      </c>
      <c r="AY165" s="38" t="n">
        <f aca="false">AVERAGEA(AZ165, AX165)</f>
        <v>48.5</v>
      </c>
      <c r="AZ165" s="43" t="n">
        <v>65</v>
      </c>
      <c r="BA165" s="34" t="n">
        <v>6</v>
      </c>
      <c r="BB165" s="39" t="n">
        <f aca="false">AVERAGEA(BC165, BA165)</f>
        <v>13</v>
      </c>
      <c r="BC165" s="34" t="n">
        <v>20</v>
      </c>
      <c r="BD165" s="43" t="n">
        <v>30</v>
      </c>
      <c r="BE165" s="38" t="n">
        <f aca="false">AVERAGEA(BF165, BD165)</f>
        <v>75</v>
      </c>
      <c r="BF165" s="43" t="n">
        <v>120</v>
      </c>
      <c r="BG165" s="34" t="n">
        <v>60</v>
      </c>
      <c r="BH165" s="39" t="n">
        <f aca="false">AVERAGEA(BI165, BG165)</f>
        <v>150</v>
      </c>
      <c r="BI165" s="34" t="n">
        <v>240</v>
      </c>
      <c r="BJ165" s="43" t="n">
        <v>120</v>
      </c>
      <c r="BK165" s="38" t="n">
        <f aca="false">AVERAGEA(BL165, BJ165)</f>
        <v>300</v>
      </c>
      <c r="BL165" s="43" t="n">
        <v>480</v>
      </c>
      <c r="BM165" s="34" t="n">
        <v>3</v>
      </c>
      <c r="BN165" s="39" t="n">
        <f aca="false">AVERAGEA(BO165, BM165)</f>
        <v>7.5</v>
      </c>
      <c r="BO165" s="34" t="n">
        <v>12</v>
      </c>
      <c r="BP165" s="43" t="n">
        <v>20</v>
      </c>
      <c r="BQ165" s="38" t="n">
        <f aca="false">AVERAGEA(BR165, BP165)</f>
        <v>50</v>
      </c>
      <c r="BR165" s="43" t="n">
        <v>80</v>
      </c>
      <c r="BS165" s="34" t="n">
        <v>40</v>
      </c>
      <c r="BT165" s="39" t="n">
        <f aca="false">AVERAGEA(BU165, BS165)</f>
        <v>100</v>
      </c>
      <c r="BU165" s="34" t="n">
        <v>160</v>
      </c>
      <c r="BV165" s="43" t="n">
        <v>80</v>
      </c>
      <c r="BW165" s="38" t="n">
        <f aca="false">AVERAGEA(BX165, BV165)</f>
        <v>200</v>
      </c>
      <c r="BX165" s="43" t="n">
        <v>320</v>
      </c>
      <c r="BY165" s="34"/>
      <c r="BZ165" s="39" t="e">
        <f aca="false">AVERAGEA(CA165, BY165)</f>
        <v>#DIV/0!</v>
      </c>
      <c r="CA165" s="34"/>
      <c r="CB165" s="43"/>
      <c r="CC165" s="38" t="e">
        <f aca="false">AVERAGEA(CD165, CB165)</f>
        <v>#DIV/0!</v>
      </c>
      <c r="CD165" s="43"/>
      <c r="CE165" s="34"/>
      <c r="CF165" s="39" t="e">
        <f aca="false">AVERAGEA(CG165, CE165)</f>
        <v>#DIV/0!</v>
      </c>
      <c r="CG165" s="34"/>
    </row>
    <row r="166" s="18" customFormat="true" ht="28.35" hidden="false" customHeight="false" outlineLevel="0" collapsed="false">
      <c r="B166" s="78"/>
      <c r="C166" s="49" t="s">
        <v>146</v>
      </c>
      <c r="D166" s="42" t="s">
        <v>147</v>
      </c>
      <c r="E166" s="119"/>
      <c r="F166" s="32" t="s">
        <v>158</v>
      </c>
      <c r="G166" s="120"/>
      <c r="H166" s="37"/>
      <c r="I166" s="38" t="e">
        <f aca="false">AVERAGEA(H166,J166)</f>
        <v>#DIV/0!</v>
      </c>
      <c r="J166" s="37"/>
      <c r="K166" s="34" t="s">
        <v>55</v>
      </c>
      <c r="L166" s="39" t="n">
        <f aca="false">AVERAGEA(K166,M166)</f>
        <v>0</v>
      </c>
      <c r="M166" s="34" t="s">
        <v>55</v>
      </c>
      <c r="N166" s="37" t="n">
        <v>16</v>
      </c>
      <c r="O166" s="38" t="n">
        <f aca="false">AVERAGEA(N166,P166)</f>
        <v>20.5</v>
      </c>
      <c r="P166" s="37" t="n">
        <v>25</v>
      </c>
      <c r="Q166" s="34" t="s">
        <v>55</v>
      </c>
      <c r="R166" s="39" t="n">
        <f aca="false">AVERAGEA(Q166,S166)</f>
        <v>0</v>
      </c>
      <c r="S166" s="34" t="s">
        <v>55</v>
      </c>
      <c r="T166" s="36" t="s">
        <v>55</v>
      </c>
      <c r="U166" s="37" t="n">
        <f aca="false">AVERAGEA(V166, T166)</f>
        <v>0</v>
      </c>
      <c r="V166" s="36" t="s">
        <v>55</v>
      </c>
      <c r="W166" s="34" t="s">
        <v>55</v>
      </c>
      <c r="X166" s="39" t="n">
        <f aca="false">AVERAGEA(Y166, W166)</f>
        <v>0</v>
      </c>
      <c r="Y166" s="34" t="s">
        <v>55</v>
      </c>
      <c r="Z166" s="36" t="s">
        <v>55</v>
      </c>
      <c r="AA166" s="37"/>
      <c r="AB166" s="36" t="s">
        <v>55</v>
      </c>
      <c r="AC166" s="34" t="n">
        <v>25</v>
      </c>
      <c r="AD166" s="39" t="n">
        <f aca="false">AVERAGEA(AC166,AE166)</f>
        <v>45</v>
      </c>
      <c r="AE166" s="34" t="n">
        <v>65</v>
      </c>
      <c r="AF166" s="43" t="n">
        <v>20</v>
      </c>
      <c r="AG166" s="37" t="n">
        <f aca="false">AVERAGEA(AH166, AF166)</f>
        <v>30</v>
      </c>
      <c r="AH166" s="43" t="n">
        <v>40</v>
      </c>
      <c r="AI166" s="34" t="n">
        <v>5</v>
      </c>
      <c r="AJ166" s="34" t="n">
        <f aca="false">AVERAGEA(AK166, AI166)</f>
        <v>10</v>
      </c>
      <c r="AK166" s="34" t="n">
        <v>15</v>
      </c>
      <c r="AL166" s="43" t="n">
        <v>5</v>
      </c>
      <c r="AM166" s="37" t="n">
        <f aca="false">AVERAGEA(AN166, AL166)</f>
        <v>10</v>
      </c>
      <c r="AN166" s="43" t="n">
        <v>15</v>
      </c>
      <c r="AO166" s="34" t="n">
        <v>2</v>
      </c>
      <c r="AP166" s="34" t="n">
        <f aca="false">AVERAGEA(AQ166, AO166)</f>
        <v>3</v>
      </c>
      <c r="AQ166" s="34" t="n">
        <v>4</v>
      </c>
      <c r="AR166" s="37" t="n">
        <v>1</v>
      </c>
      <c r="AS166" s="37" t="n">
        <f aca="false">AVERAGEA(AT166, AR166)</f>
        <v>2</v>
      </c>
      <c r="AT166" s="37" t="n">
        <v>3</v>
      </c>
      <c r="AU166" s="34" t="n">
        <v>3500</v>
      </c>
      <c r="AV166" s="39" t="n">
        <f aca="false">AVERAGEA(AW166, AU166)</f>
        <v>5000</v>
      </c>
      <c r="AW166" s="34" t="n">
        <v>6500</v>
      </c>
      <c r="AX166" s="43" t="n">
        <v>40</v>
      </c>
      <c r="AY166" s="38" t="n">
        <f aca="false">AVERAGEA(AZ166, AX166)</f>
        <v>60</v>
      </c>
      <c r="AZ166" s="43" t="n">
        <v>80</v>
      </c>
      <c r="BA166" s="34" t="n">
        <v>8</v>
      </c>
      <c r="BB166" s="34" t="n">
        <f aca="false">AVERAGEA(BA166,BC166)</f>
        <v>16</v>
      </c>
      <c r="BC166" s="34" t="n">
        <v>24</v>
      </c>
      <c r="BD166" s="43" t="n">
        <v>30</v>
      </c>
      <c r="BE166" s="38" t="n">
        <f aca="false">AVERAGEA(BF166, BD166)</f>
        <v>75</v>
      </c>
      <c r="BF166" s="43" t="n">
        <v>120</v>
      </c>
      <c r="BG166" s="34" t="n">
        <v>60</v>
      </c>
      <c r="BH166" s="34" t="n">
        <f aca="false">AVERAGEA(BG166,BI166)</f>
        <v>150</v>
      </c>
      <c r="BI166" s="34" t="n">
        <v>240</v>
      </c>
      <c r="BJ166" s="43" t="n">
        <v>120</v>
      </c>
      <c r="BK166" s="38" t="n">
        <f aca="false">AVERAGEA(BL166, BJ166)</f>
        <v>300</v>
      </c>
      <c r="BL166" s="43" t="n">
        <v>480</v>
      </c>
      <c r="BM166" s="34" t="n">
        <v>3</v>
      </c>
      <c r="BN166" s="34" t="n">
        <f aca="false">AVERAGEA(BM166,BO166)</f>
        <v>7.5</v>
      </c>
      <c r="BO166" s="34" t="n">
        <v>12</v>
      </c>
      <c r="BP166" s="43" t="n">
        <v>20</v>
      </c>
      <c r="BQ166" s="38" t="n">
        <f aca="false">AVERAGEA(BR166, BP166)</f>
        <v>50</v>
      </c>
      <c r="BR166" s="43" t="n">
        <v>80</v>
      </c>
      <c r="BS166" s="34" t="n">
        <v>40</v>
      </c>
      <c r="BT166" s="34" t="n">
        <f aca="false">AVERAGEA(BS166,BU166)</f>
        <v>100</v>
      </c>
      <c r="BU166" s="34" t="n">
        <v>160</v>
      </c>
      <c r="BV166" s="43" t="n">
        <v>80</v>
      </c>
      <c r="BW166" s="38" t="n">
        <f aca="false">AVERAGEA(BX166, BV166)</f>
        <v>200</v>
      </c>
      <c r="BX166" s="43" t="n">
        <v>320</v>
      </c>
      <c r="BY166" s="34"/>
      <c r="BZ166" s="34" t="e">
        <f aca="false">AVERAGEA(BY166,CA166)</f>
        <v>#DIV/0!</v>
      </c>
      <c r="CA166" s="34"/>
      <c r="CB166" s="43"/>
      <c r="CC166" s="38" t="e">
        <f aca="false">AVERAGEA(CD166, CB166)</f>
        <v>#DIV/0!</v>
      </c>
      <c r="CD166" s="43"/>
      <c r="CE166" s="34"/>
      <c r="CF166" s="34" t="e">
        <f aca="false">AVERAGEA(CE166,CG166)</f>
        <v>#DIV/0!</v>
      </c>
      <c r="CG166" s="34"/>
    </row>
    <row r="167" s="18" customFormat="true" ht="28.35" hidden="false" customHeight="false" outlineLevel="0" collapsed="false">
      <c r="B167" s="78"/>
      <c r="C167" s="49" t="s">
        <v>149</v>
      </c>
      <c r="D167" s="42" t="s">
        <v>150</v>
      </c>
      <c r="E167" s="119"/>
      <c r="F167" s="32" t="s">
        <v>159</v>
      </c>
      <c r="G167" s="120"/>
      <c r="H167" s="37"/>
      <c r="I167" s="38" t="e">
        <f aca="false">AVERAGEA(H167,J167)</f>
        <v>#DIV/0!</v>
      </c>
      <c r="J167" s="37"/>
      <c r="K167" s="34" t="s">
        <v>55</v>
      </c>
      <c r="L167" s="39" t="n">
        <f aca="false">AVERAGEA(K167,M167)</f>
        <v>0</v>
      </c>
      <c r="M167" s="34" t="s">
        <v>55</v>
      </c>
      <c r="N167" s="37" t="n">
        <v>14</v>
      </c>
      <c r="O167" s="38" t="n">
        <f aca="false">AVERAGEA(N167,P167)</f>
        <v>18</v>
      </c>
      <c r="P167" s="37" t="n">
        <v>22</v>
      </c>
      <c r="Q167" s="34" t="s">
        <v>55</v>
      </c>
      <c r="R167" s="39" t="n">
        <f aca="false">AVERAGEA(Q167,S167)</f>
        <v>0</v>
      </c>
      <c r="S167" s="34" t="s">
        <v>55</v>
      </c>
      <c r="T167" s="37" t="s">
        <v>55</v>
      </c>
      <c r="U167" s="37" t="n">
        <f aca="false">AVERAGEA(V167, T167)</f>
        <v>0</v>
      </c>
      <c r="V167" s="37" t="s">
        <v>55</v>
      </c>
      <c r="W167" s="34" t="s">
        <v>55</v>
      </c>
      <c r="X167" s="39" t="n">
        <f aca="false">AVERAGEA(Y167, W167)</f>
        <v>0</v>
      </c>
      <c r="Y167" s="34" t="s">
        <v>55</v>
      </c>
      <c r="Z167" s="37" t="s">
        <v>55</v>
      </c>
      <c r="AA167" s="37"/>
      <c r="AB167" s="37" t="s">
        <v>55</v>
      </c>
      <c r="AC167" s="34" t="n">
        <v>20</v>
      </c>
      <c r="AD167" s="39" t="n">
        <f aca="false">AVERAGEA(AC167,AE167)</f>
        <v>35</v>
      </c>
      <c r="AE167" s="34" t="n">
        <v>50</v>
      </c>
      <c r="AF167" s="43" t="n">
        <v>20</v>
      </c>
      <c r="AG167" s="37" t="n">
        <f aca="false">AVERAGEA(AH167, AF167)</f>
        <v>30</v>
      </c>
      <c r="AH167" s="43" t="n">
        <v>40</v>
      </c>
      <c r="AI167" s="34" t="n">
        <v>5</v>
      </c>
      <c r="AJ167" s="39" t="n">
        <f aca="false">AVERAGEA(AK167, AI167)</f>
        <v>10</v>
      </c>
      <c r="AK167" s="34" t="n">
        <v>15</v>
      </c>
      <c r="AL167" s="43" t="n">
        <v>5</v>
      </c>
      <c r="AM167" s="37" t="n">
        <f aca="false">AVERAGEA(AN167, AL167)</f>
        <v>10</v>
      </c>
      <c r="AN167" s="43" t="n">
        <v>15</v>
      </c>
      <c r="AO167" s="34" t="n">
        <v>2</v>
      </c>
      <c r="AP167" s="34" t="n">
        <f aca="false">AVERAGEA(AQ167, AO167)</f>
        <v>3</v>
      </c>
      <c r="AQ167" s="34" t="n">
        <v>4</v>
      </c>
      <c r="AR167" s="37" t="n">
        <v>1</v>
      </c>
      <c r="AS167" s="37" t="n">
        <f aca="false">AVERAGEA(AT167, AR167)</f>
        <v>2</v>
      </c>
      <c r="AT167" s="37" t="n">
        <v>3</v>
      </c>
      <c r="AU167" s="34" t="n">
        <v>4000</v>
      </c>
      <c r="AV167" s="39" t="n">
        <f aca="false">AVERAGEA(AW167, AU167)</f>
        <v>6000</v>
      </c>
      <c r="AW167" s="34" t="n">
        <v>8000</v>
      </c>
      <c r="AX167" s="43" t="n">
        <v>50</v>
      </c>
      <c r="AY167" s="38" t="n">
        <f aca="false">AVERAGEA(AZ167, AX167)</f>
        <v>75</v>
      </c>
      <c r="AZ167" s="43" t="n">
        <v>100</v>
      </c>
      <c r="BA167" s="34" t="n">
        <v>10</v>
      </c>
      <c r="BB167" s="34" t="n">
        <f aca="false">AVERAGEA(BA167,BC167)</f>
        <v>20</v>
      </c>
      <c r="BC167" s="34" t="n">
        <v>30</v>
      </c>
      <c r="BD167" s="43" t="n">
        <v>30</v>
      </c>
      <c r="BE167" s="38" t="n">
        <f aca="false">AVERAGEA(BF167, BD167)</f>
        <v>75</v>
      </c>
      <c r="BF167" s="43" t="n">
        <v>120</v>
      </c>
      <c r="BG167" s="34" t="n">
        <v>60</v>
      </c>
      <c r="BH167" s="34" t="n">
        <f aca="false">AVERAGEA(BG167,BI167)</f>
        <v>150</v>
      </c>
      <c r="BI167" s="34" t="n">
        <v>240</v>
      </c>
      <c r="BJ167" s="43" t="n">
        <v>120</v>
      </c>
      <c r="BK167" s="38" t="n">
        <f aca="false">AVERAGEA(BL167, BJ167)</f>
        <v>300</v>
      </c>
      <c r="BL167" s="43" t="n">
        <v>480</v>
      </c>
      <c r="BM167" s="34" t="n">
        <v>3</v>
      </c>
      <c r="BN167" s="34" t="n">
        <f aca="false">AVERAGEA(BM167,BO167)</f>
        <v>7.5</v>
      </c>
      <c r="BO167" s="34" t="n">
        <v>12</v>
      </c>
      <c r="BP167" s="43" t="n">
        <v>20</v>
      </c>
      <c r="BQ167" s="38" t="n">
        <f aca="false">AVERAGEA(BR167, BP167)</f>
        <v>50</v>
      </c>
      <c r="BR167" s="43" t="n">
        <v>80</v>
      </c>
      <c r="BS167" s="34" t="n">
        <v>40</v>
      </c>
      <c r="BT167" s="34" t="n">
        <f aca="false">AVERAGEA(BS167,BU167)</f>
        <v>100</v>
      </c>
      <c r="BU167" s="34" t="n">
        <v>160</v>
      </c>
      <c r="BV167" s="43" t="n">
        <v>80</v>
      </c>
      <c r="BW167" s="38" t="n">
        <f aca="false">AVERAGEA(BX167, BV167)</f>
        <v>200</v>
      </c>
      <c r="BX167" s="43" t="n">
        <v>320</v>
      </c>
      <c r="BY167" s="34"/>
      <c r="BZ167" s="34" t="e">
        <f aca="false">AVERAGEA(BY167,CA167)</f>
        <v>#DIV/0!</v>
      </c>
      <c r="CA167" s="34"/>
      <c r="CB167" s="43"/>
      <c r="CC167" s="38" t="e">
        <f aca="false">AVERAGEA(CD167, CB167)</f>
        <v>#DIV/0!</v>
      </c>
      <c r="CD167" s="43"/>
      <c r="CE167" s="34"/>
      <c r="CF167" s="34" t="e">
        <f aca="false">AVERAGEA(CE167,CG167)</f>
        <v>#DIV/0!</v>
      </c>
      <c r="CG167" s="34"/>
    </row>
    <row r="168" s="18" customFormat="true" ht="28.35" hidden="false" customHeight="false" outlineLevel="0" collapsed="false">
      <c r="B168" s="78"/>
      <c r="C168" s="49"/>
      <c r="D168" s="42" t="s">
        <v>160</v>
      </c>
      <c r="E168" s="119"/>
      <c r="F168" s="32" t="s">
        <v>157</v>
      </c>
      <c r="G168" s="120"/>
      <c r="H168" s="37"/>
      <c r="I168" s="38" t="e">
        <f aca="false">AVERAGEA(H168,J168)</f>
        <v>#DIV/0!</v>
      </c>
      <c r="J168" s="36"/>
      <c r="K168" s="35" t="s">
        <v>55</v>
      </c>
      <c r="L168" s="39" t="n">
        <f aca="false">AVERAGEA(K168,M168)</f>
        <v>0</v>
      </c>
      <c r="M168" s="35" t="s">
        <v>55</v>
      </c>
      <c r="N168" s="37" t="n">
        <v>18</v>
      </c>
      <c r="O168" s="38" t="n">
        <f aca="false">AVERAGEA(N168,P168)</f>
        <v>23</v>
      </c>
      <c r="P168" s="36" t="n">
        <v>28</v>
      </c>
      <c r="Q168" s="35" t="s">
        <v>55</v>
      </c>
      <c r="R168" s="39" t="n">
        <f aca="false">AVERAGEA(Q168,S168)</f>
        <v>0</v>
      </c>
      <c r="S168" s="35" t="s">
        <v>55</v>
      </c>
      <c r="T168" s="37" t="s">
        <v>55</v>
      </c>
      <c r="U168" s="36" t="n">
        <f aca="false">AVERAGEA(V168, T168)</f>
        <v>0</v>
      </c>
      <c r="V168" s="36" t="s">
        <v>55</v>
      </c>
      <c r="W168" s="35" t="s">
        <v>55</v>
      </c>
      <c r="X168" s="39" t="n">
        <f aca="false">AVERAGEA(Y168, W168)</f>
        <v>0</v>
      </c>
      <c r="Y168" s="35" t="s">
        <v>55</v>
      </c>
      <c r="Z168" s="37" t="s">
        <v>55</v>
      </c>
      <c r="AA168" s="36"/>
      <c r="AB168" s="36" t="s">
        <v>55</v>
      </c>
      <c r="AC168" s="35" t="n">
        <v>30</v>
      </c>
      <c r="AD168" s="39" t="n">
        <f aca="false">AVERAGEA(AC168,AE168)</f>
        <v>52.5</v>
      </c>
      <c r="AE168" s="35" t="n">
        <v>75</v>
      </c>
      <c r="AF168" s="43" t="n">
        <v>20</v>
      </c>
      <c r="AG168" s="36" t="n">
        <f aca="false">AVERAGEA(AH168, AF168)</f>
        <v>30</v>
      </c>
      <c r="AH168" s="43" t="n">
        <v>40</v>
      </c>
      <c r="AI168" s="35" t="n">
        <v>8</v>
      </c>
      <c r="AJ168" s="39" t="n">
        <f aca="false">AVERAGEA(AK168, AI168)</f>
        <v>14</v>
      </c>
      <c r="AK168" s="35" t="n">
        <v>20</v>
      </c>
      <c r="AL168" s="43" t="n">
        <v>8</v>
      </c>
      <c r="AM168" s="36" t="n">
        <f aca="false">AVERAGEA(AN168, AL168)</f>
        <v>14</v>
      </c>
      <c r="AN168" s="43" t="n">
        <v>20</v>
      </c>
      <c r="AO168" s="35" t="n">
        <v>1.5</v>
      </c>
      <c r="AP168" s="39" t="n">
        <f aca="false">AVERAGEA(AQ168, AO168)</f>
        <v>2.5</v>
      </c>
      <c r="AQ168" s="35" t="n">
        <v>3.5</v>
      </c>
      <c r="AR168" s="37" t="n">
        <v>1</v>
      </c>
      <c r="AS168" s="38" t="n">
        <f aca="false">AVERAGEA(AT168, AR168)</f>
        <v>1.75</v>
      </c>
      <c r="AT168" s="37" t="n">
        <v>2.5</v>
      </c>
      <c r="AU168" s="35" t="n">
        <v>3000</v>
      </c>
      <c r="AV168" s="39" t="n">
        <f aca="false">AVERAGEA(AW168, AU168)</f>
        <v>4250</v>
      </c>
      <c r="AW168" s="35" t="n">
        <v>5500</v>
      </c>
      <c r="AX168" s="43" t="n">
        <v>32</v>
      </c>
      <c r="AY168" s="38" t="n">
        <f aca="false">AVERAGEA(AZ168, AX168)</f>
        <v>48.5</v>
      </c>
      <c r="AZ168" s="43" t="n">
        <v>65</v>
      </c>
      <c r="BA168" s="35" t="n">
        <v>6</v>
      </c>
      <c r="BB168" s="39" t="n">
        <f aca="false">AVERAGEA(BC168, BA168)</f>
        <v>13</v>
      </c>
      <c r="BC168" s="35" t="n">
        <v>20</v>
      </c>
      <c r="BD168" s="43" t="n">
        <v>30</v>
      </c>
      <c r="BE168" s="38" t="n">
        <f aca="false">AVERAGEA(BF168, BD168)</f>
        <v>75</v>
      </c>
      <c r="BF168" s="43" t="n">
        <v>120</v>
      </c>
      <c r="BG168" s="35" t="n">
        <v>60</v>
      </c>
      <c r="BH168" s="39" t="n">
        <f aca="false">AVERAGEA(BI168, BG168)</f>
        <v>150</v>
      </c>
      <c r="BI168" s="35" t="n">
        <v>240</v>
      </c>
      <c r="BJ168" s="43" t="n">
        <v>120</v>
      </c>
      <c r="BK168" s="38" t="n">
        <f aca="false">AVERAGEA(BL168, BJ168)</f>
        <v>300</v>
      </c>
      <c r="BL168" s="43" t="n">
        <v>480</v>
      </c>
      <c r="BM168" s="35" t="n">
        <v>3</v>
      </c>
      <c r="BN168" s="39" t="n">
        <f aca="false">AVERAGEA(BO168, BM168)</f>
        <v>7.5</v>
      </c>
      <c r="BO168" s="35" t="n">
        <v>12</v>
      </c>
      <c r="BP168" s="43" t="n">
        <v>20</v>
      </c>
      <c r="BQ168" s="38" t="n">
        <f aca="false">AVERAGEA(BR168, BP168)</f>
        <v>50</v>
      </c>
      <c r="BR168" s="43" t="n">
        <v>80</v>
      </c>
      <c r="BS168" s="35" t="n">
        <v>40</v>
      </c>
      <c r="BT168" s="39" t="n">
        <f aca="false">AVERAGEA(BU168, BS168)</f>
        <v>100</v>
      </c>
      <c r="BU168" s="121" t="n">
        <v>160</v>
      </c>
      <c r="BV168" s="43" t="n">
        <v>80</v>
      </c>
      <c r="BW168" s="38" t="n">
        <f aca="false">AVERAGEA(BX168, BV168)</f>
        <v>200</v>
      </c>
      <c r="BX168" s="43" t="n">
        <v>320</v>
      </c>
      <c r="BY168" s="35"/>
      <c r="BZ168" s="39" t="e">
        <f aca="false">AVERAGEA(CA168, BY168)</f>
        <v>#DIV/0!</v>
      </c>
      <c r="CA168" s="121"/>
      <c r="CB168" s="43"/>
      <c r="CC168" s="38" t="e">
        <f aca="false">AVERAGEA(CD168, CB168)</f>
        <v>#DIV/0!</v>
      </c>
      <c r="CD168" s="43"/>
      <c r="CE168" s="35"/>
      <c r="CF168" s="39" t="e">
        <f aca="false">AVERAGEA(CG168, CE168)</f>
        <v>#DIV/0!</v>
      </c>
      <c r="CG168" s="121"/>
    </row>
    <row r="169" s="18" customFormat="true" ht="28.35" hidden="false" customHeight="false" outlineLevel="0" collapsed="false">
      <c r="B169" s="78"/>
      <c r="C169" s="49"/>
      <c r="D169" s="42" t="s">
        <v>147</v>
      </c>
      <c r="E169" s="119"/>
      <c r="F169" s="32" t="s">
        <v>158</v>
      </c>
      <c r="G169" s="120"/>
      <c r="H169" s="37"/>
      <c r="I169" s="38" t="e">
        <f aca="false">AVERAGEA(H169,J169)</f>
        <v>#DIV/0!</v>
      </c>
      <c r="J169" s="37"/>
      <c r="K169" s="34" t="s">
        <v>55</v>
      </c>
      <c r="L169" s="39" t="n">
        <f aca="false">AVERAGEA(K169,M169)</f>
        <v>0</v>
      </c>
      <c r="M169" s="34" t="s">
        <v>55</v>
      </c>
      <c r="N169" s="37" t="n">
        <v>16</v>
      </c>
      <c r="O169" s="38" t="n">
        <f aca="false">AVERAGEA(N169,P169)</f>
        <v>20.5</v>
      </c>
      <c r="P169" s="37" t="n">
        <v>25</v>
      </c>
      <c r="Q169" s="34" t="s">
        <v>55</v>
      </c>
      <c r="R169" s="39" t="n">
        <f aca="false">AVERAGEA(Q169,S169)</f>
        <v>0</v>
      </c>
      <c r="S169" s="34" t="s">
        <v>55</v>
      </c>
      <c r="T169" s="36" t="s">
        <v>55</v>
      </c>
      <c r="U169" s="37" t="n">
        <f aca="false">AVERAGEA(V169, T169)</f>
        <v>0</v>
      </c>
      <c r="V169" s="36" t="s">
        <v>55</v>
      </c>
      <c r="W169" s="35" t="s">
        <v>55</v>
      </c>
      <c r="X169" s="39" t="n">
        <f aca="false">AVERAGEA(Y169, W169)</f>
        <v>0</v>
      </c>
      <c r="Y169" s="35" t="s">
        <v>55</v>
      </c>
      <c r="Z169" s="36" t="s">
        <v>55</v>
      </c>
      <c r="AA169" s="37"/>
      <c r="AB169" s="36" t="s">
        <v>55</v>
      </c>
      <c r="AC169" s="35" t="n">
        <v>25</v>
      </c>
      <c r="AD169" s="39" t="n">
        <f aca="false">AVERAGEA(AC169,AE169)</f>
        <v>45</v>
      </c>
      <c r="AE169" s="35" t="n">
        <v>65</v>
      </c>
      <c r="AF169" s="43" t="n">
        <v>20</v>
      </c>
      <c r="AG169" s="37" t="n">
        <f aca="false">AVERAGEA(AH169, AF169)</f>
        <v>30</v>
      </c>
      <c r="AH169" s="43" t="n">
        <v>40</v>
      </c>
      <c r="AI169" s="35" t="n">
        <v>8</v>
      </c>
      <c r="AJ169" s="35" t="n">
        <f aca="false">AVERAGEA(AK169, AI169)</f>
        <v>14</v>
      </c>
      <c r="AK169" s="35" t="n">
        <v>20</v>
      </c>
      <c r="AL169" s="43" t="n">
        <v>8</v>
      </c>
      <c r="AM169" s="37" t="n">
        <f aca="false">AVERAGEA(AN169, AL169)</f>
        <v>14</v>
      </c>
      <c r="AN169" s="43" t="n">
        <v>20</v>
      </c>
      <c r="AO169" s="35" t="n">
        <v>1.5</v>
      </c>
      <c r="AP169" s="35" t="n">
        <f aca="false">AVERAGEA(AQ169, AO169)</f>
        <v>2.5</v>
      </c>
      <c r="AQ169" s="35" t="n">
        <v>3.5</v>
      </c>
      <c r="AR169" s="37" t="n">
        <v>1</v>
      </c>
      <c r="AS169" s="37" t="n">
        <f aca="false">AVERAGEA(AT169, AR169)</f>
        <v>1.75</v>
      </c>
      <c r="AT169" s="37" t="n">
        <v>2.5</v>
      </c>
      <c r="AU169" s="35" t="n">
        <v>3500</v>
      </c>
      <c r="AV169" s="39" t="n">
        <f aca="false">AVERAGEA(AW169, AU169)</f>
        <v>5000</v>
      </c>
      <c r="AW169" s="35" t="n">
        <v>6500</v>
      </c>
      <c r="AX169" s="43" t="n">
        <v>40</v>
      </c>
      <c r="AY169" s="38" t="n">
        <f aca="false">AVERAGEA(AZ169, AX169)</f>
        <v>60</v>
      </c>
      <c r="AZ169" s="43" t="n">
        <v>80</v>
      </c>
      <c r="BA169" s="34" t="n">
        <v>8</v>
      </c>
      <c r="BB169" s="35" t="n">
        <f aca="false">AVERAGEA(BA169,BC169)</f>
        <v>16</v>
      </c>
      <c r="BC169" s="34" t="n">
        <v>24</v>
      </c>
      <c r="BD169" s="43" t="n">
        <v>30</v>
      </c>
      <c r="BE169" s="38" t="n">
        <f aca="false">AVERAGEA(BF169, BD169)</f>
        <v>75</v>
      </c>
      <c r="BF169" s="43" t="n">
        <v>120</v>
      </c>
      <c r="BG169" s="34" t="n">
        <v>60</v>
      </c>
      <c r="BH169" s="35" t="n">
        <f aca="false">AVERAGEA(BG169,BI169)</f>
        <v>150</v>
      </c>
      <c r="BI169" s="34" t="n">
        <v>240</v>
      </c>
      <c r="BJ169" s="43" t="n">
        <v>120</v>
      </c>
      <c r="BK169" s="38" t="n">
        <f aca="false">AVERAGEA(BL169, BJ169)</f>
        <v>300</v>
      </c>
      <c r="BL169" s="43" t="n">
        <v>480</v>
      </c>
      <c r="BM169" s="34" t="n">
        <v>3</v>
      </c>
      <c r="BN169" s="35" t="n">
        <f aca="false">AVERAGEA(BM169,BO169)</f>
        <v>7.5</v>
      </c>
      <c r="BO169" s="34" t="n">
        <v>12</v>
      </c>
      <c r="BP169" s="43" t="n">
        <v>20</v>
      </c>
      <c r="BQ169" s="38" t="n">
        <f aca="false">AVERAGEA(BR169, BP169)</f>
        <v>50</v>
      </c>
      <c r="BR169" s="43" t="n">
        <v>80</v>
      </c>
      <c r="BS169" s="34" t="n">
        <v>40</v>
      </c>
      <c r="BT169" s="35" t="n">
        <f aca="false">AVERAGEA(BS169,BU169)</f>
        <v>100</v>
      </c>
      <c r="BU169" s="40" t="n">
        <v>160</v>
      </c>
      <c r="BV169" s="43" t="n">
        <v>80</v>
      </c>
      <c r="BW169" s="38" t="n">
        <f aca="false">AVERAGEA(BX169, BV169)</f>
        <v>200</v>
      </c>
      <c r="BX169" s="43" t="n">
        <v>320</v>
      </c>
      <c r="BY169" s="34"/>
      <c r="BZ169" s="35" t="e">
        <f aca="false">AVERAGEA(BY169,CA169)</f>
        <v>#DIV/0!</v>
      </c>
      <c r="CA169" s="40"/>
      <c r="CB169" s="43"/>
      <c r="CC169" s="38" t="e">
        <f aca="false">AVERAGEA(CD169, CB169)</f>
        <v>#DIV/0!</v>
      </c>
      <c r="CD169" s="43"/>
      <c r="CE169" s="34"/>
      <c r="CF169" s="35" t="e">
        <f aca="false">AVERAGEA(CE169,CG169)</f>
        <v>#DIV/0!</v>
      </c>
      <c r="CG169" s="40"/>
    </row>
    <row r="170" s="18" customFormat="true" ht="28.35" hidden="false" customHeight="false" outlineLevel="0" collapsed="false">
      <c r="B170" s="78"/>
      <c r="C170" s="49"/>
      <c r="D170" s="42" t="s">
        <v>150</v>
      </c>
      <c r="E170" s="119"/>
      <c r="F170" s="32" t="s">
        <v>159</v>
      </c>
      <c r="G170" s="120"/>
      <c r="H170" s="37"/>
      <c r="I170" s="38" t="e">
        <f aca="false">AVERAGEA(H170,J170)</f>
        <v>#DIV/0!</v>
      </c>
      <c r="J170" s="37"/>
      <c r="K170" s="34" t="s">
        <v>55</v>
      </c>
      <c r="L170" s="39" t="n">
        <f aca="false">AVERAGEA(K170,M170)</f>
        <v>0</v>
      </c>
      <c r="M170" s="34" t="s">
        <v>55</v>
      </c>
      <c r="N170" s="37" t="n">
        <v>14</v>
      </c>
      <c r="O170" s="38" t="n">
        <f aca="false">AVERAGEA(N170,P170)</f>
        <v>18</v>
      </c>
      <c r="P170" s="37" t="n">
        <v>22</v>
      </c>
      <c r="Q170" s="34" t="s">
        <v>55</v>
      </c>
      <c r="R170" s="39" t="n">
        <f aca="false">AVERAGEA(Q170,S170)</f>
        <v>0</v>
      </c>
      <c r="S170" s="34" t="s">
        <v>55</v>
      </c>
      <c r="T170" s="37" t="s">
        <v>55</v>
      </c>
      <c r="U170" s="37" t="n">
        <f aca="false">AVERAGEA(V170, T170)</f>
        <v>0</v>
      </c>
      <c r="V170" s="37" t="s">
        <v>55</v>
      </c>
      <c r="W170" s="35" t="s">
        <v>55</v>
      </c>
      <c r="X170" s="39" t="n">
        <f aca="false">AVERAGEA(Y170, W170)</f>
        <v>0</v>
      </c>
      <c r="Y170" s="35" t="s">
        <v>55</v>
      </c>
      <c r="Z170" s="37" t="s">
        <v>55</v>
      </c>
      <c r="AA170" s="37"/>
      <c r="AB170" s="37" t="s">
        <v>55</v>
      </c>
      <c r="AC170" s="35" t="n">
        <v>20</v>
      </c>
      <c r="AD170" s="39" t="n">
        <f aca="false">AVERAGEA(AC170,AE170)</f>
        <v>35</v>
      </c>
      <c r="AE170" s="35" t="n">
        <v>50</v>
      </c>
      <c r="AF170" s="43" t="n">
        <v>20</v>
      </c>
      <c r="AG170" s="37" t="n">
        <f aca="false">AVERAGEA(AH170, AF170)</f>
        <v>30</v>
      </c>
      <c r="AH170" s="43" t="n">
        <v>40</v>
      </c>
      <c r="AI170" s="35" t="n">
        <v>8</v>
      </c>
      <c r="AJ170" s="39" t="n">
        <f aca="false">AVERAGEA(AK170, AI170)</f>
        <v>14</v>
      </c>
      <c r="AK170" s="35" t="n">
        <v>20</v>
      </c>
      <c r="AL170" s="43" t="n">
        <v>8</v>
      </c>
      <c r="AM170" s="37" t="n">
        <f aca="false">AVERAGEA(AN170, AL170)</f>
        <v>14</v>
      </c>
      <c r="AN170" s="43" t="n">
        <v>20</v>
      </c>
      <c r="AO170" s="35" t="n">
        <v>1.5</v>
      </c>
      <c r="AP170" s="35" t="n">
        <f aca="false">AVERAGEA(AQ170, AO170)</f>
        <v>2.5</v>
      </c>
      <c r="AQ170" s="35" t="n">
        <v>3.5</v>
      </c>
      <c r="AR170" s="37" t="n">
        <v>1</v>
      </c>
      <c r="AS170" s="37" t="n">
        <f aca="false">AVERAGEA(AT170, AR170)</f>
        <v>1.75</v>
      </c>
      <c r="AT170" s="37" t="n">
        <v>2.5</v>
      </c>
      <c r="AU170" s="35" t="n">
        <v>4000</v>
      </c>
      <c r="AV170" s="39" t="n">
        <f aca="false">AVERAGEA(AW170, AU170)</f>
        <v>6000</v>
      </c>
      <c r="AW170" s="35" t="n">
        <v>8000</v>
      </c>
      <c r="AX170" s="43" t="n">
        <v>50</v>
      </c>
      <c r="AY170" s="38" t="n">
        <f aca="false">AVERAGEA(AZ170, AX170)</f>
        <v>75</v>
      </c>
      <c r="AZ170" s="43" t="n">
        <v>100</v>
      </c>
      <c r="BA170" s="34" t="n">
        <v>10</v>
      </c>
      <c r="BB170" s="35" t="n">
        <f aca="false">AVERAGEA(BA170,BC170)</f>
        <v>20</v>
      </c>
      <c r="BC170" s="34" t="n">
        <v>30</v>
      </c>
      <c r="BD170" s="43" t="n">
        <v>30</v>
      </c>
      <c r="BE170" s="38" t="n">
        <f aca="false">AVERAGEA(BF170, BD170)</f>
        <v>75</v>
      </c>
      <c r="BF170" s="43" t="n">
        <v>120</v>
      </c>
      <c r="BG170" s="34" t="n">
        <v>60</v>
      </c>
      <c r="BH170" s="35" t="n">
        <f aca="false">AVERAGEA(BG170,BI170)</f>
        <v>150</v>
      </c>
      <c r="BI170" s="34" t="n">
        <v>240</v>
      </c>
      <c r="BJ170" s="43" t="n">
        <v>120</v>
      </c>
      <c r="BK170" s="38" t="n">
        <f aca="false">AVERAGEA(BL170, BJ170)</f>
        <v>300</v>
      </c>
      <c r="BL170" s="43" t="n">
        <v>480</v>
      </c>
      <c r="BM170" s="34" t="n">
        <v>3</v>
      </c>
      <c r="BN170" s="35" t="n">
        <f aca="false">AVERAGEA(BM170,BO170)</f>
        <v>7.5</v>
      </c>
      <c r="BO170" s="34" t="n">
        <v>12</v>
      </c>
      <c r="BP170" s="43" t="n">
        <v>20</v>
      </c>
      <c r="BQ170" s="38" t="n">
        <f aca="false">AVERAGEA(BR170, BP170)</f>
        <v>50</v>
      </c>
      <c r="BR170" s="43" t="n">
        <v>80</v>
      </c>
      <c r="BS170" s="34" t="n">
        <v>40</v>
      </c>
      <c r="BT170" s="35" t="n">
        <f aca="false">AVERAGEA(BS170,BU170)</f>
        <v>100</v>
      </c>
      <c r="BU170" s="40" t="n">
        <v>160</v>
      </c>
      <c r="BV170" s="43" t="n">
        <v>80</v>
      </c>
      <c r="BW170" s="38" t="n">
        <f aca="false">AVERAGEA(BX170, BV170)</f>
        <v>200</v>
      </c>
      <c r="BX170" s="43" t="n">
        <v>320</v>
      </c>
      <c r="BY170" s="34"/>
      <c r="BZ170" s="35" t="e">
        <f aca="false">AVERAGEA(BY170,CA170)</f>
        <v>#DIV/0!</v>
      </c>
      <c r="CA170" s="40"/>
      <c r="CB170" s="43"/>
      <c r="CC170" s="38" t="e">
        <f aca="false">AVERAGEA(CD170, CB170)</f>
        <v>#DIV/0!</v>
      </c>
      <c r="CD170" s="43"/>
      <c r="CE170" s="34"/>
      <c r="CF170" s="35" t="e">
        <f aca="false">AVERAGEA(CE170,CG170)</f>
        <v>#DIV/0!</v>
      </c>
      <c r="CG170" s="40"/>
    </row>
    <row r="171" s="18" customFormat="true" ht="28.35" hidden="false" customHeight="false" outlineLevel="0" collapsed="false">
      <c r="B171" s="78"/>
      <c r="C171" s="49"/>
      <c r="D171" s="49" t="s">
        <v>161</v>
      </c>
      <c r="E171" s="119"/>
      <c r="F171" s="32" t="s">
        <v>157</v>
      </c>
      <c r="G171" s="120"/>
      <c r="H171" s="37"/>
      <c r="I171" s="38" t="e">
        <f aca="false">AVERAGEA(H171,J171)</f>
        <v>#DIV/0!</v>
      </c>
      <c r="J171" s="36"/>
      <c r="K171" s="35" t="s">
        <v>55</v>
      </c>
      <c r="L171" s="39" t="n">
        <f aca="false">AVERAGEA(K171,M171)</f>
        <v>0</v>
      </c>
      <c r="M171" s="35" t="s">
        <v>55</v>
      </c>
      <c r="N171" s="37" t="n">
        <v>18</v>
      </c>
      <c r="O171" s="38" t="n">
        <f aca="false">AVERAGEA(N171,P171)</f>
        <v>23</v>
      </c>
      <c r="P171" s="36" t="n">
        <v>28</v>
      </c>
      <c r="Q171" s="35" t="s">
        <v>55</v>
      </c>
      <c r="R171" s="39" t="n">
        <f aca="false">AVERAGEA(Q171,S171)</f>
        <v>0</v>
      </c>
      <c r="S171" s="35" t="s">
        <v>55</v>
      </c>
      <c r="T171" s="37" t="s">
        <v>55</v>
      </c>
      <c r="U171" s="36" t="n">
        <f aca="false">AVERAGEA(V171, T171)</f>
        <v>0</v>
      </c>
      <c r="V171" s="36" t="s">
        <v>55</v>
      </c>
      <c r="W171" s="35" t="s">
        <v>55</v>
      </c>
      <c r="X171" s="39" t="n">
        <f aca="false">AVERAGEA(Y171, W171)</f>
        <v>0</v>
      </c>
      <c r="Y171" s="35" t="s">
        <v>55</v>
      </c>
      <c r="Z171" s="37" t="s">
        <v>55</v>
      </c>
      <c r="AA171" s="36"/>
      <c r="AB171" s="36" t="s">
        <v>55</v>
      </c>
      <c r="AC171" s="35" t="n">
        <v>30</v>
      </c>
      <c r="AD171" s="39" t="n">
        <f aca="false">AVERAGEA(AC171,AE171)</f>
        <v>52.5</v>
      </c>
      <c r="AE171" s="35" t="n">
        <v>75</v>
      </c>
      <c r="AF171" s="43" t="n">
        <v>20</v>
      </c>
      <c r="AG171" s="36" t="n">
        <f aca="false">AVERAGEA(AH171, AF171)</f>
        <v>30</v>
      </c>
      <c r="AH171" s="43" t="n">
        <v>40</v>
      </c>
      <c r="AI171" s="35" t="n">
        <v>3</v>
      </c>
      <c r="AJ171" s="39" t="n">
        <f aca="false">AVERAGEA(AK171, AI171)</f>
        <v>6.5</v>
      </c>
      <c r="AK171" s="35" t="n">
        <v>10</v>
      </c>
      <c r="AL171" s="43" t="n">
        <v>3</v>
      </c>
      <c r="AM171" s="36" t="n">
        <f aca="false">AVERAGEA(AN171, AL171)</f>
        <v>6.5</v>
      </c>
      <c r="AN171" s="43" t="n">
        <v>10</v>
      </c>
      <c r="AO171" s="35" t="n">
        <v>2.5</v>
      </c>
      <c r="AP171" s="39" t="n">
        <f aca="false">AVERAGEA(AQ171, AO171)</f>
        <v>3.75</v>
      </c>
      <c r="AQ171" s="35" t="n">
        <v>5</v>
      </c>
      <c r="AR171" s="37" t="n">
        <v>1.5</v>
      </c>
      <c r="AS171" s="38" t="n">
        <f aca="false">AVERAGEA(AT171, AR171)</f>
        <v>2.75</v>
      </c>
      <c r="AT171" s="37" t="n">
        <v>4</v>
      </c>
      <c r="AU171" s="35" t="n">
        <v>3000</v>
      </c>
      <c r="AV171" s="39" t="n">
        <f aca="false">AVERAGEA(AW171, AU171)</f>
        <v>4250</v>
      </c>
      <c r="AW171" s="35" t="n">
        <v>5500</v>
      </c>
      <c r="AX171" s="43" t="n">
        <v>32</v>
      </c>
      <c r="AY171" s="38" t="n">
        <f aca="false">AVERAGEA(AZ171, AX171)</f>
        <v>48.5</v>
      </c>
      <c r="AZ171" s="43" t="n">
        <v>65</v>
      </c>
      <c r="BA171" s="35" t="n">
        <v>6</v>
      </c>
      <c r="BB171" s="39" t="n">
        <f aca="false">AVERAGEA(BC171, BA171)</f>
        <v>13</v>
      </c>
      <c r="BC171" s="35" t="n">
        <v>20</v>
      </c>
      <c r="BD171" s="43" t="n">
        <v>30</v>
      </c>
      <c r="BE171" s="38" t="n">
        <f aca="false">AVERAGEA(BF171, BD171)</f>
        <v>75</v>
      </c>
      <c r="BF171" s="43" t="n">
        <v>120</v>
      </c>
      <c r="BG171" s="35" t="n">
        <v>60</v>
      </c>
      <c r="BH171" s="39" t="n">
        <f aca="false">AVERAGEA(BI171, BG171)</f>
        <v>150</v>
      </c>
      <c r="BI171" s="35" t="n">
        <v>240</v>
      </c>
      <c r="BJ171" s="43" t="n">
        <v>120</v>
      </c>
      <c r="BK171" s="38" t="n">
        <f aca="false">AVERAGEA(BL171, BJ171)</f>
        <v>300</v>
      </c>
      <c r="BL171" s="43" t="n">
        <v>480</v>
      </c>
      <c r="BM171" s="35" t="n">
        <v>3</v>
      </c>
      <c r="BN171" s="39" t="n">
        <f aca="false">AVERAGEA(BO171, BM171)</f>
        <v>7.5</v>
      </c>
      <c r="BO171" s="35" t="n">
        <v>12</v>
      </c>
      <c r="BP171" s="43" t="n">
        <v>20</v>
      </c>
      <c r="BQ171" s="38" t="n">
        <f aca="false">AVERAGEA(BR171, BP171)</f>
        <v>50</v>
      </c>
      <c r="BR171" s="43" t="n">
        <v>80</v>
      </c>
      <c r="BS171" s="35" t="n">
        <v>40</v>
      </c>
      <c r="BT171" s="39" t="n">
        <f aca="false">AVERAGEA(BU171, BS171)</f>
        <v>100</v>
      </c>
      <c r="BU171" s="121" t="n">
        <v>160</v>
      </c>
      <c r="BV171" s="43" t="n">
        <v>80</v>
      </c>
      <c r="BW171" s="38" t="n">
        <f aca="false">AVERAGEA(BX171, BV171)</f>
        <v>200</v>
      </c>
      <c r="BX171" s="43" t="n">
        <v>320</v>
      </c>
      <c r="BY171" s="35"/>
      <c r="BZ171" s="39" t="e">
        <f aca="false">AVERAGEA(CA171, BY171)</f>
        <v>#DIV/0!</v>
      </c>
      <c r="CA171" s="121"/>
      <c r="CB171" s="43"/>
      <c r="CC171" s="38" t="e">
        <f aca="false">AVERAGEA(CD171, CB171)</f>
        <v>#DIV/0!</v>
      </c>
      <c r="CD171" s="43"/>
      <c r="CE171" s="35"/>
      <c r="CF171" s="39" t="e">
        <f aca="false">AVERAGEA(CG171, CE171)</f>
        <v>#DIV/0!</v>
      </c>
      <c r="CG171" s="121"/>
    </row>
    <row r="172" s="18" customFormat="true" ht="28.35" hidden="false" customHeight="false" outlineLevel="0" collapsed="false">
      <c r="B172" s="78"/>
      <c r="C172" s="49"/>
      <c r="D172" s="49" t="s">
        <v>147</v>
      </c>
      <c r="E172" s="119"/>
      <c r="F172" s="32" t="s">
        <v>158</v>
      </c>
      <c r="G172" s="120"/>
      <c r="H172" s="37"/>
      <c r="I172" s="38" t="e">
        <f aca="false">AVERAGEA(H172,J172)</f>
        <v>#DIV/0!</v>
      </c>
      <c r="J172" s="37"/>
      <c r="K172" s="34" t="s">
        <v>55</v>
      </c>
      <c r="L172" s="39" t="n">
        <f aca="false">AVERAGEA(K172,M172)</f>
        <v>0</v>
      </c>
      <c r="M172" s="34" t="s">
        <v>55</v>
      </c>
      <c r="N172" s="37" t="n">
        <v>16</v>
      </c>
      <c r="O172" s="38" t="n">
        <f aca="false">AVERAGEA(N172,P172)</f>
        <v>20.5</v>
      </c>
      <c r="P172" s="37" t="n">
        <v>25</v>
      </c>
      <c r="Q172" s="34" t="s">
        <v>55</v>
      </c>
      <c r="R172" s="39" t="n">
        <f aca="false">AVERAGEA(Q172,S172)</f>
        <v>0</v>
      </c>
      <c r="S172" s="34" t="s">
        <v>55</v>
      </c>
      <c r="T172" s="36" t="s">
        <v>55</v>
      </c>
      <c r="U172" s="37" t="n">
        <f aca="false">AVERAGEA(V172, T172)</f>
        <v>0</v>
      </c>
      <c r="V172" s="36" t="s">
        <v>55</v>
      </c>
      <c r="W172" s="35" t="s">
        <v>55</v>
      </c>
      <c r="X172" s="39" t="n">
        <f aca="false">AVERAGEA(Y172, W172)</f>
        <v>0</v>
      </c>
      <c r="Y172" s="35" t="s">
        <v>55</v>
      </c>
      <c r="Z172" s="36" t="s">
        <v>55</v>
      </c>
      <c r="AA172" s="37"/>
      <c r="AB172" s="36" t="s">
        <v>55</v>
      </c>
      <c r="AC172" s="35" t="n">
        <v>25</v>
      </c>
      <c r="AD172" s="39" t="n">
        <f aca="false">AVERAGEA(AC172,AE172)</f>
        <v>45</v>
      </c>
      <c r="AE172" s="35" t="n">
        <v>65</v>
      </c>
      <c r="AF172" s="43" t="n">
        <v>20</v>
      </c>
      <c r="AG172" s="37" t="n">
        <f aca="false">AVERAGEA(AH172, AF172)</f>
        <v>30</v>
      </c>
      <c r="AH172" s="43" t="n">
        <v>40</v>
      </c>
      <c r="AI172" s="35" t="n">
        <v>3</v>
      </c>
      <c r="AJ172" s="35" t="n">
        <f aca="false">AVERAGEA(AK172, AI172)</f>
        <v>6.5</v>
      </c>
      <c r="AK172" s="35" t="n">
        <v>10</v>
      </c>
      <c r="AL172" s="43" t="n">
        <v>3</v>
      </c>
      <c r="AM172" s="37" t="n">
        <f aca="false">AVERAGEA(AN172, AL172)</f>
        <v>6.5</v>
      </c>
      <c r="AN172" s="43" t="n">
        <v>10</v>
      </c>
      <c r="AO172" s="35" t="n">
        <v>2.5</v>
      </c>
      <c r="AP172" s="35" t="n">
        <f aca="false">AVERAGEA(AQ172, AO172)</f>
        <v>3.75</v>
      </c>
      <c r="AQ172" s="35" t="n">
        <v>5</v>
      </c>
      <c r="AR172" s="37" t="n">
        <v>1.5</v>
      </c>
      <c r="AS172" s="37" t="n">
        <f aca="false">AVERAGEA(AT172, AR172)</f>
        <v>2.75</v>
      </c>
      <c r="AT172" s="37" t="n">
        <v>4</v>
      </c>
      <c r="AU172" s="35" t="n">
        <v>3500</v>
      </c>
      <c r="AV172" s="39" t="n">
        <f aca="false">AVERAGEA(AW172, AU172)</f>
        <v>5000</v>
      </c>
      <c r="AW172" s="35" t="n">
        <v>6500</v>
      </c>
      <c r="AX172" s="43" t="n">
        <v>40</v>
      </c>
      <c r="AY172" s="38" t="n">
        <f aca="false">AVERAGEA(AZ172, AX172)</f>
        <v>60</v>
      </c>
      <c r="AZ172" s="43" t="n">
        <v>80</v>
      </c>
      <c r="BA172" s="34" t="n">
        <v>8</v>
      </c>
      <c r="BB172" s="35" t="n">
        <f aca="false">AVERAGEA(BA172,BC172)</f>
        <v>16</v>
      </c>
      <c r="BC172" s="34" t="n">
        <v>24</v>
      </c>
      <c r="BD172" s="43" t="n">
        <v>30</v>
      </c>
      <c r="BE172" s="38" t="n">
        <f aca="false">AVERAGEA(BF172, BD172)</f>
        <v>75</v>
      </c>
      <c r="BF172" s="43" t="n">
        <v>120</v>
      </c>
      <c r="BG172" s="34" t="n">
        <v>60</v>
      </c>
      <c r="BH172" s="35" t="n">
        <f aca="false">AVERAGEA(BG172,BI172)</f>
        <v>150</v>
      </c>
      <c r="BI172" s="34" t="n">
        <v>240</v>
      </c>
      <c r="BJ172" s="43" t="n">
        <v>120</v>
      </c>
      <c r="BK172" s="38" t="n">
        <f aca="false">AVERAGEA(BL172, BJ172)</f>
        <v>300</v>
      </c>
      <c r="BL172" s="43" t="n">
        <v>480</v>
      </c>
      <c r="BM172" s="34" t="n">
        <v>3</v>
      </c>
      <c r="BN172" s="35" t="n">
        <f aca="false">AVERAGEA(BM172,BO172)</f>
        <v>7.5</v>
      </c>
      <c r="BO172" s="34" t="n">
        <v>12</v>
      </c>
      <c r="BP172" s="43" t="n">
        <v>20</v>
      </c>
      <c r="BQ172" s="38" t="n">
        <f aca="false">AVERAGEA(BR172, BP172)</f>
        <v>50</v>
      </c>
      <c r="BR172" s="43" t="n">
        <v>80</v>
      </c>
      <c r="BS172" s="34" t="n">
        <v>40</v>
      </c>
      <c r="BT172" s="35" t="n">
        <f aca="false">AVERAGEA(BS172,BU172)</f>
        <v>100</v>
      </c>
      <c r="BU172" s="40" t="n">
        <v>160</v>
      </c>
      <c r="BV172" s="43" t="n">
        <v>80</v>
      </c>
      <c r="BW172" s="38" t="n">
        <f aca="false">AVERAGEA(BX172, BV172)</f>
        <v>200</v>
      </c>
      <c r="BX172" s="43" t="n">
        <v>320</v>
      </c>
      <c r="BY172" s="34"/>
      <c r="BZ172" s="35" t="e">
        <f aca="false">AVERAGEA(BY172,CA172)</f>
        <v>#DIV/0!</v>
      </c>
      <c r="CA172" s="40"/>
      <c r="CB172" s="43"/>
      <c r="CC172" s="38" t="e">
        <f aca="false">AVERAGEA(CD172, CB172)</f>
        <v>#DIV/0!</v>
      </c>
      <c r="CD172" s="43"/>
      <c r="CE172" s="34"/>
      <c r="CF172" s="35" t="e">
        <f aca="false">AVERAGEA(CE172,CG172)</f>
        <v>#DIV/0!</v>
      </c>
      <c r="CG172" s="40"/>
    </row>
    <row r="173" s="18" customFormat="true" ht="28.35" hidden="false" customHeight="false" outlineLevel="0" collapsed="false">
      <c r="B173" s="78"/>
      <c r="C173" s="49"/>
      <c r="D173" s="49" t="s">
        <v>153</v>
      </c>
      <c r="E173" s="122"/>
      <c r="F173" s="47" t="s">
        <v>159</v>
      </c>
      <c r="G173" s="91"/>
      <c r="H173" s="51"/>
      <c r="I173" s="51" t="e">
        <f aca="false">AVERAGEA(H173,J173)</f>
        <v>#DIV/0!</v>
      </c>
      <c r="J173" s="51"/>
      <c r="K173" s="53" t="s">
        <v>55</v>
      </c>
      <c r="L173" s="53" t="n">
        <f aca="false">AVERAGEA(K173,M173)</f>
        <v>0</v>
      </c>
      <c r="M173" s="53" t="s">
        <v>55</v>
      </c>
      <c r="N173" s="51" t="n">
        <v>14</v>
      </c>
      <c r="O173" s="51" t="n">
        <f aca="false">AVERAGEA(N173,P173)</f>
        <v>18</v>
      </c>
      <c r="P173" s="51" t="n">
        <v>22</v>
      </c>
      <c r="Q173" s="53" t="s">
        <v>55</v>
      </c>
      <c r="R173" s="53" t="n">
        <f aca="false">AVERAGEA(Q173,S173)</f>
        <v>0</v>
      </c>
      <c r="S173" s="53" t="s">
        <v>55</v>
      </c>
      <c r="T173" s="51" t="s">
        <v>55</v>
      </c>
      <c r="U173" s="51" t="n">
        <f aca="false">AVERAGEA(V173, T173)</f>
        <v>0</v>
      </c>
      <c r="V173" s="51" t="s">
        <v>55</v>
      </c>
      <c r="W173" s="53" t="s">
        <v>55</v>
      </c>
      <c r="X173" s="53" t="n">
        <f aca="false">AVERAGEA(Y173, W173)</f>
        <v>0</v>
      </c>
      <c r="Y173" s="53" t="s">
        <v>55</v>
      </c>
      <c r="Z173" s="51" t="s">
        <v>55</v>
      </c>
      <c r="AA173" s="51"/>
      <c r="AB173" s="51" t="s">
        <v>55</v>
      </c>
      <c r="AC173" s="53" t="n">
        <v>20</v>
      </c>
      <c r="AD173" s="53" t="n">
        <f aca="false">AVERAGEA(AC173,AE173)</f>
        <v>35</v>
      </c>
      <c r="AE173" s="53" t="n">
        <v>50</v>
      </c>
      <c r="AF173" s="56" t="n">
        <v>20</v>
      </c>
      <c r="AG173" s="56" t="n">
        <f aca="false">AVERAGEA(AH173, AF173)</f>
        <v>30</v>
      </c>
      <c r="AH173" s="56" t="n">
        <v>40</v>
      </c>
      <c r="AI173" s="77" t="n">
        <v>3</v>
      </c>
      <c r="AJ173" s="77" t="n">
        <f aca="false">AVERAGEA(AK173, AI173)</f>
        <v>6.5</v>
      </c>
      <c r="AK173" s="77" t="n">
        <v>10</v>
      </c>
      <c r="AL173" s="56" t="n">
        <v>3</v>
      </c>
      <c r="AM173" s="51" t="n">
        <f aca="false">AVERAGEA(AN173, AL173)</f>
        <v>6.5</v>
      </c>
      <c r="AN173" s="56" t="n">
        <v>10</v>
      </c>
      <c r="AO173" s="53" t="n">
        <v>2.5</v>
      </c>
      <c r="AP173" s="53" t="n">
        <f aca="false">AVERAGEA(AQ173, AO173)</f>
        <v>3.75</v>
      </c>
      <c r="AQ173" s="53" t="n">
        <v>5</v>
      </c>
      <c r="AR173" s="51" t="n">
        <v>1.5</v>
      </c>
      <c r="AS173" s="51" t="n">
        <f aca="false">AVERAGEA(AT173, AR173)</f>
        <v>2.75</v>
      </c>
      <c r="AT173" s="51" t="n">
        <v>4</v>
      </c>
      <c r="AU173" s="53" t="n">
        <v>4000</v>
      </c>
      <c r="AV173" s="53" t="n">
        <f aca="false">AVERAGEA(AW173, AU173)</f>
        <v>6000</v>
      </c>
      <c r="AW173" s="53" t="n">
        <v>8000</v>
      </c>
      <c r="AX173" s="56" t="n">
        <v>50</v>
      </c>
      <c r="AY173" s="51" t="n">
        <f aca="false">AVERAGEA(AZ173, AX173)</f>
        <v>75</v>
      </c>
      <c r="AZ173" s="56" t="n">
        <v>100</v>
      </c>
      <c r="BA173" s="77" t="n">
        <v>10</v>
      </c>
      <c r="BB173" s="53" t="n">
        <f aca="false">AVERAGEA(BA173,BC173)</f>
        <v>20</v>
      </c>
      <c r="BC173" s="77" t="n">
        <v>30</v>
      </c>
      <c r="BD173" s="56" t="n">
        <v>30</v>
      </c>
      <c r="BE173" s="51" t="n">
        <f aca="false">AVERAGEA(BF173, BD173)</f>
        <v>75</v>
      </c>
      <c r="BF173" s="56" t="n">
        <v>120</v>
      </c>
      <c r="BG173" s="77" t="n">
        <v>60</v>
      </c>
      <c r="BH173" s="53" t="n">
        <f aca="false">AVERAGEA(BG173,BI173)</f>
        <v>150</v>
      </c>
      <c r="BI173" s="77" t="n">
        <v>240</v>
      </c>
      <c r="BJ173" s="56" t="n">
        <v>120</v>
      </c>
      <c r="BK173" s="51" t="n">
        <f aca="false">AVERAGEA(BL173, BJ173)</f>
        <v>300</v>
      </c>
      <c r="BL173" s="56" t="n">
        <v>480</v>
      </c>
      <c r="BM173" s="77" t="n">
        <v>3</v>
      </c>
      <c r="BN173" s="53" t="n">
        <f aca="false">AVERAGEA(BM173,BO173)</f>
        <v>7.5</v>
      </c>
      <c r="BO173" s="77" t="n">
        <v>12</v>
      </c>
      <c r="BP173" s="56" t="n">
        <v>20</v>
      </c>
      <c r="BQ173" s="51" t="n">
        <f aca="false">AVERAGEA(BR173, BP173)</f>
        <v>50</v>
      </c>
      <c r="BR173" s="56" t="n">
        <v>80</v>
      </c>
      <c r="BS173" s="77" t="n">
        <v>40</v>
      </c>
      <c r="BT173" s="53" t="n">
        <f aca="false">AVERAGEA(BS173,BU173)</f>
        <v>100</v>
      </c>
      <c r="BU173" s="123" t="n">
        <v>160</v>
      </c>
      <c r="BV173" s="56" t="n">
        <v>80</v>
      </c>
      <c r="BW173" s="51" t="n">
        <f aca="false">AVERAGEA(BX173, BV173)</f>
        <v>200</v>
      </c>
      <c r="BX173" s="56" t="n">
        <v>320</v>
      </c>
      <c r="BY173" s="77"/>
      <c r="BZ173" s="53" t="e">
        <f aca="false">AVERAGEA(BY173,CA173)</f>
        <v>#DIV/0!</v>
      </c>
      <c r="CA173" s="123"/>
      <c r="CB173" s="56"/>
      <c r="CC173" s="51" t="e">
        <f aca="false">AVERAGEA(CD173, CB173)</f>
        <v>#DIV/0!</v>
      </c>
      <c r="CD173" s="56"/>
      <c r="CE173" s="77"/>
      <c r="CF173" s="53" t="e">
        <f aca="false">AVERAGEA(CE173,CG173)</f>
        <v>#DIV/0!</v>
      </c>
      <c r="CG173" s="123"/>
    </row>
    <row r="174" s="18" customFormat="true" ht="28.35" hidden="false" customHeight="false" outlineLevel="0" collapsed="false">
      <c r="B174" s="78"/>
      <c r="C174" s="47" t="s">
        <v>162</v>
      </c>
      <c r="D174" s="47"/>
      <c r="E174" s="122"/>
      <c r="F174" s="47"/>
      <c r="G174" s="91"/>
      <c r="H174" s="51"/>
      <c r="I174" s="51"/>
      <c r="J174" s="51"/>
      <c r="K174" s="53"/>
      <c r="L174" s="53"/>
      <c r="M174" s="53"/>
      <c r="N174" s="51"/>
      <c r="O174" s="51"/>
      <c r="P174" s="51"/>
      <c r="Q174" s="53"/>
      <c r="R174" s="53"/>
      <c r="S174" s="53"/>
      <c r="T174" s="51"/>
      <c r="U174" s="51"/>
      <c r="V174" s="51"/>
      <c r="W174" s="53"/>
      <c r="X174" s="53"/>
      <c r="Y174" s="53"/>
      <c r="Z174" s="51"/>
      <c r="AA174" s="51"/>
      <c r="AB174" s="51"/>
      <c r="AC174" s="53"/>
      <c r="AD174" s="53"/>
      <c r="AE174" s="53"/>
      <c r="AF174" s="56"/>
      <c r="AG174" s="56"/>
      <c r="AH174" s="56"/>
      <c r="AI174" s="77"/>
      <c r="AJ174" s="77"/>
      <c r="AK174" s="77"/>
      <c r="AL174" s="56"/>
      <c r="AM174" s="51"/>
      <c r="AN174" s="56"/>
      <c r="AO174" s="53"/>
      <c r="AP174" s="53"/>
      <c r="AQ174" s="53"/>
      <c r="AR174" s="51"/>
      <c r="AS174" s="51"/>
      <c r="AT174" s="51"/>
      <c r="AU174" s="53"/>
      <c r="AV174" s="53"/>
      <c r="AW174" s="53"/>
      <c r="AX174" s="56"/>
      <c r="AY174" s="51"/>
      <c r="AZ174" s="56"/>
      <c r="BA174" s="77"/>
      <c r="BB174" s="53"/>
      <c r="BC174" s="77"/>
      <c r="BD174" s="56"/>
      <c r="BE174" s="51"/>
      <c r="BF174" s="56"/>
      <c r="BG174" s="77"/>
      <c r="BH174" s="53"/>
      <c r="BI174" s="77"/>
      <c r="BJ174" s="56"/>
      <c r="BK174" s="51"/>
      <c r="BL174" s="56"/>
      <c r="BM174" s="77"/>
      <c r="BN174" s="53"/>
      <c r="BO174" s="77"/>
      <c r="BP174" s="56"/>
      <c r="BQ174" s="51"/>
      <c r="BR174" s="56"/>
      <c r="BS174" s="77"/>
      <c r="BT174" s="53"/>
      <c r="BU174" s="123"/>
      <c r="BV174" s="56"/>
      <c r="BW174" s="51"/>
      <c r="BX174" s="56"/>
      <c r="BY174" s="77"/>
      <c r="BZ174" s="53"/>
      <c r="CA174" s="123"/>
      <c r="CB174" s="56"/>
      <c r="CC174" s="51"/>
      <c r="CD174" s="56"/>
      <c r="CE174" s="77"/>
      <c r="CF174" s="53"/>
      <c r="CG174" s="123"/>
    </row>
    <row r="175" s="18" customFormat="true" ht="26.4" hidden="false" customHeight="true" outlineLevel="0" collapsed="false">
      <c r="B175" s="124" t="s">
        <v>163</v>
      </c>
      <c r="C175" s="125" t="s">
        <v>164</v>
      </c>
      <c r="D175" s="126" t="s">
        <v>165</v>
      </c>
      <c r="E175" s="127"/>
      <c r="F175" s="126" t="s">
        <v>166</v>
      </c>
      <c r="G175" s="128"/>
      <c r="H175" s="29"/>
      <c r="I175" s="30" t="e">
        <f aca="false">AVERAGEA(H175,J175)</f>
        <v>#DIV/0!</v>
      </c>
      <c r="J175" s="28"/>
      <c r="K175" s="26" t="s">
        <v>55</v>
      </c>
      <c r="L175" s="27" t="n">
        <f aca="false">AVERAGEA(M175, K175)</f>
        <v>0</v>
      </c>
      <c r="M175" s="26" t="s">
        <v>55</v>
      </c>
      <c r="N175" s="29" t="n">
        <v>49</v>
      </c>
      <c r="O175" s="30" t="n">
        <f aca="false">AVERAGEA(N175,P175)</f>
        <v>52</v>
      </c>
      <c r="P175" s="28" t="n">
        <v>55</v>
      </c>
      <c r="Q175" s="26" t="s">
        <v>55</v>
      </c>
      <c r="R175" s="27" t="n">
        <f aca="false">AVERAGEA(S175, Q175)</f>
        <v>0</v>
      </c>
      <c r="S175" s="26" t="s">
        <v>55</v>
      </c>
      <c r="T175" s="29" t="s">
        <v>55</v>
      </c>
      <c r="U175" s="30" t="n">
        <f aca="false">AVERAGEA(T175,V175)</f>
        <v>0</v>
      </c>
      <c r="V175" s="28" t="s">
        <v>55</v>
      </c>
      <c r="W175" s="26" t="s">
        <v>55</v>
      </c>
      <c r="X175" s="27" t="n">
        <f aca="false">AVERAGEA(W175,Y175)</f>
        <v>0</v>
      </c>
      <c r="Y175" s="26" t="s">
        <v>55</v>
      </c>
      <c r="Z175" s="29" t="s">
        <v>55</v>
      </c>
      <c r="AA175" s="30"/>
      <c r="AB175" s="28" t="s">
        <v>55</v>
      </c>
      <c r="AC175" s="26" t="n">
        <v>40</v>
      </c>
      <c r="AD175" s="27" t="n">
        <f aca="false">AVERAGEA(AE175, AC175)</f>
        <v>47.5</v>
      </c>
      <c r="AE175" s="26" t="n">
        <v>55</v>
      </c>
      <c r="AF175" s="29" t="n">
        <v>0</v>
      </c>
      <c r="AG175" s="30" t="n">
        <f aca="false">AVERAGEA(AF175,AH175)</f>
        <v>0</v>
      </c>
      <c r="AH175" s="28" t="n">
        <v>0</v>
      </c>
      <c r="AI175" s="26" t="n">
        <v>20</v>
      </c>
      <c r="AJ175" s="27" t="n">
        <f aca="false">AVERAGEA(AK175, AI175)</f>
        <v>35</v>
      </c>
      <c r="AK175" s="26" t="n">
        <v>50</v>
      </c>
      <c r="AL175" s="29" t="n">
        <v>20</v>
      </c>
      <c r="AM175" s="30" t="n">
        <f aca="false">AVERAGEA(AL175,AN175)</f>
        <v>35</v>
      </c>
      <c r="AN175" s="28" t="n">
        <v>50</v>
      </c>
      <c r="AO175" s="26" t="n">
        <v>0</v>
      </c>
      <c r="AP175" s="27" t="n">
        <f aca="false">AVERAGEA(AQ175, AO175)</f>
        <v>0</v>
      </c>
      <c r="AQ175" s="26" t="n">
        <v>0</v>
      </c>
      <c r="AR175" s="29" t="n">
        <v>0</v>
      </c>
      <c r="AS175" s="30" t="n">
        <f aca="false">AVERAGEA(AT175, AR175)</f>
        <v>0</v>
      </c>
      <c r="AT175" s="28" t="n">
        <v>0</v>
      </c>
      <c r="AU175" s="26" t="n">
        <v>2000</v>
      </c>
      <c r="AV175" s="27" t="n">
        <f aca="false">AVERAGEA(AU175,AW175)</f>
        <v>2500</v>
      </c>
      <c r="AW175" s="26" t="n">
        <v>3000</v>
      </c>
      <c r="AX175" s="29" t="n">
        <v>60</v>
      </c>
      <c r="AY175" s="30" t="n">
        <f aca="false">AVERAGEA(AZ175, AX175)</f>
        <v>85</v>
      </c>
      <c r="AZ175" s="28" t="n">
        <v>110</v>
      </c>
      <c r="BA175" s="26" t="n">
        <v>3</v>
      </c>
      <c r="BB175" s="27" t="n">
        <f aca="false">AVERAGEA(BA175,BC175)</f>
        <v>6</v>
      </c>
      <c r="BC175" s="26" t="n">
        <v>9</v>
      </c>
      <c r="BD175" s="29" t="n">
        <v>0</v>
      </c>
      <c r="BE175" s="30" t="n">
        <f aca="false">AVERAGEA(BF175, BD175)</f>
        <v>0</v>
      </c>
      <c r="BF175" s="28" t="n">
        <v>0</v>
      </c>
      <c r="BG175" s="26" t="n">
        <v>0</v>
      </c>
      <c r="BH175" s="27" t="n">
        <f aca="false">AVERAGEA(BG175,BI175)</f>
        <v>0</v>
      </c>
      <c r="BI175" s="26" t="n">
        <v>0</v>
      </c>
      <c r="BJ175" s="29" t="n">
        <v>0</v>
      </c>
      <c r="BK175" s="30" t="n">
        <f aca="false">AVERAGEA(BL175, BJ175)</f>
        <v>0</v>
      </c>
      <c r="BL175" s="28" t="n">
        <v>0</v>
      </c>
      <c r="BM175" s="26" t="n">
        <v>0</v>
      </c>
      <c r="BN175" s="27" t="n">
        <f aca="false">AVERAGEA(BM175,BO175)</f>
        <v>0</v>
      </c>
      <c r="BO175" s="26" t="n">
        <v>0</v>
      </c>
      <c r="BP175" s="29" t="n">
        <v>0</v>
      </c>
      <c r="BQ175" s="30" t="n">
        <f aca="false">AVERAGEA(BR175, BP175)</f>
        <v>0</v>
      </c>
      <c r="BR175" s="28" t="n">
        <v>0</v>
      </c>
      <c r="BS175" s="26" t="n">
        <v>0</v>
      </c>
      <c r="BT175" s="27" t="n">
        <f aca="false">AVERAGEA(BS175,BU175)</f>
        <v>0</v>
      </c>
      <c r="BU175" s="31" t="n">
        <v>0</v>
      </c>
      <c r="BV175" s="29" t="n">
        <v>0</v>
      </c>
      <c r="BW175" s="30" t="n">
        <f aca="false">AVERAGEA(BX175, BV175)</f>
        <v>0</v>
      </c>
      <c r="BX175" s="28" t="n">
        <v>0</v>
      </c>
      <c r="BY175" s="26"/>
      <c r="BZ175" s="27" t="e">
        <f aca="false">AVERAGEA(BY175,CA175)</f>
        <v>#DIV/0!</v>
      </c>
      <c r="CA175" s="31"/>
      <c r="CB175" s="29"/>
      <c r="CC175" s="30" t="e">
        <f aca="false">AVERAGEA(CD175, CB175)</f>
        <v>#DIV/0!</v>
      </c>
      <c r="CD175" s="28"/>
      <c r="CE175" s="26"/>
      <c r="CF175" s="27" t="e">
        <f aca="false">AVERAGEA(CE175,CG175)</f>
        <v>#DIV/0!</v>
      </c>
      <c r="CG175" s="31"/>
    </row>
    <row r="176" s="18" customFormat="true" ht="28.35" hidden="false" customHeight="false" outlineLevel="0" collapsed="false">
      <c r="B176" s="124"/>
      <c r="C176" s="125"/>
      <c r="D176" s="125"/>
      <c r="E176" s="127"/>
      <c r="F176" s="129" t="s">
        <v>167</v>
      </c>
      <c r="G176" s="130"/>
      <c r="H176" s="37"/>
      <c r="I176" s="38" t="e">
        <f aca="false">AVERAGEA(H176,J176)</f>
        <v>#DIV/0!</v>
      </c>
      <c r="J176" s="36"/>
      <c r="K176" s="34" t="s">
        <v>55</v>
      </c>
      <c r="L176" s="39" t="n">
        <f aca="false">AVERAGEA(M176, K176)</f>
        <v>0</v>
      </c>
      <c r="M176" s="34" t="s">
        <v>55</v>
      </c>
      <c r="N176" s="37" t="n">
        <v>47</v>
      </c>
      <c r="O176" s="38" t="n">
        <f aca="false">AVERAGEA(N176,P176)</f>
        <v>50</v>
      </c>
      <c r="P176" s="36" t="n">
        <v>53</v>
      </c>
      <c r="Q176" s="34" t="s">
        <v>55</v>
      </c>
      <c r="R176" s="39" t="n">
        <f aca="false">AVERAGEA(S176, Q176)</f>
        <v>0</v>
      </c>
      <c r="S176" s="34" t="s">
        <v>55</v>
      </c>
      <c r="T176" s="37" t="s">
        <v>55</v>
      </c>
      <c r="U176" s="38" t="n">
        <f aca="false">AVERAGEA(T176,V176)</f>
        <v>0</v>
      </c>
      <c r="V176" s="36" t="s">
        <v>55</v>
      </c>
      <c r="W176" s="34" t="s">
        <v>55</v>
      </c>
      <c r="X176" s="39" t="n">
        <f aca="false">AVERAGEA(W176,Y176)</f>
        <v>0</v>
      </c>
      <c r="Y176" s="34" t="s">
        <v>55</v>
      </c>
      <c r="Z176" s="37" t="s">
        <v>55</v>
      </c>
      <c r="AA176" s="38"/>
      <c r="AB176" s="36" t="s">
        <v>55</v>
      </c>
      <c r="AC176" s="34" t="n">
        <v>38</v>
      </c>
      <c r="AD176" s="39" t="n">
        <f aca="false">AVERAGEA(AE176, AC176)</f>
        <v>45</v>
      </c>
      <c r="AE176" s="34" t="n">
        <v>52</v>
      </c>
      <c r="AF176" s="37" t="n">
        <v>0</v>
      </c>
      <c r="AG176" s="38" t="n">
        <f aca="false">AVERAGEA(AF176,AH176)</f>
        <v>0</v>
      </c>
      <c r="AH176" s="36" t="n">
        <v>0</v>
      </c>
      <c r="AI176" s="34" t="n">
        <v>20</v>
      </c>
      <c r="AJ176" s="39" t="n">
        <f aca="false">AVERAGEA(AK176, AI176)</f>
        <v>35</v>
      </c>
      <c r="AK176" s="34" t="n">
        <v>50</v>
      </c>
      <c r="AL176" s="37" t="n">
        <v>20</v>
      </c>
      <c r="AM176" s="38" t="n">
        <f aca="false">AVERAGEA(AL176,AN176)</f>
        <v>35</v>
      </c>
      <c r="AN176" s="36" t="n">
        <v>50</v>
      </c>
      <c r="AO176" s="34" t="n">
        <v>0</v>
      </c>
      <c r="AP176" s="39" t="n">
        <f aca="false">AVERAGEA(AQ176, AO176)</f>
        <v>0</v>
      </c>
      <c r="AQ176" s="34" t="n">
        <v>0</v>
      </c>
      <c r="AR176" s="37" t="n">
        <v>0</v>
      </c>
      <c r="AS176" s="38" t="n">
        <f aca="false">AVERAGEA(AT176, AR176)</f>
        <v>0</v>
      </c>
      <c r="AT176" s="36" t="n">
        <v>0</v>
      </c>
      <c r="AU176" s="34" t="n">
        <v>2200</v>
      </c>
      <c r="AV176" s="39" t="n">
        <f aca="false">AVERAGEA(AU176,AW176)</f>
        <v>2850</v>
      </c>
      <c r="AW176" s="34" t="n">
        <v>3500</v>
      </c>
      <c r="AX176" s="37" t="n">
        <v>70</v>
      </c>
      <c r="AY176" s="38" t="n">
        <f aca="false">AVERAGEA(AZ176, AX176)</f>
        <v>95</v>
      </c>
      <c r="AZ176" s="36" t="n">
        <v>120</v>
      </c>
      <c r="BA176" s="34" t="n">
        <v>4</v>
      </c>
      <c r="BB176" s="39" t="n">
        <f aca="false">AVERAGEA(BA176,BC176)</f>
        <v>7</v>
      </c>
      <c r="BC176" s="34" t="n">
        <v>10</v>
      </c>
      <c r="BD176" s="37" t="n">
        <v>0</v>
      </c>
      <c r="BE176" s="38" t="n">
        <f aca="false">AVERAGEA(BF176, BD176)</f>
        <v>0</v>
      </c>
      <c r="BF176" s="36" t="n">
        <v>0</v>
      </c>
      <c r="BG176" s="34" t="n">
        <v>0</v>
      </c>
      <c r="BH176" s="39" t="n">
        <f aca="false">AVERAGEA(BG176,BI176)</f>
        <v>0</v>
      </c>
      <c r="BI176" s="34" t="n">
        <v>0</v>
      </c>
      <c r="BJ176" s="37" t="n">
        <v>0</v>
      </c>
      <c r="BK176" s="38" t="n">
        <f aca="false">AVERAGEA(BL176, BJ176)</f>
        <v>0</v>
      </c>
      <c r="BL176" s="36" t="n">
        <v>0</v>
      </c>
      <c r="BM176" s="34" t="n">
        <v>0</v>
      </c>
      <c r="BN176" s="39" t="n">
        <f aca="false">AVERAGEA(BM176,BO176)</f>
        <v>0</v>
      </c>
      <c r="BO176" s="34" t="n">
        <v>0</v>
      </c>
      <c r="BP176" s="37" t="n">
        <v>0</v>
      </c>
      <c r="BQ176" s="38" t="n">
        <f aca="false">AVERAGEA(BR176, BP176)</f>
        <v>0</v>
      </c>
      <c r="BR176" s="36" t="n">
        <v>0</v>
      </c>
      <c r="BS176" s="34" t="n">
        <v>0</v>
      </c>
      <c r="BT176" s="39" t="n">
        <f aca="false">AVERAGEA(BS176,BU176)</f>
        <v>0</v>
      </c>
      <c r="BU176" s="40" t="n">
        <v>0</v>
      </c>
      <c r="BV176" s="37" t="n">
        <v>0</v>
      </c>
      <c r="BW176" s="38" t="n">
        <f aca="false">AVERAGEA(BX176, BV176)</f>
        <v>0</v>
      </c>
      <c r="BX176" s="36" t="n">
        <v>0</v>
      </c>
      <c r="BY176" s="34"/>
      <c r="BZ176" s="39" t="e">
        <f aca="false">AVERAGEA(BY176,CA176)</f>
        <v>#DIV/0!</v>
      </c>
      <c r="CA176" s="40"/>
      <c r="CB176" s="37"/>
      <c r="CC176" s="38" t="e">
        <f aca="false">AVERAGEA(CD176, CB176)</f>
        <v>#DIV/0!</v>
      </c>
      <c r="CD176" s="36"/>
      <c r="CE176" s="34"/>
      <c r="CF176" s="39" t="e">
        <f aca="false">AVERAGEA(CE176,CG176)</f>
        <v>#DIV/0!</v>
      </c>
      <c r="CG176" s="40"/>
    </row>
    <row r="177" s="18" customFormat="true" ht="28.35" hidden="false" customHeight="false" outlineLevel="0" collapsed="false">
      <c r="B177" s="124"/>
      <c r="C177" s="125"/>
      <c r="D177" s="125"/>
      <c r="E177" s="127"/>
      <c r="F177" s="129" t="s">
        <v>168</v>
      </c>
      <c r="G177" s="130"/>
      <c r="H177" s="37"/>
      <c r="I177" s="38" t="e">
        <f aca="false">AVERAGEA(H177,J177)</f>
        <v>#DIV/0!</v>
      </c>
      <c r="J177" s="36"/>
      <c r="K177" s="34" t="s">
        <v>55</v>
      </c>
      <c r="L177" s="39" t="n">
        <f aca="false">AVERAGEA(K177,M177)</f>
        <v>0</v>
      </c>
      <c r="M177" s="34" t="s">
        <v>55</v>
      </c>
      <c r="N177" s="37" t="n">
        <v>45</v>
      </c>
      <c r="O177" s="38" t="n">
        <f aca="false">AVERAGEA(N177,P177)</f>
        <v>48</v>
      </c>
      <c r="P177" s="36" t="n">
        <v>51</v>
      </c>
      <c r="Q177" s="34" t="s">
        <v>55</v>
      </c>
      <c r="R177" s="39" t="n">
        <f aca="false">AVERAGEA(Q177,S177)</f>
        <v>0</v>
      </c>
      <c r="S177" s="34" t="s">
        <v>55</v>
      </c>
      <c r="T177" s="37" t="s">
        <v>55</v>
      </c>
      <c r="U177" s="38" t="n">
        <f aca="false">AVERAGEA(T177,V177)</f>
        <v>0</v>
      </c>
      <c r="V177" s="36" t="s">
        <v>55</v>
      </c>
      <c r="W177" s="34" t="s">
        <v>55</v>
      </c>
      <c r="X177" s="39" t="n">
        <f aca="false">AVERAGEA(W177,Y177)</f>
        <v>0</v>
      </c>
      <c r="Y177" s="34" t="s">
        <v>55</v>
      </c>
      <c r="Z177" s="37" t="s">
        <v>55</v>
      </c>
      <c r="AA177" s="38"/>
      <c r="AB177" s="36" t="s">
        <v>55</v>
      </c>
      <c r="AC177" s="34" t="n">
        <v>35</v>
      </c>
      <c r="AD177" s="39" t="n">
        <f aca="false">AVERAGEA(AC177,AE177)</f>
        <v>42.5</v>
      </c>
      <c r="AE177" s="34" t="n">
        <v>50</v>
      </c>
      <c r="AF177" s="37" t="n">
        <v>0</v>
      </c>
      <c r="AG177" s="38" t="n">
        <f aca="false">AVERAGEA(AF177,AH177)</f>
        <v>0</v>
      </c>
      <c r="AH177" s="36" t="n">
        <v>0</v>
      </c>
      <c r="AI177" s="34" t="n">
        <v>20</v>
      </c>
      <c r="AJ177" s="39" t="n">
        <f aca="false">AVERAGEA(AI177,AK177)</f>
        <v>35</v>
      </c>
      <c r="AK177" s="34" t="n">
        <v>50</v>
      </c>
      <c r="AL177" s="37" t="n">
        <v>20</v>
      </c>
      <c r="AM177" s="38" t="n">
        <f aca="false">AVERAGEA(AL177,AN177)</f>
        <v>35</v>
      </c>
      <c r="AN177" s="36" t="n">
        <v>50</v>
      </c>
      <c r="AO177" s="34" t="n">
        <v>0</v>
      </c>
      <c r="AP177" s="39" t="n">
        <f aca="false">AVERAGEA(AO177,AQ177)</f>
        <v>0</v>
      </c>
      <c r="AQ177" s="34" t="n">
        <v>0</v>
      </c>
      <c r="AR177" s="37" t="n">
        <v>0</v>
      </c>
      <c r="AS177" s="38" t="n">
        <f aca="false">AVERAGEA(AR177,AT177)</f>
        <v>0</v>
      </c>
      <c r="AT177" s="36" t="n">
        <v>0</v>
      </c>
      <c r="AU177" s="34" t="n">
        <v>2500</v>
      </c>
      <c r="AV177" s="39" t="n">
        <f aca="false">AVERAGEA(AU177,AW177)</f>
        <v>3250</v>
      </c>
      <c r="AW177" s="34" t="n">
        <v>4000</v>
      </c>
      <c r="AX177" s="37" t="n">
        <v>80</v>
      </c>
      <c r="AY177" s="38" t="n">
        <f aca="false">AVERAGEA(AX177,AZ177)</f>
        <v>110</v>
      </c>
      <c r="AZ177" s="36" t="n">
        <v>140</v>
      </c>
      <c r="BA177" s="34" t="n">
        <v>5</v>
      </c>
      <c r="BB177" s="39" t="n">
        <f aca="false">AVERAGEA(BA177,BC177)</f>
        <v>8.5</v>
      </c>
      <c r="BC177" s="34" t="n">
        <v>12</v>
      </c>
      <c r="BD177" s="37" t="n">
        <v>0</v>
      </c>
      <c r="BE177" s="38" t="n">
        <f aca="false">AVERAGEA(BD177,BF177)</f>
        <v>0</v>
      </c>
      <c r="BF177" s="36" t="n">
        <v>0</v>
      </c>
      <c r="BG177" s="34" t="n">
        <v>0</v>
      </c>
      <c r="BH177" s="39" t="n">
        <f aca="false">AVERAGEA(BG177,BI177)</f>
        <v>0</v>
      </c>
      <c r="BI177" s="34" t="n">
        <v>0</v>
      </c>
      <c r="BJ177" s="37" t="n">
        <v>0</v>
      </c>
      <c r="BK177" s="38" t="n">
        <f aca="false">AVERAGEA(BJ177,BL177)</f>
        <v>0</v>
      </c>
      <c r="BL177" s="36" t="n">
        <v>0</v>
      </c>
      <c r="BM177" s="34" t="n">
        <v>0</v>
      </c>
      <c r="BN177" s="39" t="n">
        <f aca="false">AVERAGEA(BM177,BO177)</f>
        <v>0</v>
      </c>
      <c r="BO177" s="34" t="n">
        <v>0</v>
      </c>
      <c r="BP177" s="37" t="n">
        <v>0</v>
      </c>
      <c r="BQ177" s="38" t="n">
        <f aca="false">AVERAGEA(BP177,BR177)</f>
        <v>0</v>
      </c>
      <c r="BR177" s="36" t="n">
        <v>0</v>
      </c>
      <c r="BS177" s="34" t="n">
        <v>0</v>
      </c>
      <c r="BT177" s="39" t="n">
        <f aca="false">AVERAGEA(BS177,BU177)</f>
        <v>0</v>
      </c>
      <c r="BU177" s="121" t="n">
        <v>0</v>
      </c>
      <c r="BV177" s="37" t="n">
        <v>0</v>
      </c>
      <c r="BW177" s="38" t="n">
        <f aca="false">AVERAGEA(BV177,BX177)</f>
        <v>0</v>
      </c>
      <c r="BX177" s="36" t="n">
        <v>0</v>
      </c>
      <c r="BY177" s="34"/>
      <c r="BZ177" s="39" t="e">
        <f aca="false">AVERAGEA(BY177,CA177)</f>
        <v>#DIV/0!</v>
      </c>
      <c r="CA177" s="121"/>
      <c r="CB177" s="37"/>
      <c r="CC177" s="38" t="e">
        <f aca="false">AVERAGEA(CB177,CD177)</f>
        <v>#DIV/0!</v>
      </c>
      <c r="CD177" s="36"/>
      <c r="CE177" s="34"/>
      <c r="CF177" s="39" t="e">
        <f aca="false">AVERAGEA(CE177,CG177)</f>
        <v>#DIV/0!</v>
      </c>
      <c r="CG177" s="121"/>
    </row>
    <row r="178" s="18" customFormat="true" ht="26.4" hidden="false" customHeight="true" outlineLevel="0" collapsed="false">
      <c r="B178" s="124"/>
      <c r="C178" s="125"/>
      <c r="D178" s="129" t="s">
        <v>169</v>
      </c>
      <c r="E178" s="131"/>
      <c r="F178" s="129" t="s">
        <v>166</v>
      </c>
      <c r="G178" s="130"/>
      <c r="H178" s="37"/>
      <c r="I178" s="38" t="e">
        <f aca="false">AVERAGEA(H178,J178)</f>
        <v>#DIV/0!</v>
      </c>
      <c r="J178" s="36"/>
      <c r="K178" s="34" t="s">
        <v>55</v>
      </c>
      <c r="L178" s="39" t="n">
        <f aca="false">AVERAGEA(M178, K178)</f>
        <v>0</v>
      </c>
      <c r="M178" s="34" t="s">
        <v>55</v>
      </c>
      <c r="N178" s="37" t="n">
        <v>49</v>
      </c>
      <c r="O178" s="38" t="n">
        <f aca="false">AVERAGEA(N178,P178)</f>
        <v>52</v>
      </c>
      <c r="P178" s="36" t="n">
        <v>55</v>
      </c>
      <c r="Q178" s="34" t="s">
        <v>55</v>
      </c>
      <c r="R178" s="39" t="n">
        <f aca="false">AVERAGEA(S178, Q178)</f>
        <v>0</v>
      </c>
      <c r="S178" s="34" t="s">
        <v>55</v>
      </c>
      <c r="T178" s="37" t="s">
        <v>55</v>
      </c>
      <c r="U178" s="38" t="n">
        <f aca="false">AVERAGEA(T178,V178)</f>
        <v>0</v>
      </c>
      <c r="V178" s="36" t="s">
        <v>55</v>
      </c>
      <c r="W178" s="34" t="s">
        <v>55</v>
      </c>
      <c r="X178" s="39" t="n">
        <f aca="false">AVERAGEA(W178,Y178)</f>
        <v>0</v>
      </c>
      <c r="Y178" s="34" t="s">
        <v>55</v>
      </c>
      <c r="Z178" s="37" t="s">
        <v>55</v>
      </c>
      <c r="AA178" s="38"/>
      <c r="AB178" s="36" t="s">
        <v>55</v>
      </c>
      <c r="AC178" s="34" t="n">
        <v>40</v>
      </c>
      <c r="AD178" s="39" t="n">
        <f aca="false">AVERAGEA(AE178, AC178)</f>
        <v>47.5</v>
      </c>
      <c r="AE178" s="34" t="n">
        <v>55</v>
      </c>
      <c r="AF178" s="37" t="n">
        <v>0</v>
      </c>
      <c r="AG178" s="38" t="n">
        <f aca="false">AVERAGEA(AF178,AH178)</f>
        <v>0</v>
      </c>
      <c r="AH178" s="36" t="n">
        <v>0</v>
      </c>
      <c r="AI178" s="34" t="n">
        <v>20</v>
      </c>
      <c r="AJ178" s="39" t="n">
        <f aca="false">AVERAGEA(AK178, AI178)</f>
        <v>35</v>
      </c>
      <c r="AK178" s="34" t="n">
        <v>50</v>
      </c>
      <c r="AL178" s="37" t="n">
        <v>20</v>
      </c>
      <c r="AM178" s="38" t="n">
        <f aca="false">AVERAGEA(AL178,AN178)</f>
        <v>35</v>
      </c>
      <c r="AN178" s="36" t="n">
        <v>50</v>
      </c>
      <c r="AO178" s="34" t="n">
        <v>0</v>
      </c>
      <c r="AP178" s="39" t="n">
        <f aca="false">AVERAGEA(AQ178, AO178)</f>
        <v>0</v>
      </c>
      <c r="AQ178" s="34" t="n">
        <v>0</v>
      </c>
      <c r="AR178" s="37" t="n">
        <v>0</v>
      </c>
      <c r="AS178" s="38" t="n">
        <f aca="false">AVERAGEA(AT178, AR178)</f>
        <v>0</v>
      </c>
      <c r="AT178" s="36" t="n">
        <v>0</v>
      </c>
      <c r="AU178" s="34" t="n">
        <f aca="false">AU175*1.25</f>
        <v>2500</v>
      </c>
      <c r="AV178" s="39" t="n">
        <f aca="false">AVERAGEA(AU178,AW178)</f>
        <v>3500</v>
      </c>
      <c r="AW178" s="34" t="n">
        <f aca="false">AW175*1.5</f>
        <v>4500</v>
      </c>
      <c r="AX178" s="37" t="n">
        <f aca="false">AX175*1.2</f>
        <v>72</v>
      </c>
      <c r="AY178" s="38" t="n">
        <f aca="false">AVERAGEA(AZ178, AX178)</f>
        <v>113</v>
      </c>
      <c r="AZ178" s="36" t="n">
        <f aca="false">AZ175*1.4</f>
        <v>154</v>
      </c>
      <c r="BA178" s="34" t="n">
        <f aca="false">BA175*1.2</f>
        <v>3.6</v>
      </c>
      <c r="BB178" s="39" t="n">
        <f aca="false">AVERAGEA(BA178,BC178)</f>
        <v>8.1</v>
      </c>
      <c r="BC178" s="34" t="n">
        <f aca="false">BC175*1.4</f>
        <v>12.6</v>
      </c>
      <c r="BD178" s="37" t="n">
        <v>0</v>
      </c>
      <c r="BE178" s="38" t="n">
        <f aca="false">AVERAGEA(BF178, BD178)</f>
        <v>0</v>
      </c>
      <c r="BF178" s="36" t="n">
        <v>0</v>
      </c>
      <c r="BG178" s="34" t="n">
        <v>0</v>
      </c>
      <c r="BH178" s="39" t="n">
        <f aca="false">AVERAGEA(BG178,BI178)</f>
        <v>0</v>
      </c>
      <c r="BI178" s="34" t="n">
        <v>0</v>
      </c>
      <c r="BJ178" s="37" t="n">
        <v>0</v>
      </c>
      <c r="BK178" s="38" t="n">
        <f aca="false">AVERAGEA(BL178, BJ178)</f>
        <v>0</v>
      </c>
      <c r="BL178" s="36" t="n">
        <v>0</v>
      </c>
      <c r="BM178" s="34" t="n">
        <v>0</v>
      </c>
      <c r="BN178" s="39" t="n">
        <f aca="false">AVERAGEA(BM178,BO178)</f>
        <v>0</v>
      </c>
      <c r="BO178" s="34" t="n">
        <v>0</v>
      </c>
      <c r="BP178" s="37" t="n">
        <v>0</v>
      </c>
      <c r="BQ178" s="38" t="n">
        <f aca="false">AVERAGEA(BR178, BP178)</f>
        <v>0</v>
      </c>
      <c r="BR178" s="36" t="n">
        <v>0</v>
      </c>
      <c r="BS178" s="34" t="n">
        <v>0</v>
      </c>
      <c r="BT178" s="39" t="n">
        <f aca="false">AVERAGEA(BS178,BU178)</f>
        <v>0</v>
      </c>
      <c r="BU178" s="121" t="n">
        <v>0</v>
      </c>
      <c r="BV178" s="37" t="n">
        <v>0</v>
      </c>
      <c r="BW178" s="38" t="n">
        <f aca="false">AVERAGEA(BX178, BV178)</f>
        <v>0</v>
      </c>
      <c r="BX178" s="36" t="n">
        <v>0</v>
      </c>
      <c r="BY178" s="34"/>
      <c r="BZ178" s="39" t="e">
        <f aca="false">AVERAGEA(BY178,CA178)</f>
        <v>#DIV/0!</v>
      </c>
      <c r="CA178" s="121"/>
      <c r="CB178" s="37"/>
      <c r="CC178" s="38" t="e">
        <f aca="false">AVERAGEA(CD178, CB178)</f>
        <v>#DIV/0!</v>
      </c>
      <c r="CD178" s="36"/>
      <c r="CE178" s="34"/>
      <c r="CF178" s="39" t="e">
        <f aca="false">AVERAGEA(CE178,CG178)</f>
        <v>#DIV/0!</v>
      </c>
      <c r="CG178" s="121"/>
    </row>
    <row r="179" s="18" customFormat="true" ht="28.35" hidden="false" customHeight="false" outlineLevel="0" collapsed="false">
      <c r="B179" s="124"/>
      <c r="C179" s="125"/>
      <c r="D179" s="125"/>
      <c r="E179" s="131"/>
      <c r="F179" s="129" t="s">
        <v>167</v>
      </c>
      <c r="G179" s="130"/>
      <c r="H179" s="37"/>
      <c r="I179" s="38" t="e">
        <f aca="false">AVERAGEA(H179,J179)</f>
        <v>#DIV/0!</v>
      </c>
      <c r="J179" s="36"/>
      <c r="K179" s="34" t="s">
        <v>55</v>
      </c>
      <c r="L179" s="39" t="n">
        <f aca="false">AVERAGEA(M179, K179)</f>
        <v>0</v>
      </c>
      <c r="M179" s="34" t="s">
        <v>55</v>
      </c>
      <c r="N179" s="37" t="n">
        <v>47</v>
      </c>
      <c r="O179" s="38" t="n">
        <f aca="false">AVERAGEA(N179,P179)</f>
        <v>50</v>
      </c>
      <c r="P179" s="36" t="n">
        <v>53</v>
      </c>
      <c r="Q179" s="34" t="s">
        <v>55</v>
      </c>
      <c r="R179" s="39" t="n">
        <f aca="false">AVERAGEA(S179, Q179)</f>
        <v>0</v>
      </c>
      <c r="S179" s="34" t="s">
        <v>55</v>
      </c>
      <c r="T179" s="37" t="s">
        <v>55</v>
      </c>
      <c r="U179" s="38" t="n">
        <f aca="false">AVERAGEA(T179,V179)</f>
        <v>0</v>
      </c>
      <c r="V179" s="36" t="s">
        <v>55</v>
      </c>
      <c r="W179" s="34" t="s">
        <v>55</v>
      </c>
      <c r="X179" s="39" t="n">
        <f aca="false">AVERAGEA(W179,Y179)</f>
        <v>0</v>
      </c>
      <c r="Y179" s="34" t="s">
        <v>55</v>
      </c>
      <c r="Z179" s="37" t="s">
        <v>55</v>
      </c>
      <c r="AA179" s="38"/>
      <c r="AB179" s="36" t="s">
        <v>55</v>
      </c>
      <c r="AC179" s="34" t="n">
        <v>38</v>
      </c>
      <c r="AD179" s="39" t="n">
        <f aca="false">AVERAGEA(AE179, AC179)</f>
        <v>45</v>
      </c>
      <c r="AE179" s="34" t="n">
        <v>52</v>
      </c>
      <c r="AF179" s="37" t="n">
        <v>0</v>
      </c>
      <c r="AG179" s="38" t="n">
        <f aca="false">AVERAGEA(AF179,AH179)</f>
        <v>0</v>
      </c>
      <c r="AH179" s="36" t="n">
        <v>0</v>
      </c>
      <c r="AI179" s="34" t="n">
        <v>20</v>
      </c>
      <c r="AJ179" s="39" t="n">
        <f aca="false">AVERAGEA(AK179, AI179)</f>
        <v>35</v>
      </c>
      <c r="AK179" s="34" t="n">
        <v>50</v>
      </c>
      <c r="AL179" s="37" t="n">
        <v>20</v>
      </c>
      <c r="AM179" s="38" t="n">
        <f aca="false">AVERAGEA(AL179,AN179)</f>
        <v>35</v>
      </c>
      <c r="AN179" s="36" t="n">
        <v>50</v>
      </c>
      <c r="AO179" s="34" t="n">
        <v>0</v>
      </c>
      <c r="AP179" s="39" t="n">
        <f aca="false">AVERAGEA(AQ179, AO179)</f>
        <v>0</v>
      </c>
      <c r="AQ179" s="34" t="n">
        <v>0</v>
      </c>
      <c r="AR179" s="37" t="n">
        <v>0</v>
      </c>
      <c r="AS179" s="38" t="n">
        <f aca="false">AVERAGEA(AT179, AR179)</f>
        <v>0</v>
      </c>
      <c r="AT179" s="36" t="n">
        <v>0</v>
      </c>
      <c r="AU179" s="34" t="n">
        <f aca="false">AU176*1.25</f>
        <v>2750</v>
      </c>
      <c r="AV179" s="39" t="n">
        <f aca="false">AVERAGEA(AU179,AW179)</f>
        <v>4000</v>
      </c>
      <c r="AW179" s="34" t="n">
        <f aca="false">AW176*1.5</f>
        <v>5250</v>
      </c>
      <c r="AX179" s="37" t="n">
        <f aca="false">AX176*1.2</f>
        <v>84</v>
      </c>
      <c r="AY179" s="38" t="n">
        <f aca="false">AVERAGEA(AZ179, AX179)</f>
        <v>126</v>
      </c>
      <c r="AZ179" s="36" t="n">
        <f aca="false">AZ176*1.4</f>
        <v>168</v>
      </c>
      <c r="BA179" s="34" t="n">
        <f aca="false">BA176*1.2</f>
        <v>4.8</v>
      </c>
      <c r="BB179" s="39" t="n">
        <f aca="false">AVERAGEA(BA179,BC179)</f>
        <v>9.4</v>
      </c>
      <c r="BC179" s="34" t="n">
        <f aca="false">BC176*1.4</f>
        <v>14</v>
      </c>
      <c r="BD179" s="37" t="n">
        <v>0</v>
      </c>
      <c r="BE179" s="38" t="n">
        <f aca="false">AVERAGEA(BF179, BD179)</f>
        <v>0</v>
      </c>
      <c r="BF179" s="36" t="n">
        <v>0</v>
      </c>
      <c r="BG179" s="34" t="n">
        <v>0</v>
      </c>
      <c r="BH179" s="39" t="n">
        <f aca="false">AVERAGEA(BG179,BI179)</f>
        <v>0</v>
      </c>
      <c r="BI179" s="34" t="n">
        <v>0</v>
      </c>
      <c r="BJ179" s="37" t="n">
        <v>0</v>
      </c>
      <c r="BK179" s="38" t="n">
        <f aca="false">AVERAGEA(BL179, BJ179)</f>
        <v>0</v>
      </c>
      <c r="BL179" s="36" t="n">
        <v>0</v>
      </c>
      <c r="BM179" s="34" t="n">
        <v>0</v>
      </c>
      <c r="BN179" s="39" t="n">
        <f aca="false">AVERAGEA(BM179,BO179)</f>
        <v>0</v>
      </c>
      <c r="BO179" s="34" t="n">
        <v>0</v>
      </c>
      <c r="BP179" s="37" t="n">
        <v>0</v>
      </c>
      <c r="BQ179" s="38" t="n">
        <f aca="false">AVERAGEA(BR179, BP179)</f>
        <v>0</v>
      </c>
      <c r="BR179" s="36" t="n">
        <v>0</v>
      </c>
      <c r="BS179" s="34" t="n">
        <v>0</v>
      </c>
      <c r="BT179" s="39" t="n">
        <f aca="false">AVERAGEA(BS179,BU179)</f>
        <v>0</v>
      </c>
      <c r="BU179" s="40" t="n">
        <v>0</v>
      </c>
      <c r="BV179" s="37" t="n">
        <v>0</v>
      </c>
      <c r="BW179" s="38" t="n">
        <f aca="false">AVERAGEA(BX179, BV179)</f>
        <v>0</v>
      </c>
      <c r="BX179" s="36" t="n">
        <v>0</v>
      </c>
      <c r="BY179" s="34"/>
      <c r="BZ179" s="39" t="e">
        <f aca="false">AVERAGEA(BY179,CA179)</f>
        <v>#DIV/0!</v>
      </c>
      <c r="CA179" s="40"/>
      <c r="CB179" s="37"/>
      <c r="CC179" s="38" t="e">
        <f aca="false">AVERAGEA(CD179, CB179)</f>
        <v>#DIV/0!</v>
      </c>
      <c r="CD179" s="36"/>
      <c r="CE179" s="34"/>
      <c r="CF179" s="39" t="e">
        <f aca="false">AVERAGEA(CE179,CG179)</f>
        <v>#DIV/0!</v>
      </c>
      <c r="CG179" s="40"/>
    </row>
    <row r="180" s="18" customFormat="true" ht="28.35" hidden="false" customHeight="false" outlineLevel="0" collapsed="false">
      <c r="B180" s="124"/>
      <c r="C180" s="125"/>
      <c r="D180" s="125"/>
      <c r="E180" s="131"/>
      <c r="F180" s="129" t="s">
        <v>168</v>
      </c>
      <c r="G180" s="130"/>
      <c r="H180" s="37"/>
      <c r="I180" s="38" t="e">
        <f aca="false">AVERAGEA(H180,J180)</f>
        <v>#DIV/0!</v>
      </c>
      <c r="J180" s="36"/>
      <c r="K180" s="34" t="s">
        <v>55</v>
      </c>
      <c r="L180" s="39" t="n">
        <f aca="false">AVERAGEA(K180,M180)</f>
        <v>0</v>
      </c>
      <c r="M180" s="34" t="s">
        <v>55</v>
      </c>
      <c r="N180" s="37" t="n">
        <v>45</v>
      </c>
      <c r="O180" s="38" t="n">
        <f aca="false">AVERAGEA(N180,P180)</f>
        <v>48</v>
      </c>
      <c r="P180" s="36" t="n">
        <v>51</v>
      </c>
      <c r="Q180" s="34" t="s">
        <v>55</v>
      </c>
      <c r="R180" s="39" t="n">
        <f aca="false">AVERAGEA(Q180,S180)</f>
        <v>0</v>
      </c>
      <c r="S180" s="34" t="s">
        <v>55</v>
      </c>
      <c r="T180" s="37" t="s">
        <v>55</v>
      </c>
      <c r="U180" s="38" t="n">
        <f aca="false">AVERAGEA(T180,V180)</f>
        <v>0</v>
      </c>
      <c r="V180" s="36" t="s">
        <v>55</v>
      </c>
      <c r="W180" s="34" t="s">
        <v>55</v>
      </c>
      <c r="X180" s="39" t="n">
        <f aca="false">AVERAGEA(W180,Y180)</f>
        <v>0</v>
      </c>
      <c r="Y180" s="34" t="s">
        <v>55</v>
      </c>
      <c r="Z180" s="37" t="s">
        <v>55</v>
      </c>
      <c r="AA180" s="38"/>
      <c r="AB180" s="36" t="s">
        <v>55</v>
      </c>
      <c r="AC180" s="34" t="n">
        <v>35</v>
      </c>
      <c r="AD180" s="39" t="n">
        <f aca="false">AVERAGEA(AC180,AE180)</f>
        <v>42.5</v>
      </c>
      <c r="AE180" s="34" t="n">
        <v>50</v>
      </c>
      <c r="AF180" s="37" t="n">
        <v>0</v>
      </c>
      <c r="AG180" s="38" t="n">
        <f aca="false">AVERAGEA(AF180,AH180)</f>
        <v>0</v>
      </c>
      <c r="AH180" s="36" t="n">
        <v>0</v>
      </c>
      <c r="AI180" s="34" t="n">
        <v>20</v>
      </c>
      <c r="AJ180" s="39" t="n">
        <f aca="false">AVERAGEA(AI180,AK180)</f>
        <v>35</v>
      </c>
      <c r="AK180" s="34" t="n">
        <v>50</v>
      </c>
      <c r="AL180" s="37" t="n">
        <v>20</v>
      </c>
      <c r="AM180" s="38" t="n">
        <f aca="false">AVERAGEA(AL180,AN180)</f>
        <v>35</v>
      </c>
      <c r="AN180" s="36" t="n">
        <v>50</v>
      </c>
      <c r="AO180" s="34" t="n">
        <v>0</v>
      </c>
      <c r="AP180" s="39" t="n">
        <f aca="false">AVERAGEA(AO180,AQ180)</f>
        <v>0</v>
      </c>
      <c r="AQ180" s="34" t="n">
        <v>0</v>
      </c>
      <c r="AR180" s="37" t="n">
        <v>0</v>
      </c>
      <c r="AS180" s="38" t="n">
        <f aca="false">AVERAGEA(AR180,AT180)</f>
        <v>0</v>
      </c>
      <c r="AT180" s="36" t="n">
        <v>0</v>
      </c>
      <c r="AU180" s="34" t="n">
        <f aca="false">AU177*1.25</f>
        <v>3125</v>
      </c>
      <c r="AV180" s="39" t="n">
        <f aca="false">AVERAGEA(AU180,AW180)</f>
        <v>4562.5</v>
      </c>
      <c r="AW180" s="34" t="n">
        <f aca="false">AW177*1.5</f>
        <v>6000</v>
      </c>
      <c r="AX180" s="37" t="n">
        <f aca="false">AX177*1.2</f>
        <v>96</v>
      </c>
      <c r="AY180" s="38" t="n">
        <f aca="false">AVERAGEA(AX180,AZ180)</f>
        <v>146</v>
      </c>
      <c r="AZ180" s="36" t="n">
        <f aca="false">AZ177*1.4</f>
        <v>196</v>
      </c>
      <c r="BA180" s="34" t="n">
        <f aca="false">BA177*1.2</f>
        <v>6</v>
      </c>
      <c r="BB180" s="39" t="n">
        <f aca="false">AVERAGEA(BA180,BC180)</f>
        <v>11.4</v>
      </c>
      <c r="BC180" s="34" t="n">
        <f aca="false">BC177*1.4</f>
        <v>16.8</v>
      </c>
      <c r="BD180" s="37" t="n">
        <v>0</v>
      </c>
      <c r="BE180" s="38" t="n">
        <f aca="false">AVERAGEA(BD180,BF180)</f>
        <v>0</v>
      </c>
      <c r="BF180" s="36" t="n">
        <v>0</v>
      </c>
      <c r="BG180" s="34" t="n">
        <v>0</v>
      </c>
      <c r="BH180" s="39" t="n">
        <f aca="false">AVERAGEA(BG180,BI180)</f>
        <v>0</v>
      </c>
      <c r="BI180" s="34" t="n">
        <v>0</v>
      </c>
      <c r="BJ180" s="37" t="n">
        <v>0</v>
      </c>
      <c r="BK180" s="38" t="n">
        <f aca="false">AVERAGEA(BJ180,BL180)</f>
        <v>0</v>
      </c>
      <c r="BL180" s="36" t="n">
        <v>0</v>
      </c>
      <c r="BM180" s="34" t="n">
        <v>0</v>
      </c>
      <c r="BN180" s="39" t="n">
        <f aca="false">AVERAGEA(BM180,BO180)</f>
        <v>0</v>
      </c>
      <c r="BO180" s="34" t="n">
        <v>0</v>
      </c>
      <c r="BP180" s="37" t="n">
        <v>0</v>
      </c>
      <c r="BQ180" s="38" t="n">
        <f aca="false">AVERAGEA(BP180,BR180)</f>
        <v>0</v>
      </c>
      <c r="BR180" s="36" t="n">
        <v>0</v>
      </c>
      <c r="BS180" s="34" t="n">
        <v>0</v>
      </c>
      <c r="BT180" s="39" t="n">
        <f aca="false">AVERAGEA(BS180,BU180)</f>
        <v>0</v>
      </c>
      <c r="BU180" s="121" t="n">
        <v>0</v>
      </c>
      <c r="BV180" s="37" t="n">
        <v>0</v>
      </c>
      <c r="BW180" s="38" t="n">
        <f aca="false">AVERAGEA(BV180,BX180)</f>
        <v>0</v>
      </c>
      <c r="BX180" s="36" t="n">
        <v>0</v>
      </c>
      <c r="BY180" s="34"/>
      <c r="BZ180" s="39" t="e">
        <f aca="false">AVERAGEA(BY180,CA180)</f>
        <v>#DIV/0!</v>
      </c>
      <c r="CA180" s="121"/>
      <c r="CB180" s="37"/>
      <c r="CC180" s="38" t="e">
        <f aca="false">AVERAGEA(CB180,CD180)</f>
        <v>#DIV/0!</v>
      </c>
      <c r="CD180" s="36"/>
      <c r="CE180" s="34"/>
      <c r="CF180" s="39" t="e">
        <f aca="false">AVERAGEA(CE180,CG180)</f>
        <v>#DIV/0!</v>
      </c>
      <c r="CG180" s="121"/>
    </row>
    <row r="181" s="18" customFormat="true" ht="26.4" hidden="false" customHeight="true" outlineLevel="0" collapsed="false">
      <c r="B181" s="124"/>
      <c r="C181" s="132" t="s">
        <v>170</v>
      </c>
      <c r="D181" s="132" t="s">
        <v>171</v>
      </c>
      <c r="E181" s="131"/>
      <c r="F181" s="129" t="s">
        <v>172</v>
      </c>
      <c r="G181" s="133" t="s">
        <v>173</v>
      </c>
      <c r="H181" s="37"/>
      <c r="I181" s="38" t="e">
        <f aca="false">AVERAGEA(H181,J181)</f>
        <v>#DIV/0!</v>
      </c>
      <c r="J181" s="36"/>
      <c r="K181" s="34" t="s">
        <v>55</v>
      </c>
      <c r="L181" s="39" t="n">
        <f aca="false">AVERAGEA(M181, K181)</f>
        <v>0</v>
      </c>
      <c r="M181" s="34" t="s">
        <v>55</v>
      </c>
      <c r="N181" s="37" t="n">
        <v>35</v>
      </c>
      <c r="O181" s="38" t="n">
        <f aca="false">AVERAGEA(N181,P181)</f>
        <v>42.5</v>
      </c>
      <c r="P181" s="36" t="n">
        <v>50</v>
      </c>
      <c r="Q181" s="34" t="s">
        <v>55</v>
      </c>
      <c r="R181" s="39" t="n">
        <f aca="false">AVERAGEA(S181, Q181)</f>
        <v>0</v>
      </c>
      <c r="S181" s="34" t="s">
        <v>55</v>
      </c>
      <c r="T181" s="37" t="s">
        <v>55</v>
      </c>
      <c r="U181" s="38" t="n">
        <f aca="false">AVERAGEA(T181,V181)</f>
        <v>0</v>
      </c>
      <c r="V181" s="36" t="s">
        <v>55</v>
      </c>
      <c r="W181" s="34" t="s">
        <v>55</v>
      </c>
      <c r="X181" s="39" t="n">
        <f aca="false">AVERAGEA(W181,Y181)</f>
        <v>0</v>
      </c>
      <c r="Y181" s="34" t="s">
        <v>55</v>
      </c>
      <c r="Z181" s="37" t="s">
        <v>55</v>
      </c>
      <c r="AA181" s="38"/>
      <c r="AB181" s="36" t="s">
        <v>55</v>
      </c>
      <c r="AC181" s="34" t="n">
        <v>26</v>
      </c>
      <c r="AD181" s="39" t="n">
        <f aca="false">AVERAGEA(AE181, AC181)</f>
        <v>37</v>
      </c>
      <c r="AE181" s="34" t="n">
        <v>48</v>
      </c>
      <c r="AF181" s="37" t="n">
        <v>0</v>
      </c>
      <c r="AG181" s="38" t="n">
        <f aca="false">AVERAGEA(AF181,AH181)</f>
        <v>0</v>
      </c>
      <c r="AH181" s="36" t="n">
        <v>0</v>
      </c>
      <c r="AI181" s="34" t="n">
        <v>15</v>
      </c>
      <c r="AJ181" s="39" t="n">
        <f aca="false">AVERAGEA(AK181, AI181)</f>
        <v>27.5</v>
      </c>
      <c r="AK181" s="34" t="n">
        <v>40</v>
      </c>
      <c r="AL181" s="37" t="n">
        <v>15</v>
      </c>
      <c r="AM181" s="38" t="n">
        <f aca="false">AVERAGEA(AL181,AN181)</f>
        <v>27.5</v>
      </c>
      <c r="AN181" s="36" t="n">
        <v>40</v>
      </c>
      <c r="AO181" s="34" t="n">
        <v>0</v>
      </c>
      <c r="AP181" s="39" t="n">
        <f aca="false">AVERAGEA(AQ181, AO181)</f>
        <v>0</v>
      </c>
      <c r="AQ181" s="34" t="n">
        <v>0</v>
      </c>
      <c r="AR181" s="37" t="n">
        <v>0</v>
      </c>
      <c r="AS181" s="38" t="n">
        <f aca="false">AVERAGEA(AT181, AR181)</f>
        <v>0</v>
      </c>
      <c r="AT181" s="36" t="n">
        <v>0</v>
      </c>
      <c r="AU181" s="34" t="n">
        <v>800</v>
      </c>
      <c r="AV181" s="39" t="n">
        <f aca="false">AVERAGEA(AU181,AW181)</f>
        <v>1050</v>
      </c>
      <c r="AW181" s="34" t="n">
        <v>1300</v>
      </c>
      <c r="AX181" s="37" t="n">
        <v>18</v>
      </c>
      <c r="AY181" s="38" t="n">
        <f aca="false">AVERAGEA(AZ181, AX181)</f>
        <v>29</v>
      </c>
      <c r="AZ181" s="36" t="n">
        <v>40</v>
      </c>
      <c r="BA181" s="34" t="n">
        <v>5</v>
      </c>
      <c r="BB181" s="39" t="n">
        <f aca="false">AVERAGEA(BA181,BC181)</f>
        <v>9.5</v>
      </c>
      <c r="BC181" s="34" t="n">
        <v>14</v>
      </c>
      <c r="BD181" s="37" t="n">
        <v>0</v>
      </c>
      <c r="BE181" s="38" t="n">
        <f aca="false">AVERAGEA(BF181, BD181)</f>
        <v>0</v>
      </c>
      <c r="BF181" s="37" t="n">
        <v>0</v>
      </c>
      <c r="BG181" s="34" t="n">
        <v>0</v>
      </c>
      <c r="BH181" s="39" t="n">
        <f aca="false">AVERAGEA(BG181,BI181)</f>
        <v>0</v>
      </c>
      <c r="BI181" s="34" t="n">
        <v>0</v>
      </c>
      <c r="BJ181" s="37" t="n">
        <v>0</v>
      </c>
      <c r="BK181" s="38" t="n">
        <f aca="false">AVERAGEA(BL181, BJ181)</f>
        <v>0</v>
      </c>
      <c r="BL181" s="37" t="n">
        <v>0</v>
      </c>
      <c r="BM181" s="34" t="n">
        <v>0</v>
      </c>
      <c r="BN181" s="39" t="n">
        <f aca="false">AVERAGEA(BM181,BO181)</f>
        <v>0</v>
      </c>
      <c r="BO181" s="34" t="n">
        <v>0</v>
      </c>
      <c r="BP181" s="37" t="n">
        <v>0</v>
      </c>
      <c r="BQ181" s="38" t="n">
        <f aca="false">AVERAGEA(BR181, BP181)</f>
        <v>0</v>
      </c>
      <c r="BR181" s="37" t="n">
        <v>0</v>
      </c>
      <c r="BS181" s="34" t="n">
        <v>0</v>
      </c>
      <c r="BT181" s="39" t="n">
        <f aca="false">AVERAGEA(BS181,BU181)</f>
        <v>0</v>
      </c>
      <c r="BU181" s="121" t="n">
        <v>0</v>
      </c>
      <c r="BV181" s="37" t="n">
        <v>0</v>
      </c>
      <c r="BW181" s="38" t="n">
        <f aca="false">AVERAGEA(BX181, BV181)</f>
        <v>0</v>
      </c>
      <c r="BX181" s="37" t="n">
        <v>0</v>
      </c>
      <c r="BY181" s="34"/>
      <c r="BZ181" s="39" t="e">
        <f aca="false">AVERAGEA(BY181,CA181)</f>
        <v>#DIV/0!</v>
      </c>
      <c r="CA181" s="121"/>
      <c r="CB181" s="37"/>
      <c r="CC181" s="38" t="e">
        <f aca="false">AVERAGEA(CD181, CB181)</f>
        <v>#DIV/0!</v>
      </c>
      <c r="CD181" s="37"/>
      <c r="CE181" s="34"/>
      <c r="CF181" s="39" t="e">
        <f aca="false">AVERAGEA(CE181,CG181)</f>
        <v>#DIV/0!</v>
      </c>
      <c r="CG181" s="121"/>
    </row>
    <row r="182" s="18" customFormat="true" ht="28.35" hidden="false" customHeight="false" outlineLevel="0" collapsed="false">
      <c r="B182" s="124"/>
      <c r="C182" s="132"/>
      <c r="D182" s="132"/>
      <c r="E182" s="131"/>
      <c r="F182" s="129" t="s">
        <v>174</v>
      </c>
      <c r="G182" s="133"/>
      <c r="H182" s="37"/>
      <c r="I182" s="38" t="e">
        <f aca="false">AVERAGEA(H182,J182)</f>
        <v>#DIV/0!</v>
      </c>
      <c r="J182" s="36"/>
      <c r="K182" s="34" t="s">
        <v>55</v>
      </c>
      <c r="L182" s="39" t="n">
        <f aca="false">AVERAGEA(M182, K182)</f>
        <v>0</v>
      </c>
      <c r="M182" s="34" t="s">
        <v>55</v>
      </c>
      <c r="N182" s="37" t="n">
        <v>30</v>
      </c>
      <c r="O182" s="38" t="n">
        <f aca="false">AVERAGEA(N182,P182)</f>
        <v>36</v>
      </c>
      <c r="P182" s="36" t="n">
        <v>42</v>
      </c>
      <c r="Q182" s="34" t="s">
        <v>55</v>
      </c>
      <c r="R182" s="39" t="n">
        <f aca="false">AVERAGEA(S182, Q182)</f>
        <v>0</v>
      </c>
      <c r="S182" s="34" t="s">
        <v>55</v>
      </c>
      <c r="T182" s="37" t="s">
        <v>55</v>
      </c>
      <c r="U182" s="38" t="n">
        <f aca="false">AVERAGEA(T182,V182)</f>
        <v>0</v>
      </c>
      <c r="V182" s="36" t="s">
        <v>55</v>
      </c>
      <c r="W182" s="34" t="s">
        <v>55</v>
      </c>
      <c r="X182" s="39" t="n">
        <f aca="false">AVERAGEA(W182,Y182)</f>
        <v>0</v>
      </c>
      <c r="Y182" s="34" t="s">
        <v>55</v>
      </c>
      <c r="Z182" s="37" t="s">
        <v>55</v>
      </c>
      <c r="AA182" s="38"/>
      <c r="AB182" s="36" t="s">
        <v>55</v>
      </c>
      <c r="AC182" s="34" t="n">
        <v>22</v>
      </c>
      <c r="AD182" s="39" t="n">
        <f aca="false">AVERAGEA(AE182, AC182)</f>
        <v>31</v>
      </c>
      <c r="AE182" s="34" t="n">
        <v>40</v>
      </c>
      <c r="AF182" s="37" t="n">
        <v>0</v>
      </c>
      <c r="AG182" s="38" t="n">
        <f aca="false">AVERAGEA(AF182,AH182)</f>
        <v>0</v>
      </c>
      <c r="AH182" s="36" t="n">
        <v>0</v>
      </c>
      <c r="AI182" s="34" t="n">
        <v>15</v>
      </c>
      <c r="AJ182" s="39" t="n">
        <f aca="false">AVERAGEA(AK182, AI182)</f>
        <v>27.5</v>
      </c>
      <c r="AK182" s="34" t="n">
        <v>40</v>
      </c>
      <c r="AL182" s="37" t="n">
        <v>15</v>
      </c>
      <c r="AM182" s="38" t="n">
        <f aca="false">AVERAGEA(AL182,AN182)</f>
        <v>27.5</v>
      </c>
      <c r="AN182" s="36" t="n">
        <v>40</v>
      </c>
      <c r="AO182" s="34" t="n">
        <v>0</v>
      </c>
      <c r="AP182" s="39" t="n">
        <f aca="false">AVERAGEA(AQ182, AO182)</f>
        <v>0</v>
      </c>
      <c r="AQ182" s="34" t="n">
        <v>0</v>
      </c>
      <c r="AR182" s="37" t="n">
        <v>0</v>
      </c>
      <c r="AS182" s="38" t="n">
        <f aca="false">AVERAGEA(AT182, AR182)</f>
        <v>0</v>
      </c>
      <c r="AT182" s="36" t="n">
        <v>0</v>
      </c>
      <c r="AU182" s="34" t="n">
        <v>900</v>
      </c>
      <c r="AV182" s="39" t="n">
        <f aca="false">AVERAGEA(AU182,AW182)</f>
        <v>1150</v>
      </c>
      <c r="AW182" s="34" t="n">
        <v>1400</v>
      </c>
      <c r="AX182" s="37" t="n">
        <v>20</v>
      </c>
      <c r="AY182" s="38" t="n">
        <f aca="false">AVERAGEA(AZ182, AX182)</f>
        <v>31</v>
      </c>
      <c r="AZ182" s="36" t="n">
        <v>42</v>
      </c>
      <c r="BA182" s="34" t="n">
        <v>6</v>
      </c>
      <c r="BB182" s="39" t="n">
        <f aca="false">AVERAGEA(BA182,BC182)</f>
        <v>10.5</v>
      </c>
      <c r="BC182" s="34" t="n">
        <v>15</v>
      </c>
      <c r="BD182" s="37" t="n">
        <v>0</v>
      </c>
      <c r="BE182" s="38" t="n">
        <f aca="false">AVERAGEA(BF182, BD182)</f>
        <v>0</v>
      </c>
      <c r="BF182" s="37" t="n">
        <v>0</v>
      </c>
      <c r="BG182" s="34" t="n">
        <v>0</v>
      </c>
      <c r="BH182" s="39" t="n">
        <f aca="false">AVERAGEA(BG182,BI182)</f>
        <v>0</v>
      </c>
      <c r="BI182" s="34" t="n">
        <v>0</v>
      </c>
      <c r="BJ182" s="37" t="n">
        <v>0</v>
      </c>
      <c r="BK182" s="38" t="n">
        <f aca="false">AVERAGEA(BL182, BJ182)</f>
        <v>0</v>
      </c>
      <c r="BL182" s="37" t="n">
        <v>0</v>
      </c>
      <c r="BM182" s="34" t="n">
        <v>0</v>
      </c>
      <c r="BN182" s="39" t="n">
        <f aca="false">AVERAGEA(BM182,BO182)</f>
        <v>0</v>
      </c>
      <c r="BO182" s="34" t="n">
        <v>0</v>
      </c>
      <c r="BP182" s="37" t="n">
        <v>0</v>
      </c>
      <c r="BQ182" s="38" t="n">
        <f aca="false">AVERAGEA(BR182, BP182)</f>
        <v>0</v>
      </c>
      <c r="BR182" s="37" t="n">
        <v>0</v>
      </c>
      <c r="BS182" s="34" t="n">
        <v>0</v>
      </c>
      <c r="BT182" s="39" t="n">
        <f aca="false">AVERAGEA(BS182,BU182)</f>
        <v>0</v>
      </c>
      <c r="BU182" s="121" t="n">
        <v>0</v>
      </c>
      <c r="BV182" s="37" t="n">
        <v>0</v>
      </c>
      <c r="BW182" s="38" t="n">
        <f aca="false">AVERAGEA(BX182, BV182)</f>
        <v>0</v>
      </c>
      <c r="BX182" s="37" t="n">
        <v>0</v>
      </c>
      <c r="BY182" s="34"/>
      <c r="BZ182" s="39" t="e">
        <f aca="false">AVERAGEA(BY182,CA182)</f>
        <v>#DIV/0!</v>
      </c>
      <c r="CA182" s="121"/>
      <c r="CB182" s="37"/>
      <c r="CC182" s="38" t="e">
        <f aca="false">AVERAGEA(CD182, CB182)</f>
        <v>#DIV/0!</v>
      </c>
      <c r="CD182" s="37"/>
      <c r="CE182" s="34"/>
      <c r="CF182" s="39" t="e">
        <f aca="false">AVERAGEA(CE182,CG182)</f>
        <v>#DIV/0!</v>
      </c>
      <c r="CG182" s="121"/>
    </row>
    <row r="183" s="18" customFormat="true" ht="28.35" hidden="false" customHeight="false" outlineLevel="0" collapsed="false">
      <c r="B183" s="124"/>
      <c r="C183" s="132"/>
      <c r="D183" s="132"/>
      <c r="E183" s="131"/>
      <c r="F183" s="129" t="s">
        <v>175</v>
      </c>
      <c r="G183" s="133"/>
      <c r="H183" s="37"/>
      <c r="I183" s="38" t="e">
        <f aca="false">AVERAGEA(H183,J183)</f>
        <v>#DIV/0!</v>
      </c>
      <c r="J183" s="36"/>
      <c r="K183" s="34" t="s">
        <v>55</v>
      </c>
      <c r="L183" s="39" t="n">
        <f aca="false">AVERAGEA(M183, K183)</f>
        <v>0</v>
      </c>
      <c r="M183" s="34" t="s">
        <v>55</v>
      </c>
      <c r="N183" s="37" t="n">
        <v>28</v>
      </c>
      <c r="O183" s="38" t="n">
        <f aca="false">AVERAGEA(N183,P183)</f>
        <v>33</v>
      </c>
      <c r="P183" s="36" t="n">
        <v>38</v>
      </c>
      <c r="Q183" s="34" t="s">
        <v>55</v>
      </c>
      <c r="R183" s="39" t="n">
        <f aca="false">AVERAGEA(S183, Q183)</f>
        <v>0</v>
      </c>
      <c r="S183" s="34" t="s">
        <v>55</v>
      </c>
      <c r="T183" s="37" t="s">
        <v>55</v>
      </c>
      <c r="U183" s="38" t="n">
        <f aca="false">AVERAGEA(T183,V183)</f>
        <v>0</v>
      </c>
      <c r="V183" s="36" t="s">
        <v>55</v>
      </c>
      <c r="W183" s="34" t="s">
        <v>55</v>
      </c>
      <c r="X183" s="39" t="n">
        <f aca="false">AVERAGEA(W183,Y183)</f>
        <v>0</v>
      </c>
      <c r="Y183" s="34" t="s">
        <v>55</v>
      </c>
      <c r="Z183" s="37" t="s">
        <v>55</v>
      </c>
      <c r="AA183" s="38"/>
      <c r="AB183" s="36" t="s">
        <v>55</v>
      </c>
      <c r="AC183" s="34" t="n">
        <v>20</v>
      </c>
      <c r="AD183" s="39" t="n">
        <f aca="false">AVERAGEA(AE183, AC183)</f>
        <v>27.5</v>
      </c>
      <c r="AE183" s="34" t="n">
        <v>35</v>
      </c>
      <c r="AF183" s="37" t="n">
        <v>0</v>
      </c>
      <c r="AG183" s="38" t="n">
        <f aca="false">AVERAGEA(AF183,AH183)</f>
        <v>0</v>
      </c>
      <c r="AH183" s="36" t="n">
        <v>0</v>
      </c>
      <c r="AI183" s="34" t="n">
        <v>15</v>
      </c>
      <c r="AJ183" s="39" t="n">
        <f aca="false">AVERAGEA(AK183, AI183)</f>
        <v>27.5</v>
      </c>
      <c r="AK183" s="34" t="n">
        <v>40</v>
      </c>
      <c r="AL183" s="37" t="n">
        <v>15</v>
      </c>
      <c r="AM183" s="38" t="n">
        <f aca="false">AVERAGEA(AL183,AN183)</f>
        <v>27.5</v>
      </c>
      <c r="AN183" s="36" t="n">
        <v>40</v>
      </c>
      <c r="AO183" s="34" t="n">
        <v>0</v>
      </c>
      <c r="AP183" s="39" t="n">
        <f aca="false">AVERAGEA(AQ183, AO183)</f>
        <v>0</v>
      </c>
      <c r="AQ183" s="34" t="n">
        <v>0</v>
      </c>
      <c r="AR183" s="37" t="n">
        <v>0</v>
      </c>
      <c r="AS183" s="38" t="n">
        <f aca="false">AVERAGEA(AT183, AR183)</f>
        <v>0</v>
      </c>
      <c r="AT183" s="36" t="n">
        <v>0</v>
      </c>
      <c r="AU183" s="34" t="n">
        <v>1000</v>
      </c>
      <c r="AV183" s="39" t="n">
        <f aca="false">AVERAGEA(AU183,AW183)</f>
        <v>1250</v>
      </c>
      <c r="AW183" s="34" t="n">
        <v>1500</v>
      </c>
      <c r="AX183" s="37" t="n">
        <v>22</v>
      </c>
      <c r="AY183" s="38" t="n">
        <f aca="false">AVERAGEA(AZ183, AX183)</f>
        <v>33.5</v>
      </c>
      <c r="AZ183" s="36" t="n">
        <v>45</v>
      </c>
      <c r="BA183" s="34" t="n">
        <v>7</v>
      </c>
      <c r="BB183" s="39" t="n">
        <f aca="false">AVERAGEA(BA183,BC183)</f>
        <v>11.5</v>
      </c>
      <c r="BC183" s="34" t="n">
        <v>16</v>
      </c>
      <c r="BD183" s="37" t="n">
        <v>0</v>
      </c>
      <c r="BE183" s="38" t="n">
        <f aca="false">AVERAGEA(BF183, BD183)</f>
        <v>0</v>
      </c>
      <c r="BF183" s="37" t="n">
        <v>0</v>
      </c>
      <c r="BG183" s="34" t="n">
        <v>0</v>
      </c>
      <c r="BH183" s="39" t="n">
        <f aca="false">AVERAGEA(BG183,BI183)</f>
        <v>0</v>
      </c>
      <c r="BI183" s="34" t="n">
        <v>0</v>
      </c>
      <c r="BJ183" s="37" t="n">
        <v>0</v>
      </c>
      <c r="BK183" s="38" t="n">
        <f aca="false">AVERAGEA(BL183, BJ183)</f>
        <v>0</v>
      </c>
      <c r="BL183" s="37" t="n">
        <v>0</v>
      </c>
      <c r="BM183" s="34" t="n">
        <v>0</v>
      </c>
      <c r="BN183" s="39" t="n">
        <f aca="false">AVERAGEA(BM183,BO183)</f>
        <v>0</v>
      </c>
      <c r="BO183" s="34" t="n">
        <v>0</v>
      </c>
      <c r="BP183" s="37" t="n">
        <v>0</v>
      </c>
      <c r="BQ183" s="38" t="n">
        <f aca="false">AVERAGEA(BR183, BP183)</f>
        <v>0</v>
      </c>
      <c r="BR183" s="37" t="n">
        <v>0</v>
      </c>
      <c r="BS183" s="34" t="n">
        <v>0</v>
      </c>
      <c r="BT183" s="39" t="n">
        <f aca="false">AVERAGEA(BS183,BU183)</f>
        <v>0</v>
      </c>
      <c r="BU183" s="121" t="n">
        <v>0</v>
      </c>
      <c r="BV183" s="37" t="n">
        <v>0</v>
      </c>
      <c r="BW183" s="38" t="n">
        <f aca="false">AVERAGEA(BX183, BV183)</f>
        <v>0</v>
      </c>
      <c r="BX183" s="37" t="n">
        <v>0</v>
      </c>
      <c r="BY183" s="34"/>
      <c r="BZ183" s="39" t="e">
        <f aca="false">AVERAGEA(BY183,CA183)</f>
        <v>#DIV/0!</v>
      </c>
      <c r="CA183" s="121"/>
      <c r="CB183" s="37"/>
      <c r="CC183" s="38" t="e">
        <f aca="false">AVERAGEA(CD183, CB183)</f>
        <v>#DIV/0!</v>
      </c>
      <c r="CD183" s="37"/>
      <c r="CE183" s="34"/>
      <c r="CF183" s="39" t="e">
        <f aca="false">AVERAGEA(CE183,CG183)</f>
        <v>#DIV/0!</v>
      </c>
      <c r="CG183" s="121"/>
    </row>
    <row r="184" s="18" customFormat="true" ht="28.35" hidden="false" customHeight="false" outlineLevel="0" collapsed="false">
      <c r="B184" s="124"/>
      <c r="C184" s="132"/>
      <c r="D184" s="132"/>
      <c r="E184" s="131"/>
      <c r="F184" s="129" t="s">
        <v>176</v>
      </c>
      <c r="G184" s="133"/>
      <c r="H184" s="37"/>
      <c r="I184" s="38" t="e">
        <f aca="false">AVERAGEA(H184,J184)</f>
        <v>#DIV/0!</v>
      </c>
      <c r="J184" s="36"/>
      <c r="K184" s="34" t="s">
        <v>55</v>
      </c>
      <c r="L184" s="39" t="n">
        <f aca="false">AVERAGEA(K184,M184)</f>
        <v>0</v>
      </c>
      <c r="M184" s="34" t="s">
        <v>55</v>
      </c>
      <c r="N184" s="37" t="n">
        <v>25</v>
      </c>
      <c r="O184" s="38" t="n">
        <f aca="false">AVERAGEA(N184,P184)</f>
        <v>30</v>
      </c>
      <c r="P184" s="36" t="n">
        <v>35</v>
      </c>
      <c r="Q184" s="34" t="s">
        <v>55</v>
      </c>
      <c r="R184" s="39" t="n">
        <f aca="false">AVERAGEA(Q184,S184)</f>
        <v>0</v>
      </c>
      <c r="S184" s="34" t="s">
        <v>55</v>
      </c>
      <c r="T184" s="37" t="s">
        <v>55</v>
      </c>
      <c r="U184" s="38" t="n">
        <f aca="false">AVERAGEA(T184,V184)</f>
        <v>0</v>
      </c>
      <c r="V184" s="36" t="s">
        <v>55</v>
      </c>
      <c r="W184" s="34" t="s">
        <v>55</v>
      </c>
      <c r="X184" s="39" t="n">
        <f aca="false">AVERAGEA(W184,Y184)</f>
        <v>0</v>
      </c>
      <c r="Y184" s="34" t="s">
        <v>55</v>
      </c>
      <c r="Z184" s="37" t="s">
        <v>55</v>
      </c>
      <c r="AA184" s="38"/>
      <c r="AB184" s="36" t="s">
        <v>55</v>
      </c>
      <c r="AC184" s="34" t="n">
        <v>18</v>
      </c>
      <c r="AD184" s="39" t="n">
        <f aca="false">AVERAGEA(AC184,AE184)</f>
        <v>25</v>
      </c>
      <c r="AE184" s="34" t="n">
        <v>32</v>
      </c>
      <c r="AF184" s="37" t="n">
        <v>0</v>
      </c>
      <c r="AG184" s="38" t="n">
        <f aca="false">AVERAGEA(AF184,AH184)</f>
        <v>0</v>
      </c>
      <c r="AH184" s="36" t="n">
        <v>0</v>
      </c>
      <c r="AI184" s="34" t="n">
        <v>15</v>
      </c>
      <c r="AJ184" s="39" t="n">
        <f aca="false">AVERAGEA(AI184,AK184)</f>
        <v>27.5</v>
      </c>
      <c r="AK184" s="34" t="n">
        <v>40</v>
      </c>
      <c r="AL184" s="37" t="n">
        <v>15</v>
      </c>
      <c r="AM184" s="38" t="n">
        <f aca="false">AVERAGEA(AL184,AN184)</f>
        <v>27.5</v>
      </c>
      <c r="AN184" s="36" t="n">
        <v>40</v>
      </c>
      <c r="AO184" s="34" t="n">
        <v>0</v>
      </c>
      <c r="AP184" s="39" t="n">
        <f aca="false">AVERAGEA(AO184,AQ184)</f>
        <v>0</v>
      </c>
      <c r="AQ184" s="34" t="n">
        <v>0</v>
      </c>
      <c r="AR184" s="37" t="n">
        <v>0</v>
      </c>
      <c r="AS184" s="38" t="n">
        <f aca="false">AVERAGEA(AR184,AT184)</f>
        <v>0</v>
      </c>
      <c r="AT184" s="36" t="n">
        <v>0</v>
      </c>
      <c r="AU184" s="34" t="n">
        <v>1100</v>
      </c>
      <c r="AV184" s="39" t="n">
        <f aca="false">AVERAGEA(AU184,AW184)</f>
        <v>1350</v>
      </c>
      <c r="AW184" s="34" t="n">
        <v>1600</v>
      </c>
      <c r="AX184" s="37" t="n">
        <v>25</v>
      </c>
      <c r="AY184" s="38" t="n">
        <f aca="false">AVERAGEA(AX184,AZ184)</f>
        <v>37.5</v>
      </c>
      <c r="AZ184" s="36" t="n">
        <v>50</v>
      </c>
      <c r="BA184" s="34" t="n">
        <v>8</v>
      </c>
      <c r="BB184" s="39" t="n">
        <f aca="false">AVERAGEA(BA184,BC184)</f>
        <v>13</v>
      </c>
      <c r="BC184" s="34" t="n">
        <v>18</v>
      </c>
      <c r="BD184" s="37" t="n">
        <v>0</v>
      </c>
      <c r="BE184" s="38" t="n">
        <f aca="false">AVERAGEA(BD184,BF184)</f>
        <v>0</v>
      </c>
      <c r="BF184" s="37" t="n">
        <v>0</v>
      </c>
      <c r="BG184" s="34" t="n">
        <v>0</v>
      </c>
      <c r="BH184" s="39" t="n">
        <f aca="false">AVERAGEA(BG184,BI184)</f>
        <v>0</v>
      </c>
      <c r="BI184" s="34" t="n">
        <v>0</v>
      </c>
      <c r="BJ184" s="37" t="n">
        <v>0</v>
      </c>
      <c r="BK184" s="38" t="n">
        <f aca="false">AVERAGEA(BJ184,BL184)</f>
        <v>0</v>
      </c>
      <c r="BL184" s="37" t="n">
        <v>0</v>
      </c>
      <c r="BM184" s="34" t="n">
        <v>0</v>
      </c>
      <c r="BN184" s="39" t="n">
        <f aca="false">AVERAGEA(BM184,BO184)</f>
        <v>0</v>
      </c>
      <c r="BO184" s="34" t="n">
        <v>0</v>
      </c>
      <c r="BP184" s="37" t="n">
        <v>0</v>
      </c>
      <c r="BQ184" s="38" t="n">
        <f aca="false">AVERAGEA(BP184,BR184)</f>
        <v>0</v>
      </c>
      <c r="BR184" s="37" t="n">
        <v>0</v>
      </c>
      <c r="BS184" s="34" t="n">
        <v>0</v>
      </c>
      <c r="BT184" s="39" t="n">
        <f aca="false">AVERAGEA(BS184,BU184)</f>
        <v>0</v>
      </c>
      <c r="BU184" s="121" t="n">
        <v>0</v>
      </c>
      <c r="BV184" s="37" t="n">
        <v>0</v>
      </c>
      <c r="BW184" s="38" t="n">
        <f aca="false">AVERAGEA(BV184,BX184)</f>
        <v>0</v>
      </c>
      <c r="BX184" s="37" t="n">
        <v>0</v>
      </c>
      <c r="BY184" s="34"/>
      <c r="BZ184" s="39" t="e">
        <f aca="false">AVERAGEA(BY184,CA184)</f>
        <v>#DIV/0!</v>
      </c>
      <c r="CA184" s="121"/>
      <c r="CB184" s="37"/>
      <c r="CC184" s="38" t="e">
        <f aca="false">AVERAGEA(CB184,CD184)</f>
        <v>#DIV/0!</v>
      </c>
      <c r="CD184" s="37"/>
      <c r="CE184" s="34"/>
      <c r="CF184" s="39" t="e">
        <f aca="false">AVERAGEA(CE184,CG184)</f>
        <v>#DIV/0!</v>
      </c>
      <c r="CG184" s="121"/>
    </row>
    <row r="185" s="18" customFormat="true" ht="26.4" hidden="false" customHeight="true" outlineLevel="0" collapsed="false">
      <c r="B185" s="124"/>
      <c r="C185" s="132" t="s">
        <v>177</v>
      </c>
      <c r="D185" s="132" t="s">
        <v>171</v>
      </c>
      <c r="E185" s="131"/>
      <c r="F185" s="129" t="s">
        <v>172</v>
      </c>
      <c r="G185" s="133" t="s">
        <v>178</v>
      </c>
      <c r="H185" s="37"/>
      <c r="I185" s="38" t="e">
        <f aca="false">AVERAGEA(H185,J185)</f>
        <v>#DIV/0!</v>
      </c>
      <c r="J185" s="36"/>
      <c r="K185" s="34" t="s">
        <v>55</v>
      </c>
      <c r="L185" s="39" t="n">
        <f aca="false">AVERAGEA(M185, K185)</f>
        <v>0</v>
      </c>
      <c r="M185" s="34" t="s">
        <v>55</v>
      </c>
      <c r="N185" s="37" t="n">
        <v>35</v>
      </c>
      <c r="O185" s="38" t="n">
        <f aca="false">AVERAGEA(N185,P185)</f>
        <v>42.5</v>
      </c>
      <c r="P185" s="36" t="n">
        <v>50</v>
      </c>
      <c r="Q185" s="34" t="s">
        <v>55</v>
      </c>
      <c r="R185" s="39" t="n">
        <f aca="false">AVERAGEA(S185, Q185)</f>
        <v>0</v>
      </c>
      <c r="S185" s="34" t="s">
        <v>55</v>
      </c>
      <c r="T185" s="37" t="s">
        <v>55</v>
      </c>
      <c r="U185" s="38" t="n">
        <f aca="false">AVERAGEA(T185,V185)</f>
        <v>0</v>
      </c>
      <c r="V185" s="36" t="s">
        <v>55</v>
      </c>
      <c r="W185" s="34" t="s">
        <v>55</v>
      </c>
      <c r="X185" s="39" t="n">
        <f aca="false">AVERAGEA(W185,Y185)</f>
        <v>0</v>
      </c>
      <c r="Y185" s="34" t="s">
        <v>55</v>
      </c>
      <c r="Z185" s="37" t="s">
        <v>55</v>
      </c>
      <c r="AA185" s="38"/>
      <c r="AB185" s="36" t="s">
        <v>55</v>
      </c>
      <c r="AC185" s="34" t="n">
        <f aca="false">AC181*1.23</f>
        <v>31.98</v>
      </c>
      <c r="AD185" s="39" t="n">
        <f aca="false">AVERAGEA(AE185, AC185)</f>
        <v>45.51</v>
      </c>
      <c r="AE185" s="34" t="n">
        <f aca="false">AE181*1.23</f>
        <v>59.04</v>
      </c>
      <c r="AF185" s="37" t="n">
        <v>0</v>
      </c>
      <c r="AG185" s="38" t="n">
        <f aca="false">AVERAGEA(AF185,AH185)</f>
        <v>0</v>
      </c>
      <c r="AH185" s="36" t="n">
        <v>0</v>
      </c>
      <c r="AI185" s="34" t="n">
        <v>15</v>
      </c>
      <c r="AJ185" s="39" t="n">
        <f aca="false">AVERAGEA(AK185, AI185)</f>
        <v>27.5</v>
      </c>
      <c r="AK185" s="34" t="n">
        <v>40</v>
      </c>
      <c r="AL185" s="37" t="n">
        <v>15</v>
      </c>
      <c r="AM185" s="38" t="n">
        <f aca="false">AVERAGEA(AL185,AN185)</f>
        <v>27.5</v>
      </c>
      <c r="AN185" s="36" t="n">
        <v>40</v>
      </c>
      <c r="AO185" s="34" t="n">
        <v>0</v>
      </c>
      <c r="AP185" s="39" t="n">
        <f aca="false">AVERAGEA(AQ185, AO185)</f>
        <v>0</v>
      </c>
      <c r="AQ185" s="34" t="n">
        <v>0</v>
      </c>
      <c r="AR185" s="37" t="n">
        <v>0</v>
      </c>
      <c r="AS185" s="38" t="n">
        <f aca="false">AVERAGEA(AT185, AR185)</f>
        <v>0</v>
      </c>
      <c r="AT185" s="36" t="n">
        <v>0</v>
      </c>
      <c r="AU185" s="34" t="n">
        <v>800</v>
      </c>
      <c r="AV185" s="39" t="n">
        <f aca="false">AVERAGEA(AU185,AW185)</f>
        <v>1050</v>
      </c>
      <c r="AW185" s="34" t="n">
        <v>1300</v>
      </c>
      <c r="AX185" s="37" t="n">
        <v>18</v>
      </c>
      <c r="AY185" s="38" t="n">
        <f aca="false">AVERAGEA(AZ185, AX185)</f>
        <v>29</v>
      </c>
      <c r="AZ185" s="36" t="n">
        <v>40</v>
      </c>
      <c r="BA185" s="34" t="n">
        <v>5</v>
      </c>
      <c r="BB185" s="39" t="n">
        <f aca="false">AVERAGEA(BA185,BC185)</f>
        <v>9.5</v>
      </c>
      <c r="BC185" s="34" t="n">
        <v>14</v>
      </c>
      <c r="BD185" s="37" t="n">
        <v>0</v>
      </c>
      <c r="BE185" s="38" t="n">
        <f aca="false">AVERAGEA(BF185, BD185)</f>
        <v>0</v>
      </c>
      <c r="BF185" s="37" t="n">
        <v>0</v>
      </c>
      <c r="BG185" s="34" t="n">
        <v>0</v>
      </c>
      <c r="BH185" s="39" t="n">
        <f aca="false">AVERAGEA(BG185,BI185)</f>
        <v>0</v>
      </c>
      <c r="BI185" s="34" t="n">
        <v>0</v>
      </c>
      <c r="BJ185" s="37" t="n">
        <v>0</v>
      </c>
      <c r="BK185" s="38" t="n">
        <f aca="false">AVERAGEA(BL185, BJ185)</f>
        <v>0</v>
      </c>
      <c r="BL185" s="37" t="n">
        <v>0</v>
      </c>
      <c r="BM185" s="34" t="n">
        <v>0</v>
      </c>
      <c r="BN185" s="39" t="n">
        <f aca="false">AVERAGEA(BM185,BO185)</f>
        <v>0</v>
      </c>
      <c r="BO185" s="34" t="n">
        <v>0</v>
      </c>
      <c r="BP185" s="37" t="n">
        <v>0</v>
      </c>
      <c r="BQ185" s="38" t="n">
        <f aca="false">AVERAGEA(BR185, BP185)</f>
        <v>0</v>
      </c>
      <c r="BR185" s="37" t="n">
        <v>0</v>
      </c>
      <c r="BS185" s="34" t="n">
        <v>0</v>
      </c>
      <c r="BT185" s="39" t="n">
        <f aca="false">AVERAGEA(BS185,BU185)</f>
        <v>0</v>
      </c>
      <c r="BU185" s="121" t="n">
        <v>0</v>
      </c>
      <c r="BV185" s="37" t="n">
        <v>0</v>
      </c>
      <c r="BW185" s="38" t="n">
        <f aca="false">AVERAGEA(BX185, BV185)</f>
        <v>0</v>
      </c>
      <c r="BX185" s="37" t="n">
        <v>0</v>
      </c>
      <c r="BY185" s="34"/>
      <c r="BZ185" s="39" t="e">
        <f aca="false">AVERAGEA(BY185,CA185)</f>
        <v>#DIV/0!</v>
      </c>
      <c r="CA185" s="121"/>
      <c r="CB185" s="37"/>
      <c r="CC185" s="38" t="e">
        <f aca="false">AVERAGEA(CD185, CB185)</f>
        <v>#DIV/0!</v>
      </c>
      <c r="CD185" s="37"/>
      <c r="CE185" s="34"/>
      <c r="CF185" s="39" t="e">
        <f aca="false">AVERAGEA(CE185,CG185)</f>
        <v>#DIV/0!</v>
      </c>
      <c r="CG185" s="121"/>
    </row>
    <row r="186" s="18" customFormat="true" ht="28.35" hidden="false" customHeight="false" outlineLevel="0" collapsed="false">
      <c r="B186" s="124"/>
      <c r="C186" s="132"/>
      <c r="D186" s="132"/>
      <c r="E186" s="131"/>
      <c r="F186" s="129" t="s">
        <v>174</v>
      </c>
      <c r="G186" s="133"/>
      <c r="H186" s="37"/>
      <c r="I186" s="38" t="e">
        <f aca="false">AVERAGEA(H186,J186)</f>
        <v>#DIV/0!</v>
      </c>
      <c r="J186" s="36"/>
      <c r="K186" s="34" t="s">
        <v>55</v>
      </c>
      <c r="L186" s="39" t="n">
        <f aca="false">AVERAGEA(M186, K186)</f>
        <v>0</v>
      </c>
      <c r="M186" s="34" t="s">
        <v>55</v>
      </c>
      <c r="N186" s="37" t="n">
        <v>30</v>
      </c>
      <c r="O186" s="38" t="n">
        <f aca="false">AVERAGEA(N186,P186)</f>
        <v>36</v>
      </c>
      <c r="P186" s="36" t="n">
        <v>42</v>
      </c>
      <c r="Q186" s="34" t="s">
        <v>55</v>
      </c>
      <c r="R186" s="39" t="n">
        <f aca="false">AVERAGEA(S186, Q186)</f>
        <v>0</v>
      </c>
      <c r="S186" s="34" t="s">
        <v>55</v>
      </c>
      <c r="T186" s="37" t="s">
        <v>55</v>
      </c>
      <c r="U186" s="38" t="n">
        <f aca="false">AVERAGEA(T186,V186)</f>
        <v>0</v>
      </c>
      <c r="V186" s="36" t="s">
        <v>55</v>
      </c>
      <c r="W186" s="34" t="s">
        <v>55</v>
      </c>
      <c r="X186" s="39" t="n">
        <f aca="false">AVERAGEA(W186,Y186)</f>
        <v>0</v>
      </c>
      <c r="Y186" s="34" t="s">
        <v>55</v>
      </c>
      <c r="Z186" s="37" t="s">
        <v>55</v>
      </c>
      <c r="AA186" s="38"/>
      <c r="AB186" s="36" t="s">
        <v>55</v>
      </c>
      <c r="AC186" s="34" t="n">
        <f aca="false">AC182*1.23</f>
        <v>27.06</v>
      </c>
      <c r="AD186" s="39" t="n">
        <f aca="false">AVERAGEA(AE186, AC186)</f>
        <v>38.13</v>
      </c>
      <c r="AE186" s="34" t="n">
        <f aca="false">AE182*1.23</f>
        <v>49.2</v>
      </c>
      <c r="AF186" s="37" t="n">
        <v>0</v>
      </c>
      <c r="AG186" s="38" t="n">
        <f aca="false">AVERAGEA(AF186,AH186)</f>
        <v>0</v>
      </c>
      <c r="AH186" s="36" t="n">
        <v>0</v>
      </c>
      <c r="AI186" s="34" t="n">
        <v>15</v>
      </c>
      <c r="AJ186" s="39" t="n">
        <f aca="false">AVERAGEA(AK186, AI186)</f>
        <v>27.5</v>
      </c>
      <c r="AK186" s="34" t="n">
        <v>40</v>
      </c>
      <c r="AL186" s="37" t="n">
        <v>15</v>
      </c>
      <c r="AM186" s="38" t="n">
        <f aca="false">AVERAGEA(AL186,AN186)</f>
        <v>27.5</v>
      </c>
      <c r="AN186" s="36" t="n">
        <v>40</v>
      </c>
      <c r="AO186" s="34" t="n">
        <v>0</v>
      </c>
      <c r="AP186" s="39" t="n">
        <f aca="false">AVERAGEA(AQ186, AO186)</f>
        <v>0</v>
      </c>
      <c r="AQ186" s="34" t="n">
        <v>0</v>
      </c>
      <c r="AR186" s="37" t="n">
        <v>0</v>
      </c>
      <c r="AS186" s="38" t="n">
        <f aca="false">AVERAGEA(AT186, AR186)</f>
        <v>0</v>
      </c>
      <c r="AT186" s="36" t="n">
        <v>0</v>
      </c>
      <c r="AU186" s="34" t="n">
        <v>900</v>
      </c>
      <c r="AV186" s="39" t="n">
        <f aca="false">AVERAGEA(AU186,AW186)</f>
        <v>1150</v>
      </c>
      <c r="AW186" s="34" t="n">
        <v>1400</v>
      </c>
      <c r="AX186" s="37" t="n">
        <v>20</v>
      </c>
      <c r="AY186" s="38" t="n">
        <f aca="false">AVERAGEA(AZ186, AX186)</f>
        <v>31</v>
      </c>
      <c r="AZ186" s="36" t="n">
        <v>42</v>
      </c>
      <c r="BA186" s="34" t="n">
        <v>6</v>
      </c>
      <c r="BB186" s="39" t="n">
        <f aca="false">AVERAGEA(BA186,BC186)</f>
        <v>10.5</v>
      </c>
      <c r="BC186" s="34" t="n">
        <v>15</v>
      </c>
      <c r="BD186" s="37" t="n">
        <v>0</v>
      </c>
      <c r="BE186" s="38" t="n">
        <f aca="false">AVERAGEA(BF186, BD186)</f>
        <v>0</v>
      </c>
      <c r="BF186" s="37" t="n">
        <v>0</v>
      </c>
      <c r="BG186" s="34" t="n">
        <v>0</v>
      </c>
      <c r="BH186" s="39" t="n">
        <f aca="false">AVERAGEA(BG186,BI186)</f>
        <v>0</v>
      </c>
      <c r="BI186" s="34" t="n">
        <v>0</v>
      </c>
      <c r="BJ186" s="37" t="n">
        <v>0</v>
      </c>
      <c r="BK186" s="38" t="n">
        <f aca="false">AVERAGEA(BL186, BJ186)</f>
        <v>0</v>
      </c>
      <c r="BL186" s="37" t="n">
        <v>0</v>
      </c>
      <c r="BM186" s="34" t="n">
        <v>0</v>
      </c>
      <c r="BN186" s="39" t="n">
        <f aca="false">AVERAGEA(BM186,BO186)</f>
        <v>0</v>
      </c>
      <c r="BO186" s="34" t="n">
        <v>0</v>
      </c>
      <c r="BP186" s="37" t="n">
        <v>0</v>
      </c>
      <c r="BQ186" s="38" t="n">
        <f aca="false">AVERAGEA(BR186, BP186)</f>
        <v>0</v>
      </c>
      <c r="BR186" s="37" t="n">
        <v>0</v>
      </c>
      <c r="BS186" s="34" t="n">
        <v>0</v>
      </c>
      <c r="BT186" s="39" t="n">
        <f aca="false">AVERAGEA(BS186,BU186)</f>
        <v>0</v>
      </c>
      <c r="BU186" s="121" t="n">
        <v>0</v>
      </c>
      <c r="BV186" s="37" t="n">
        <v>0</v>
      </c>
      <c r="BW186" s="38" t="n">
        <f aca="false">AVERAGEA(BX186, BV186)</f>
        <v>0</v>
      </c>
      <c r="BX186" s="37" t="n">
        <v>0</v>
      </c>
      <c r="BY186" s="34"/>
      <c r="BZ186" s="39" t="e">
        <f aca="false">AVERAGEA(BY186,CA186)</f>
        <v>#DIV/0!</v>
      </c>
      <c r="CA186" s="121"/>
      <c r="CB186" s="37"/>
      <c r="CC186" s="38" t="e">
        <f aca="false">AVERAGEA(CD186, CB186)</f>
        <v>#DIV/0!</v>
      </c>
      <c r="CD186" s="37"/>
      <c r="CE186" s="34"/>
      <c r="CF186" s="39" t="e">
        <f aca="false">AVERAGEA(CE186,CG186)</f>
        <v>#DIV/0!</v>
      </c>
      <c r="CG186" s="121"/>
    </row>
    <row r="187" s="18" customFormat="true" ht="28.35" hidden="false" customHeight="false" outlineLevel="0" collapsed="false">
      <c r="B187" s="124"/>
      <c r="C187" s="132"/>
      <c r="D187" s="132"/>
      <c r="E187" s="131"/>
      <c r="F187" s="129" t="s">
        <v>175</v>
      </c>
      <c r="G187" s="133"/>
      <c r="H187" s="37"/>
      <c r="I187" s="38" t="e">
        <f aca="false">AVERAGEA(H187,J187)</f>
        <v>#DIV/0!</v>
      </c>
      <c r="J187" s="36"/>
      <c r="K187" s="34" t="s">
        <v>55</v>
      </c>
      <c r="L187" s="39" t="n">
        <f aca="false">AVERAGEA(M187, K187)</f>
        <v>0</v>
      </c>
      <c r="M187" s="34" t="s">
        <v>55</v>
      </c>
      <c r="N187" s="37" t="n">
        <v>28</v>
      </c>
      <c r="O187" s="38" t="n">
        <f aca="false">AVERAGEA(N187,P187)</f>
        <v>33</v>
      </c>
      <c r="P187" s="36" t="n">
        <v>38</v>
      </c>
      <c r="Q187" s="34" t="s">
        <v>55</v>
      </c>
      <c r="R187" s="39" t="n">
        <f aca="false">AVERAGEA(S187, Q187)</f>
        <v>0</v>
      </c>
      <c r="S187" s="34" t="s">
        <v>55</v>
      </c>
      <c r="T187" s="37" t="s">
        <v>55</v>
      </c>
      <c r="U187" s="38" t="n">
        <f aca="false">AVERAGEA(T187,V187)</f>
        <v>0</v>
      </c>
      <c r="V187" s="36" t="s">
        <v>55</v>
      </c>
      <c r="W187" s="34" t="s">
        <v>55</v>
      </c>
      <c r="X187" s="39" t="n">
        <f aca="false">AVERAGEA(W187,Y187)</f>
        <v>0</v>
      </c>
      <c r="Y187" s="34" t="s">
        <v>55</v>
      </c>
      <c r="Z187" s="37" t="s">
        <v>55</v>
      </c>
      <c r="AA187" s="38"/>
      <c r="AB187" s="36" t="s">
        <v>55</v>
      </c>
      <c r="AC187" s="34" t="n">
        <f aca="false">AC183*1.23</f>
        <v>24.6</v>
      </c>
      <c r="AD187" s="39" t="n">
        <f aca="false">AVERAGEA(AE187, AC187)</f>
        <v>33.825</v>
      </c>
      <c r="AE187" s="34" t="n">
        <f aca="false">AE183*1.23</f>
        <v>43.05</v>
      </c>
      <c r="AF187" s="37" t="n">
        <v>0</v>
      </c>
      <c r="AG187" s="38" t="n">
        <f aca="false">AVERAGEA(AF187,AH187)</f>
        <v>0</v>
      </c>
      <c r="AH187" s="36" t="n">
        <v>0</v>
      </c>
      <c r="AI187" s="34" t="n">
        <v>15</v>
      </c>
      <c r="AJ187" s="39" t="n">
        <f aca="false">AVERAGEA(AK187, AI187)</f>
        <v>27.5</v>
      </c>
      <c r="AK187" s="34" t="n">
        <v>40</v>
      </c>
      <c r="AL187" s="37" t="n">
        <v>15</v>
      </c>
      <c r="AM187" s="38" t="n">
        <f aca="false">AVERAGEA(AL187,AN187)</f>
        <v>27.5</v>
      </c>
      <c r="AN187" s="36" t="n">
        <v>40</v>
      </c>
      <c r="AO187" s="34" t="n">
        <v>0</v>
      </c>
      <c r="AP187" s="39" t="n">
        <f aca="false">AVERAGEA(AQ187, AO187)</f>
        <v>0</v>
      </c>
      <c r="AQ187" s="34" t="n">
        <v>0</v>
      </c>
      <c r="AR187" s="37" t="n">
        <v>0</v>
      </c>
      <c r="AS187" s="38" t="n">
        <f aca="false">AVERAGEA(AT187, AR187)</f>
        <v>0</v>
      </c>
      <c r="AT187" s="36" t="n">
        <v>0</v>
      </c>
      <c r="AU187" s="34" t="n">
        <v>1000</v>
      </c>
      <c r="AV187" s="39" t="n">
        <f aca="false">AVERAGEA(AU187,AW187)</f>
        <v>1250</v>
      </c>
      <c r="AW187" s="34" t="n">
        <v>1500</v>
      </c>
      <c r="AX187" s="37" t="n">
        <v>22</v>
      </c>
      <c r="AY187" s="38" t="n">
        <f aca="false">AVERAGEA(AZ187, AX187)</f>
        <v>33.5</v>
      </c>
      <c r="AZ187" s="36" t="n">
        <v>45</v>
      </c>
      <c r="BA187" s="34" t="n">
        <v>7</v>
      </c>
      <c r="BB187" s="39" t="n">
        <f aca="false">AVERAGEA(BA187,BC187)</f>
        <v>11.5</v>
      </c>
      <c r="BC187" s="34" t="n">
        <v>16</v>
      </c>
      <c r="BD187" s="37" t="n">
        <v>0</v>
      </c>
      <c r="BE187" s="38" t="n">
        <f aca="false">AVERAGEA(BF187, BD187)</f>
        <v>0</v>
      </c>
      <c r="BF187" s="37" t="n">
        <v>0</v>
      </c>
      <c r="BG187" s="34" t="n">
        <v>0</v>
      </c>
      <c r="BH187" s="39" t="n">
        <f aca="false">AVERAGEA(BG187,BI187)</f>
        <v>0</v>
      </c>
      <c r="BI187" s="34" t="n">
        <v>0</v>
      </c>
      <c r="BJ187" s="37" t="n">
        <v>0</v>
      </c>
      <c r="BK187" s="38" t="n">
        <f aca="false">AVERAGEA(BL187, BJ187)</f>
        <v>0</v>
      </c>
      <c r="BL187" s="37" t="n">
        <v>0</v>
      </c>
      <c r="BM187" s="34" t="n">
        <v>0</v>
      </c>
      <c r="BN187" s="39" t="n">
        <f aca="false">AVERAGEA(BM187,BO187)</f>
        <v>0</v>
      </c>
      <c r="BO187" s="34" t="n">
        <v>0</v>
      </c>
      <c r="BP187" s="37" t="n">
        <v>0</v>
      </c>
      <c r="BQ187" s="38" t="n">
        <f aca="false">AVERAGEA(BR187, BP187)</f>
        <v>0</v>
      </c>
      <c r="BR187" s="37" t="n">
        <v>0</v>
      </c>
      <c r="BS187" s="34" t="n">
        <v>0</v>
      </c>
      <c r="BT187" s="39" t="n">
        <f aca="false">AVERAGEA(BS187,BU187)</f>
        <v>0</v>
      </c>
      <c r="BU187" s="121" t="n">
        <v>0</v>
      </c>
      <c r="BV187" s="37" t="n">
        <v>0</v>
      </c>
      <c r="BW187" s="38" t="n">
        <f aca="false">AVERAGEA(BX187, BV187)</f>
        <v>0</v>
      </c>
      <c r="BX187" s="37" t="n">
        <v>0</v>
      </c>
      <c r="BY187" s="34"/>
      <c r="BZ187" s="39" t="e">
        <f aca="false">AVERAGEA(BY187,CA187)</f>
        <v>#DIV/0!</v>
      </c>
      <c r="CA187" s="121"/>
      <c r="CB187" s="37"/>
      <c r="CC187" s="38" t="e">
        <f aca="false">AVERAGEA(CD187, CB187)</f>
        <v>#DIV/0!</v>
      </c>
      <c r="CD187" s="37"/>
      <c r="CE187" s="34"/>
      <c r="CF187" s="39" t="e">
        <f aca="false">AVERAGEA(CE187,CG187)</f>
        <v>#DIV/0!</v>
      </c>
      <c r="CG187" s="121"/>
    </row>
    <row r="188" s="18" customFormat="true" ht="28.35" hidden="false" customHeight="false" outlineLevel="0" collapsed="false">
      <c r="B188" s="124"/>
      <c r="C188" s="132"/>
      <c r="D188" s="132"/>
      <c r="E188" s="131"/>
      <c r="F188" s="129" t="s">
        <v>176</v>
      </c>
      <c r="G188" s="133"/>
      <c r="H188" s="37"/>
      <c r="I188" s="38" t="e">
        <f aca="false">AVERAGEA(H188,J188)</f>
        <v>#DIV/0!</v>
      </c>
      <c r="J188" s="36"/>
      <c r="K188" s="34" t="s">
        <v>55</v>
      </c>
      <c r="L188" s="39" t="n">
        <f aca="false">AVERAGEA(K188,M188)</f>
        <v>0</v>
      </c>
      <c r="M188" s="34" t="s">
        <v>55</v>
      </c>
      <c r="N188" s="37" t="n">
        <v>25</v>
      </c>
      <c r="O188" s="38" t="n">
        <f aca="false">AVERAGEA(N188,P188)</f>
        <v>30</v>
      </c>
      <c r="P188" s="36" t="n">
        <v>35</v>
      </c>
      <c r="Q188" s="34" t="s">
        <v>55</v>
      </c>
      <c r="R188" s="39" t="n">
        <f aca="false">AVERAGEA(Q188,S188)</f>
        <v>0</v>
      </c>
      <c r="S188" s="34" t="s">
        <v>55</v>
      </c>
      <c r="T188" s="37" t="s">
        <v>55</v>
      </c>
      <c r="U188" s="38" t="n">
        <f aca="false">AVERAGEA(T188,V188)</f>
        <v>0</v>
      </c>
      <c r="V188" s="36" t="s">
        <v>55</v>
      </c>
      <c r="W188" s="34" t="s">
        <v>55</v>
      </c>
      <c r="X188" s="39" t="n">
        <f aca="false">AVERAGEA(W188,Y188)</f>
        <v>0</v>
      </c>
      <c r="Y188" s="34" t="s">
        <v>55</v>
      </c>
      <c r="Z188" s="37" t="s">
        <v>55</v>
      </c>
      <c r="AA188" s="38"/>
      <c r="AB188" s="36" t="s">
        <v>55</v>
      </c>
      <c r="AC188" s="34" t="n">
        <f aca="false">AC184*1.23</f>
        <v>22.14</v>
      </c>
      <c r="AD188" s="39" t="n">
        <f aca="false">AVERAGEA(AC188,AE188)</f>
        <v>30.75</v>
      </c>
      <c r="AE188" s="34" t="n">
        <f aca="false">AE184*1.23</f>
        <v>39.36</v>
      </c>
      <c r="AF188" s="37" t="n">
        <v>0</v>
      </c>
      <c r="AG188" s="38" t="n">
        <f aca="false">AVERAGEA(AF188,AH188)</f>
        <v>0</v>
      </c>
      <c r="AH188" s="36" t="n">
        <v>0</v>
      </c>
      <c r="AI188" s="34" t="n">
        <v>15</v>
      </c>
      <c r="AJ188" s="39" t="n">
        <f aca="false">AVERAGEA(AI188,AK188)</f>
        <v>27.5</v>
      </c>
      <c r="AK188" s="34" t="n">
        <v>40</v>
      </c>
      <c r="AL188" s="37" t="n">
        <v>15</v>
      </c>
      <c r="AM188" s="38" t="n">
        <f aca="false">AVERAGEA(AL188,AN188)</f>
        <v>27.5</v>
      </c>
      <c r="AN188" s="36" t="n">
        <v>40</v>
      </c>
      <c r="AO188" s="34" t="n">
        <v>0</v>
      </c>
      <c r="AP188" s="39" t="n">
        <f aca="false">AVERAGEA(AO188,AQ188)</f>
        <v>0</v>
      </c>
      <c r="AQ188" s="34" t="n">
        <v>0</v>
      </c>
      <c r="AR188" s="37" t="n">
        <v>0</v>
      </c>
      <c r="AS188" s="38" t="n">
        <f aca="false">AVERAGEA(AR188,AT188)</f>
        <v>0</v>
      </c>
      <c r="AT188" s="36" t="n">
        <v>0</v>
      </c>
      <c r="AU188" s="34" t="n">
        <v>1100</v>
      </c>
      <c r="AV188" s="39" t="n">
        <f aca="false">AVERAGEA(AU188,AW188)</f>
        <v>1350</v>
      </c>
      <c r="AW188" s="34" t="n">
        <v>1600</v>
      </c>
      <c r="AX188" s="37" t="n">
        <v>25</v>
      </c>
      <c r="AY188" s="38" t="n">
        <f aca="false">AVERAGEA(AX188,AZ188)</f>
        <v>37.5</v>
      </c>
      <c r="AZ188" s="36" t="n">
        <v>50</v>
      </c>
      <c r="BA188" s="34" t="n">
        <v>8</v>
      </c>
      <c r="BB188" s="39" t="n">
        <f aca="false">AVERAGEA(BA188,BC188)</f>
        <v>13</v>
      </c>
      <c r="BC188" s="34" t="n">
        <v>18</v>
      </c>
      <c r="BD188" s="37" t="n">
        <v>0</v>
      </c>
      <c r="BE188" s="38" t="n">
        <f aca="false">AVERAGEA(BD188,BF188)</f>
        <v>0</v>
      </c>
      <c r="BF188" s="37" t="n">
        <v>0</v>
      </c>
      <c r="BG188" s="34" t="n">
        <v>0</v>
      </c>
      <c r="BH188" s="39" t="n">
        <f aca="false">AVERAGEA(BG188,BI188)</f>
        <v>0</v>
      </c>
      <c r="BI188" s="34" t="n">
        <v>0</v>
      </c>
      <c r="BJ188" s="37" t="n">
        <v>0</v>
      </c>
      <c r="BK188" s="38" t="n">
        <f aca="false">AVERAGEA(BJ188,BL188)</f>
        <v>0</v>
      </c>
      <c r="BL188" s="37" t="n">
        <v>0</v>
      </c>
      <c r="BM188" s="34" t="n">
        <v>0</v>
      </c>
      <c r="BN188" s="39" t="n">
        <f aca="false">AVERAGEA(BM188,BO188)</f>
        <v>0</v>
      </c>
      <c r="BO188" s="34" t="n">
        <v>0</v>
      </c>
      <c r="BP188" s="37" t="n">
        <v>0</v>
      </c>
      <c r="BQ188" s="38" t="n">
        <f aca="false">AVERAGEA(BP188,BR188)</f>
        <v>0</v>
      </c>
      <c r="BR188" s="37" t="n">
        <v>0</v>
      </c>
      <c r="BS188" s="34" t="n">
        <v>0</v>
      </c>
      <c r="BT188" s="39" t="n">
        <f aca="false">AVERAGEA(BS188,BU188)</f>
        <v>0</v>
      </c>
      <c r="BU188" s="121" t="n">
        <v>0</v>
      </c>
      <c r="BV188" s="37" t="n">
        <v>0</v>
      </c>
      <c r="BW188" s="38" t="n">
        <f aca="false">AVERAGEA(BV188,BX188)</f>
        <v>0</v>
      </c>
      <c r="BX188" s="37" t="n">
        <v>0</v>
      </c>
      <c r="BY188" s="34"/>
      <c r="BZ188" s="39" t="e">
        <f aca="false">AVERAGEA(BY188,CA188)</f>
        <v>#DIV/0!</v>
      </c>
      <c r="CA188" s="121"/>
      <c r="CB188" s="37"/>
      <c r="CC188" s="38" t="e">
        <f aca="false">AVERAGEA(CB188,CD188)</f>
        <v>#DIV/0!</v>
      </c>
      <c r="CD188" s="37"/>
      <c r="CE188" s="34"/>
      <c r="CF188" s="39" t="e">
        <f aca="false">AVERAGEA(CE188,CG188)</f>
        <v>#DIV/0!</v>
      </c>
      <c r="CG188" s="121"/>
    </row>
    <row r="189" s="18" customFormat="true" ht="26.4" hidden="false" customHeight="true" outlineLevel="0" collapsed="false">
      <c r="B189" s="124"/>
      <c r="C189" s="132" t="s">
        <v>177</v>
      </c>
      <c r="D189" s="132" t="s">
        <v>171</v>
      </c>
      <c r="E189" s="131"/>
      <c r="F189" s="129" t="s">
        <v>172</v>
      </c>
      <c r="G189" s="133" t="s">
        <v>179</v>
      </c>
      <c r="H189" s="37"/>
      <c r="I189" s="38" t="e">
        <f aca="false">AVERAGEA(H189,J189)</f>
        <v>#DIV/0!</v>
      </c>
      <c r="J189" s="36"/>
      <c r="K189" s="34" t="s">
        <v>55</v>
      </c>
      <c r="L189" s="39" t="n">
        <f aca="false">AVERAGEA(M189, K189)</f>
        <v>0</v>
      </c>
      <c r="M189" s="34" t="s">
        <v>55</v>
      </c>
      <c r="N189" s="37" t="n">
        <v>35</v>
      </c>
      <c r="O189" s="38" t="n">
        <f aca="false">AVERAGEA(N189,P189)</f>
        <v>42.5</v>
      </c>
      <c r="P189" s="36" t="n">
        <v>50</v>
      </c>
      <c r="Q189" s="34" t="s">
        <v>55</v>
      </c>
      <c r="R189" s="39" t="n">
        <f aca="false">AVERAGEA(S189, Q189)</f>
        <v>0</v>
      </c>
      <c r="S189" s="34" t="s">
        <v>55</v>
      </c>
      <c r="T189" s="37" t="s">
        <v>55</v>
      </c>
      <c r="U189" s="38" t="n">
        <f aca="false">AVERAGEA(T189,V189)</f>
        <v>0</v>
      </c>
      <c r="V189" s="36" t="s">
        <v>55</v>
      </c>
      <c r="W189" s="34" t="s">
        <v>55</v>
      </c>
      <c r="X189" s="39" t="n">
        <f aca="false">AVERAGEA(W189,Y189)</f>
        <v>0</v>
      </c>
      <c r="Y189" s="34" t="s">
        <v>55</v>
      </c>
      <c r="Z189" s="37" t="s">
        <v>55</v>
      </c>
      <c r="AA189" s="38"/>
      <c r="AB189" s="36" t="s">
        <v>55</v>
      </c>
      <c r="AC189" s="34" t="n">
        <f aca="false">AC181*1.66</f>
        <v>43.16</v>
      </c>
      <c r="AD189" s="39" t="n">
        <f aca="false">AVERAGEA(AE189, AC189)</f>
        <v>61.42</v>
      </c>
      <c r="AE189" s="34" t="n">
        <f aca="false">AE181*1.66</f>
        <v>79.68</v>
      </c>
      <c r="AF189" s="37" t="n">
        <v>0</v>
      </c>
      <c r="AG189" s="38" t="n">
        <f aca="false">AVERAGEA(AF189,AH189)</f>
        <v>0</v>
      </c>
      <c r="AH189" s="36" t="n">
        <v>0</v>
      </c>
      <c r="AI189" s="34" t="n">
        <v>15</v>
      </c>
      <c r="AJ189" s="39" t="n">
        <f aca="false">AVERAGEA(AK189, AI189)</f>
        <v>27.5</v>
      </c>
      <c r="AK189" s="34" t="n">
        <v>40</v>
      </c>
      <c r="AL189" s="37" t="n">
        <v>15</v>
      </c>
      <c r="AM189" s="38" t="n">
        <f aca="false">AVERAGEA(AL189,AN189)</f>
        <v>27.5</v>
      </c>
      <c r="AN189" s="36" t="n">
        <v>40</v>
      </c>
      <c r="AO189" s="34" t="n">
        <v>0</v>
      </c>
      <c r="AP189" s="39" t="n">
        <f aca="false">AVERAGEA(AQ189, AO189)</f>
        <v>0</v>
      </c>
      <c r="AQ189" s="34" t="n">
        <v>0</v>
      </c>
      <c r="AR189" s="37" t="n">
        <v>0</v>
      </c>
      <c r="AS189" s="38" t="n">
        <f aca="false">AVERAGEA(AT189, AR189)</f>
        <v>0</v>
      </c>
      <c r="AT189" s="36" t="n">
        <v>0</v>
      </c>
      <c r="AU189" s="34" t="n">
        <v>800</v>
      </c>
      <c r="AV189" s="39" t="n">
        <f aca="false">AVERAGEA(AU189,AW189)</f>
        <v>1050</v>
      </c>
      <c r="AW189" s="34" t="n">
        <v>1300</v>
      </c>
      <c r="AX189" s="37" t="n">
        <v>18</v>
      </c>
      <c r="AY189" s="38" t="n">
        <f aca="false">AVERAGEA(AZ189, AX189)</f>
        <v>29</v>
      </c>
      <c r="AZ189" s="36" t="n">
        <v>40</v>
      </c>
      <c r="BA189" s="34" t="n">
        <v>5</v>
      </c>
      <c r="BB189" s="39" t="n">
        <f aca="false">AVERAGEA(BA189,BC189)</f>
        <v>9.5</v>
      </c>
      <c r="BC189" s="34" t="n">
        <v>14</v>
      </c>
      <c r="BD189" s="37" t="n">
        <v>0</v>
      </c>
      <c r="BE189" s="38" t="n">
        <f aca="false">AVERAGEA(BF189, BD189)</f>
        <v>0</v>
      </c>
      <c r="BF189" s="37" t="n">
        <v>0</v>
      </c>
      <c r="BG189" s="34" t="n">
        <v>0</v>
      </c>
      <c r="BH189" s="39" t="n">
        <f aca="false">AVERAGEA(BG189,BI189)</f>
        <v>0</v>
      </c>
      <c r="BI189" s="34" t="n">
        <v>0</v>
      </c>
      <c r="BJ189" s="37" t="n">
        <v>0</v>
      </c>
      <c r="BK189" s="38" t="n">
        <f aca="false">AVERAGEA(BL189, BJ189)</f>
        <v>0</v>
      </c>
      <c r="BL189" s="37" t="n">
        <v>0</v>
      </c>
      <c r="BM189" s="34" t="n">
        <v>0</v>
      </c>
      <c r="BN189" s="39" t="n">
        <f aca="false">AVERAGEA(BM189,BO189)</f>
        <v>0</v>
      </c>
      <c r="BO189" s="34" t="n">
        <v>0</v>
      </c>
      <c r="BP189" s="37" t="n">
        <v>0</v>
      </c>
      <c r="BQ189" s="38" t="n">
        <f aca="false">AVERAGEA(BR189, BP189)</f>
        <v>0</v>
      </c>
      <c r="BR189" s="37" t="n">
        <v>0</v>
      </c>
      <c r="BS189" s="34" t="n">
        <v>0</v>
      </c>
      <c r="BT189" s="39" t="n">
        <f aca="false">AVERAGEA(BS189,BU189)</f>
        <v>0</v>
      </c>
      <c r="BU189" s="121" t="n">
        <v>0</v>
      </c>
      <c r="BV189" s="37" t="n">
        <v>0</v>
      </c>
      <c r="BW189" s="38" t="n">
        <f aca="false">AVERAGEA(BX189, BV189)</f>
        <v>0</v>
      </c>
      <c r="BX189" s="37" t="n">
        <v>0</v>
      </c>
      <c r="BY189" s="34"/>
      <c r="BZ189" s="39" t="e">
        <f aca="false">AVERAGEA(BY189,CA189)</f>
        <v>#DIV/0!</v>
      </c>
      <c r="CA189" s="121"/>
      <c r="CB189" s="37"/>
      <c r="CC189" s="38" t="e">
        <f aca="false">AVERAGEA(CD189, CB189)</f>
        <v>#DIV/0!</v>
      </c>
      <c r="CD189" s="37"/>
      <c r="CE189" s="34"/>
      <c r="CF189" s="39" t="e">
        <f aca="false">AVERAGEA(CE189,CG189)</f>
        <v>#DIV/0!</v>
      </c>
      <c r="CG189" s="121"/>
    </row>
    <row r="190" s="18" customFormat="true" ht="28.35" hidden="false" customHeight="false" outlineLevel="0" collapsed="false">
      <c r="B190" s="124"/>
      <c r="C190" s="132"/>
      <c r="D190" s="132"/>
      <c r="E190" s="131"/>
      <c r="F190" s="129" t="s">
        <v>174</v>
      </c>
      <c r="G190" s="133"/>
      <c r="H190" s="37"/>
      <c r="I190" s="38" t="e">
        <f aca="false">AVERAGEA(H190,J190)</f>
        <v>#DIV/0!</v>
      </c>
      <c r="J190" s="36"/>
      <c r="K190" s="34" t="s">
        <v>55</v>
      </c>
      <c r="L190" s="39" t="n">
        <f aca="false">AVERAGEA(M190, K190)</f>
        <v>0</v>
      </c>
      <c r="M190" s="34" t="s">
        <v>55</v>
      </c>
      <c r="N190" s="37" t="n">
        <v>30</v>
      </c>
      <c r="O190" s="38" t="n">
        <f aca="false">AVERAGEA(N190,P190)</f>
        <v>36</v>
      </c>
      <c r="P190" s="36" t="n">
        <v>42</v>
      </c>
      <c r="Q190" s="34" t="s">
        <v>55</v>
      </c>
      <c r="R190" s="39" t="n">
        <f aca="false">AVERAGEA(S190, Q190)</f>
        <v>0</v>
      </c>
      <c r="S190" s="34" t="s">
        <v>55</v>
      </c>
      <c r="T190" s="37" t="s">
        <v>55</v>
      </c>
      <c r="U190" s="38" t="n">
        <f aca="false">AVERAGEA(T190,V190)</f>
        <v>0</v>
      </c>
      <c r="V190" s="36" t="s">
        <v>55</v>
      </c>
      <c r="W190" s="34" t="s">
        <v>55</v>
      </c>
      <c r="X190" s="39" t="n">
        <f aca="false">AVERAGEA(W190,Y190)</f>
        <v>0</v>
      </c>
      <c r="Y190" s="34" t="s">
        <v>55</v>
      </c>
      <c r="Z190" s="37" t="s">
        <v>55</v>
      </c>
      <c r="AA190" s="38"/>
      <c r="AB190" s="36" t="s">
        <v>55</v>
      </c>
      <c r="AC190" s="34" t="n">
        <f aca="false">AC182*1.66</f>
        <v>36.52</v>
      </c>
      <c r="AD190" s="39" t="n">
        <f aca="false">AVERAGEA(AE190, AC190)</f>
        <v>51.46</v>
      </c>
      <c r="AE190" s="34" t="n">
        <f aca="false">AE182*1.66</f>
        <v>66.4</v>
      </c>
      <c r="AF190" s="37" t="n">
        <v>0</v>
      </c>
      <c r="AG190" s="38" t="n">
        <f aca="false">AVERAGEA(AF190,AH190)</f>
        <v>0</v>
      </c>
      <c r="AH190" s="36" t="n">
        <v>0</v>
      </c>
      <c r="AI190" s="34" t="n">
        <v>15</v>
      </c>
      <c r="AJ190" s="39" t="n">
        <f aca="false">AVERAGEA(AK190, AI190)</f>
        <v>27.5</v>
      </c>
      <c r="AK190" s="34" t="n">
        <v>40</v>
      </c>
      <c r="AL190" s="37" t="n">
        <v>15</v>
      </c>
      <c r="AM190" s="38" t="n">
        <f aca="false">AVERAGEA(AL190,AN190)</f>
        <v>27.5</v>
      </c>
      <c r="AN190" s="36" t="n">
        <v>40</v>
      </c>
      <c r="AO190" s="34" t="n">
        <v>0</v>
      </c>
      <c r="AP190" s="39" t="n">
        <f aca="false">AVERAGEA(AQ190, AO190)</f>
        <v>0</v>
      </c>
      <c r="AQ190" s="34" t="n">
        <v>0</v>
      </c>
      <c r="AR190" s="37" t="n">
        <v>0</v>
      </c>
      <c r="AS190" s="38" t="n">
        <f aca="false">AVERAGEA(AT190, AR190)</f>
        <v>0</v>
      </c>
      <c r="AT190" s="36" t="n">
        <v>0</v>
      </c>
      <c r="AU190" s="34" t="n">
        <v>900</v>
      </c>
      <c r="AV190" s="39" t="n">
        <f aca="false">AVERAGEA(AU190,AW190)</f>
        <v>1150</v>
      </c>
      <c r="AW190" s="34" t="n">
        <v>1400</v>
      </c>
      <c r="AX190" s="37" t="n">
        <v>20</v>
      </c>
      <c r="AY190" s="38" t="n">
        <f aca="false">AVERAGEA(AZ190, AX190)</f>
        <v>31</v>
      </c>
      <c r="AZ190" s="36" t="n">
        <v>42</v>
      </c>
      <c r="BA190" s="34" t="n">
        <v>6</v>
      </c>
      <c r="BB190" s="39" t="n">
        <f aca="false">AVERAGEA(BA190,BC190)</f>
        <v>10.5</v>
      </c>
      <c r="BC190" s="34" t="n">
        <v>15</v>
      </c>
      <c r="BD190" s="37" t="n">
        <v>0</v>
      </c>
      <c r="BE190" s="38" t="n">
        <f aca="false">AVERAGEA(BF190, BD190)</f>
        <v>0</v>
      </c>
      <c r="BF190" s="37" t="n">
        <v>0</v>
      </c>
      <c r="BG190" s="34" t="n">
        <v>0</v>
      </c>
      <c r="BH190" s="39" t="n">
        <f aca="false">AVERAGEA(BG190,BI190)</f>
        <v>0</v>
      </c>
      <c r="BI190" s="34" t="n">
        <v>0</v>
      </c>
      <c r="BJ190" s="37" t="n">
        <v>0</v>
      </c>
      <c r="BK190" s="38" t="n">
        <f aca="false">AVERAGEA(BL190, BJ190)</f>
        <v>0</v>
      </c>
      <c r="BL190" s="37" t="n">
        <v>0</v>
      </c>
      <c r="BM190" s="34" t="n">
        <v>0</v>
      </c>
      <c r="BN190" s="39" t="n">
        <f aca="false">AVERAGEA(BM190,BO190)</f>
        <v>0</v>
      </c>
      <c r="BO190" s="34" t="n">
        <v>0</v>
      </c>
      <c r="BP190" s="37" t="n">
        <v>0</v>
      </c>
      <c r="BQ190" s="38" t="n">
        <f aca="false">AVERAGEA(BR190, BP190)</f>
        <v>0</v>
      </c>
      <c r="BR190" s="37" t="n">
        <v>0</v>
      </c>
      <c r="BS190" s="34" t="n">
        <v>0</v>
      </c>
      <c r="BT190" s="39" t="n">
        <f aca="false">AVERAGEA(BS190,BU190)</f>
        <v>0</v>
      </c>
      <c r="BU190" s="121" t="n">
        <v>0</v>
      </c>
      <c r="BV190" s="37" t="n">
        <v>0</v>
      </c>
      <c r="BW190" s="38" t="n">
        <f aca="false">AVERAGEA(BX190, BV190)</f>
        <v>0</v>
      </c>
      <c r="BX190" s="37" t="n">
        <v>0</v>
      </c>
      <c r="BY190" s="34"/>
      <c r="BZ190" s="39" t="e">
        <f aca="false">AVERAGEA(BY190,CA190)</f>
        <v>#DIV/0!</v>
      </c>
      <c r="CA190" s="121"/>
      <c r="CB190" s="37"/>
      <c r="CC190" s="38" t="e">
        <f aca="false">AVERAGEA(CD190, CB190)</f>
        <v>#DIV/0!</v>
      </c>
      <c r="CD190" s="37"/>
      <c r="CE190" s="34"/>
      <c r="CF190" s="39" t="e">
        <f aca="false">AVERAGEA(CE190,CG190)</f>
        <v>#DIV/0!</v>
      </c>
      <c r="CG190" s="121"/>
    </row>
    <row r="191" s="18" customFormat="true" ht="28.35" hidden="false" customHeight="false" outlineLevel="0" collapsed="false">
      <c r="B191" s="124"/>
      <c r="C191" s="132"/>
      <c r="D191" s="132"/>
      <c r="E191" s="131"/>
      <c r="F191" s="129" t="s">
        <v>175</v>
      </c>
      <c r="G191" s="133"/>
      <c r="H191" s="37"/>
      <c r="I191" s="38" t="e">
        <f aca="false">AVERAGEA(H191,J191)</f>
        <v>#DIV/0!</v>
      </c>
      <c r="J191" s="36"/>
      <c r="K191" s="34" t="s">
        <v>55</v>
      </c>
      <c r="L191" s="39" t="n">
        <f aca="false">AVERAGEA(M191, K191)</f>
        <v>0</v>
      </c>
      <c r="M191" s="34" t="s">
        <v>55</v>
      </c>
      <c r="N191" s="37" t="n">
        <v>28</v>
      </c>
      <c r="O191" s="38" t="n">
        <f aca="false">AVERAGEA(N191,P191)</f>
        <v>33</v>
      </c>
      <c r="P191" s="36" t="n">
        <v>38</v>
      </c>
      <c r="Q191" s="34" t="s">
        <v>55</v>
      </c>
      <c r="R191" s="39" t="n">
        <f aca="false">AVERAGEA(S191, Q191)</f>
        <v>0</v>
      </c>
      <c r="S191" s="34" t="s">
        <v>55</v>
      </c>
      <c r="T191" s="37" t="s">
        <v>55</v>
      </c>
      <c r="U191" s="38" t="n">
        <f aca="false">AVERAGEA(T191,V191)</f>
        <v>0</v>
      </c>
      <c r="V191" s="36" t="s">
        <v>55</v>
      </c>
      <c r="W191" s="34" t="s">
        <v>55</v>
      </c>
      <c r="X191" s="39" t="n">
        <f aca="false">AVERAGEA(W191,Y191)</f>
        <v>0</v>
      </c>
      <c r="Y191" s="34" t="s">
        <v>55</v>
      </c>
      <c r="Z191" s="37" t="s">
        <v>55</v>
      </c>
      <c r="AA191" s="38"/>
      <c r="AB191" s="36" t="s">
        <v>55</v>
      </c>
      <c r="AC191" s="34" t="n">
        <f aca="false">AC183*1.66</f>
        <v>33.2</v>
      </c>
      <c r="AD191" s="39" t="n">
        <f aca="false">AVERAGEA(AE191, AC191)</f>
        <v>45.65</v>
      </c>
      <c r="AE191" s="34" t="n">
        <f aca="false">AE183*1.66</f>
        <v>58.1</v>
      </c>
      <c r="AF191" s="37" t="n">
        <v>0</v>
      </c>
      <c r="AG191" s="38" t="n">
        <f aca="false">AVERAGEA(AF191,AH191)</f>
        <v>0</v>
      </c>
      <c r="AH191" s="36" t="n">
        <v>0</v>
      </c>
      <c r="AI191" s="34" t="n">
        <v>15</v>
      </c>
      <c r="AJ191" s="39" t="n">
        <f aca="false">AVERAGEA(AK191, AI191)</f>
        <v>27.5</v>
      </c>
      <c r="AK191" s="34" t="n">
        <v>40</v>
      </c>
      <c r="AL191" s="37" t="n">
        <v>15</v>
      </c>
      <c r="AM191" s="38" t="n">
        <f aca="false">AVERAGEA(AL191,AN191)</f>
        <v>27.5</v>
      </c>
      <c r="AN191" s="36" t="n">
        <v>40</v>
      </c>
      <c r="AO191" s="34" t="n">
        <v>0</v>
      </c>
      <c r="AP191" s="39" t="n">
        <f aca="false">AVERAGEA(AQ191, AO191)</f>
        <v>0</v>
      </c>
      <c r="AQ191" s="34" t="n">
        <v>0</v>
      </c>
      <c r="AR191" s="37" t="n">
        <v>0</v>
      </c>
      <c r="AS191" s="38" t="n">
        <f aca="false">AVERAGEA(AT191, AR191)</f>
        <v>0</v>
      </c>
      <c r="AT191" s="36" t="n">
        <v>0</v>
      </c>
      <c r="AU191" s="34" t="n">
        <v>1000</v>
      </c>
      <c r="AV191" s="39" t="n">
        <f aca="false">AVERAGEA(AU191,AW191)</f>
        <v>1250</v>
      </c>
      <c r="AW191" s="34" t="n">
        <v>1500</v>
      </c>
      <c r="AX191" s="37" t="n">
        <v>22</v>
      </c>
      <c r="AY191" s="38" t="n">
        <f aca="false">AVERAGEA(AZ191, AX191)</f>
        <v>33.5</v>
      </c>
      <c r="AZ191" s="36" t="n">
        <v>45</v>
      </c>
      <c r="BA191" s="34" t="n">
        <v>7</v>
      </c>
      <c r="BB191" s="39" t="n">
        <f aca="false">AVERAGEA(BA191,BC191)</f>
        <v>11.5</v>
      </c>
      <c r="BC191" s="34" t="n">
        <v>16</v>
      </c>
      <c r="BD191" s="37" t="n">
        <v>0</v>
      </c>
      <c r="BE191" s="38" t="n">
        <f aca="false">AVERAGEA(BF191, BD191)</f>
        <v>0</v>
      </c>
      <c r="BF191" s="37" t="n">
        <v>0</v>
      </c>
      <c r="BG191" s="34" t="n">
        <v>0</v>
      </c>
      <c r="BH191" s="39" t="n">
        <f aca="false">AVERAGEA(BG191,BI191)</f>
        <v>0</v>
      </c>
      <c r="BI191" s="34" t="n">
        <v>0</v>
      </c>
      <c r="BJ191" s="37" t="n">
        <v>0</v>
      </c>
      <c r="BK191" s="38" t="n">
        <f aca="false">AVERAGEA(BL191, BJ191)</f>
        <v>0</v>
      </c>
      <c r="BL191" s="37" t="n">
        <v>0</v>
      </c>
      <c r="BM191" s="34" t="n">
        <v>0</v>
      </c>
      <c r="BN191" s="39" t="n">
        <f aca="false">AVERAGEA(BM191,BO191)</f>
        <v>0</v>
      </c>
      <c r="BO191" s="34" t="n">
        <v>0</v>
      </c>
      <c r="BP191" s="37" t="n">
        <v>0</v>
      </c>
      <c r="BQ191" s="38" t="n">
        <f aca="false">AVERAGEA(BR191, BP191)</f>
        <v>0</v>
      </c>
      <c r="BR191" s="37" t="n">
        <v>0</v>
      </c>
      <c r="BS191" s="34" t="n">
        <v>0</v>
      </c>
      <c r="BT191" s="39" t="n">
        <f aca="false">AVERAGEA(BS191,BU191)</f>
        <v>0</v>
      </c>
      <c r="BU191" s="121" t="n">
        <v>0</v>
      </c>
      <c r="BV191" s="37" t="n">
        <v>0</v>
      </c>
      <c r="BW191" s="38" t="n">
        <f aca="false">AVERAGEA(BX191, BV191)</f>
        <v>0</v>
      </c>
      <c r="BX191" s="37" t="n">
        <v>0</v>
      </c>
      <c r="BY191" s="34"/>
      <c r="BZ191" s="39" t="e">
        <f aca="false">AVERAGEA(BY191,CA191)</f>
        <v>#DIV/0!</v>
      </c>
      <c r="CA191" s="121"/>
      <c r="CB191" s="37"/>
      <c r="CC191" s="38" t="e">
        <f aca="false">AVERAGEA(CD191, CB191)</f>
        <v>#DIV/0!</v>
      </c>
      <c r="CD191" s="37"/>
      <c r="CE191" s="34"/>
      <c r="CF191" s="39" t="e">
        <f aca="false">AVERAGEA(CE191,CG191)</f>
        <v>#DIV/0!</v>
      </c>
      <c r="CG191" s="121"/>
    </row>
    <row r="192" s="18" customFormat="true" ht="28.35" hidden="false" customHeight="false" outlineLevel="0" collapsed="false">
      <c r="B192" s="124"/>
      <c r="C192" s="132"/>
      <c r="D192" s="132"/>
      <c r="E192" s="131"/>
      <c r="F192" s="129" t="s">
        <v>176</v>
      </c>
      <c r="G192" s="133"/>
      <c r="H192" s="37"/>
      <c r="I192" s="38" t="e">
        <f aca="false">AVERAGEA(H192,J192)</f>
        <v>#DIV/0!</v>
      </c>
      <c r="J192" s="36"/>
      <c r="K192" s="34" t="s">
        <v>55</v>
      </c>
      <c r="L192" s="39" t="n">
        <f aca="false">AVERAGEA(K192,M192)</f>
        <v>0</v>
      </c>
      <c r="M192" s="34" t="s">
        <v>55</v>
      </c>
      <c r="N192" s="37" t="n">
        <v>25</v>
      </c>
      <c r="O192" s="38" t="n">
        <f aca="false">AVERAGEA(N192,P192)</f>
        <v>30</v>
      </c>
      <c r="P192" s="36" t="n">
        <v>35</v>
      </c>
      <c r="Q192" s="34" t="s">
        <v>55</v>
      </c>
      <c r="R192" s="39" t="n">
        <f aca="false">AVERAGEA(Q192,S192)</f>
        <v>0</v>
      </c>
      <c r="S192" s="34" t="s">
        <v>55</v>
      </c>
      <c r="T192" s="37" t="s">
        <v>55</v>
      </c>
      <c r="U192" s="38" t="n">
        <f aca="false">AVERAGEA(T192,V192)</f>
        <v>0</v>
      </c>
      <c r="V192" s="36" t="s">
        <v>55</v>
      </c>
      <c r="W192" s="34" t="s">
        <v>55</v>
      </c>
      <c r="X192" s="39" t="n">
        <f aca="false">AVERAGEA(W192,Y192)</f>
        <v>0</v>
      </c>
      <c r="Y192" s="34" t="s">
        <v>55</v>
      </c>
      <c r="Z192" s="37" t="s">
        <v>55</v>
      </c>
      <c r="AA192" s="38"/>
      <c r="AB192" s="36" t="s">
        <v>55</v>
      </c>
      <c r="AC192" s="34" t="n">
        <f aca="false">AC184*1.66</f>
        <v>29.88</v>
      </c>
      <c r="AD192" s="39" t="n">
        <f aca="false">AVERAGEA(AC192,AE192)</f>
        <v>41.5</v>
      </c>
      <c r="AE192" s="34" t="n">
        <f aca="false">AE184*1.66</f>
        <v>53.12</v>
      </c>
      <c r="AF192" s="37" t="n">
        <v>0</v>
      </c>
      <c r="AG192" s="38" t="n">
        <f aca="false">AVERAGEA(AF192,AH192)</f>
        <v>0</v>
      </c>
      <c r="AH192" s="36" t="n">
        <v>0</v>
      </c>
      <c r="AI192" s="34" t="n">
        <v>15</v>
      </c>
      <c r="AJ192" s="39" t="n">
        <f aca="false">AVERAGEA(AI192,AK192)</f>
        <v>27.5</v>
      </c>
      <c r="AK192" s="34" t="n">
        <v>40</v>
      </c>
      <c r="AL192" s="37" t="n">
        <v>15</v>
      </c>
      <c r="AM192" s="38" t="n">
        <f aca="false">AVERAGEA(AL192,AN192)</f>
        <v>27.5</v>
      </c>
      <c r="AN192" s="36" t="n">
        <v>40</v>
      </c>
      <c r="AO192" s="34" t="n">
        <v>0</v>
      </c>
      <c r="AP192" s="39" t="n">
        <f aca="false">AVERAGEA(AO192,AQ192)</f>
        <v>0</v>
      </c>
      <c r="AQ192" s="34" t="n">
        <v>0</v>
      </c>
      <c r="AR192" s="37" t="n">
        <v>0</v>
      </c>
      <c r="AS192" s="38" t="n">
        <f aca="false">AVERAGEA(AR192,AT192)</f>
        <v>0</v>
      </c>
      <c r="AT192" s="36" t="n">
        <v>0</v>
      </c>
      <c r="AU192" s="34" t="n">
        <v>1100</v>
      </c>
      <c r="AV192" s="39" t="n">
        <f aca="false">AVERAGEA(AU192,AW192)</f>
        <v>1350</v>
      </c>
      <c r="AW192" s="34" t="n">
        <v>1600</v>
      </c>
      <c r="AX192" s="37" t="n">
        <v>25</v>
      </c>
      <c r="AY192" s="38" t="n">
        <f aca="false">AVERAGEA(AX192,AZ192)</f>
        <v>37.5</v>
      </c>
      <c r="AZ192" s="36" t="n">
        <v>50</v>
      </c>
      <c r="BA192" s="34" t="n">
        <v>8</v>
      </c>
      <c r="BB192" s="39" t="n">
        <f aca="false">AVERAGEA(BA192,BC192)</f>
        <v>13</v>
      </c>
      <c r="BC192" s="34" t="n">
        <v>18</v>
      </c>
      <c r="BD192" s="37" t="n">
        <v>0</v>
      </c>
      <c r="BE192" s="38" t="n">
        <f aca="false">AVERAGEA(BD192,BF192)</f>
        <v>0</v>
      </c>
      <c r="BF192" s="37" t="n">
        <v>0</v>
      </c>
      <c r="BG192" s="34" t="n">
        <v>0</v>
      </c>
      <c r="BH192" s="39" t="n">
        <f aca="false">AVERAGEA(BG192,BI192)</f>
        <v>0</v>
      </c>
      <c r="BI192" s="34" t="n">
        <v>0</v>
      </c>
      <c r="BJ192" s="37" t="n">
        <v>0</v>
      </c>
      <c r="BK192" s="38" t="n">
        <f aca="false">AVERAGEA(BJ192,BL192)</f>
        <v>0</v>
      </c>
      <c r="BL192" s="37" t="n">
        <v>0</v>
      </c>
      <c r="BM192" s="34" t="n">
        <v>0</v>
      </c>
      <c r="BN192" s="39" t="n">
        <f aca="false">AVERAGEA(BM192,BO192)</f>
        <v>0</v>
      </c>
      <c r="BO192" s="34" t="n">
        <v>0</v>
      </c>
      <c r="BP192" s="37" t="n">
        <v>0</v>
      </c>
      <c r="BQ192" s="38" t="n">
        <f aca="false">AVERAGEA(BP192,BR192)</f>
        <v>0</v>
      </c>
      <c r="BR192" s="37" t="n">
        <v>0</v>
      </c>
      <c r="BS192" s="34" t="n">
        <v>0</v>
      </c>
      <c r="BT192" s="39" t="n">
        <f aca="false">AVERAGEA(BS192,BU192)</f>
        <v>0</v>
      </c>
      <c r="BU192" s="121" t="n">
        <v>0</v>
      </c>
      <c r="BV192" s="37" t="n">
        <v>0</v>
      </c>
      <c r="BW192" s="38" t="n">
        <f aca="false">AVERAGEA(BV192,BX192)</f>
        <v>0</v>
      </c>
      <c r="BX192" s="37" t="n">
        <v>0</v>
      </c>
      <c r="BY192" s="34"/>
      <c r="BZ192" s="39" t="e">
        <f aca="false">AVERAGEA(BY192,CA192)</f>
        <v>#DIV/0!</v>
      </c>
      <c r="CA192" s="121"/>
      <c r="CB192" s="37"/>
      <c r="CC192" s="38" t="e">
        <f aca="false">AVERAGEA(CB192,CD192)</f>
        <v>#DIV/0!</v>
      </c>
      <c r="CD192" s="37"/>
      <c r="CE192" s="34"/>
      <c r="CF192" s="39" t="e">
        <f aca="false">AVERAGEA(CE192,CG192)</f>
        <v>#DIV/0!</v>
      </c>
      <c r="CG192" s="121"/>
    </row>
    <row r="193" s="18" customFormat="true" ht="26.4" hidden="false" customHeight="true" outlineLevel="0" collapsed="false">
      <c r="B193" s="124"/>
      <c r="C193" s="132"/>
      <c r="D193" s="134" t="s">
        <v>180</v>
      </c>
      <c r="E193" s="131"/>
      <c r="F193" s="129" t="s">
        <v>172</v>
      </c>
      <c r="G193" s="133" t="s">
        <v>173</v>
      </c>
      <c r="H193" s="37"/>
      <c r="I193" s="38" t="e">
        <f aca="false">AVERAGEA(H193,J193)</f>
        <v>#DIV/0!</v>
      </c>
      <c r="J193" s="36"/>
      <c r="K193" s="34" t="s">
        <v>55</v>
      </c>
      <c r="L193" s="39" t="n">
        <f aca="false">AVERAGEA(M193, K193)</f>
        <v>0</v>
      </c>
      <c r="M193" s="34" t="s">
        <v>55</v>
      </c>
      <c r="N193" s="37" t="n">
        <v>35</v>
      </c>
      <c r="O193" s="38" t="n">
        <f aca="false">AVERAGEA(N193,P193)</f>
        <v>42.5</v>
      </c>
      <c r="P193" s="36" t="n">
        <v>50</v>
      </c>
      <c r="Q193" s="34" t="s">
        <v>55</v>
      </c>
      <c r="R193" s="39" t="n">
        <f aca="false">AVERAGEA(S193, Q193)</f>
        <v>0</v>
      </c>
      <c r="S193" s="34" t="s">
        <v>55</v>
      </c>
      <c r="T193" s="37" t="s">
        <v>55</v>
      </c>
      <c r="U193" s="38" t="n">
        <f aca="false">AVERAGEA(T193,V193)</f>
        <v>0</v>
      </c>
      <c r="V193" s="36" t="s">
        <v>55</v>
      </c>
      <c r="W193" s="34" t="s">
        <v>55</v>
      </c>
      <c r="X193" s="39" t="n">
        <f aca="false">AVERAGEA(W193,Y193)</f>
        <v>0</v>
      </c>
      <c r="Y193" s="34" t="s">
        <v>55</v>
      </c>
      <c r="Z193" s="37" t="s">
        <v>55</v>
      </c>
      <c r="AA193" s="38"/>
      <c r="AB193" s="36" t="s">
        <v>55</v>
      </c>
      <c r="AC193" s="34" t="n">
        <v>26</v>
      </c>
      <c r="AD193" s="39" t="n">
        <f aca="false">AVERAGEA(AE193, AC193)</f>
        <v>37</v>
      </c>
      <c r="AE193" s="34" t="n">
        <v>48</v>
      </c>
      <c r="AF193" s="37" t="n">
        <v>0</v>
      </c>
      <c r="AG193" s="38" t="n">
        <f aca="false">AVERAGEA(AF193,AH193)</f>
        <v>0</v>
      </c>
      <c r="AH193" s="36" t="n">
        <v>0</v>
      </c>
      <c r="AI193" s="34" t="n">
        <v>15</v>
      </c>
      <c r="AJ193" s="39" t="n">
        <f aca="false">AVERAGEA(AK193, AI193)</f>
        <v>27.5</v>
      </c>
      <c r="AK193" s="34" t="n">
        <v>40</v>
      </c>
      <c r="AL193" s="37" t="n">
        <v>15</v>
      </c>
      <c r="AM193" s="38" t="n">
        <f aca="false">AVERAGEA(AL193,AN193)</f>
        <v>27.5</v>
      </c>
      <c r="AN193" s="36" t="n">
        <v>40</v>
      </c>
      <c r="AO193" s="34" t="n">
        <v>0</v>
      </c>
      <c r="AP193" s="39" t="n">
        <f aca="false">AVERAGEA(AQ193, AO193)</f>
        <v>0</v>
      </c>
      <c r="AQ193" s="34" t="n">
        <v>0</v>
      </c>
      <c r="AR193" s="37" t="n">
        <v>0</v>
      </c>
      <c r="AS193" s="38" t="n">
        <f aca="false">AVERAGEA(AT193, AR193)</f>
        <v>0</v>
      </c>
      <c r="AT193" s="37" t="n">
        <v>0</v>
      </c>
      <c r="AU193" s="34" t="n">
        <f aca="false">AU181*0.9</f>
        <v>720</v>
      </c>
      <c r="AV193" s="39" t="n">
        <f aca="false">AVERAGEA(AU193,AW193)</f>
        <v>945</v>
      </c>
      <c r="AW193" s="34" t="n">
        <f aca="false">AW181*0.9</f>
        <v>1170</v>
      </c>
      <c r="AX193" s="37" t="n">
        <v>18</v>
      </c>
      <c r="AY193" s="38" t="n">
        <f aca="false">AVERAGEA(AZ193, AX193)</f>
        <v>29</v>
      </c>
      <c r="AZ193" s="36" t="n">
        <v>40</v>
      </c>
      <c r="BA193" s="34" t="n">
        <v>5</v>
      </c>
      <c r="BB193" s="39" t="n">
        <f aca="false">AVERAGEA(BA193,BC193)</f>
        <v>9.5</v>
      </c>
      <c r="BC193" s="34" t="n">
        <v>14</v>
      </c>
      <c r="BD193" s="37" t="n">
        <v>0</v>
      </c>
      <c r="BE193" s="38" t="n">
        <f aca="false">AVERAGEA(BF193, BD193)</f>
        <v>0</v>
      </c>
      <c r="BF193" s="37" t="n">
        <v>0</v>
      </c>
      <c r="BG193" s="34" t="n">
        <v>0</v>
      </c>
      <c r="BH193" s="39" t="n">
        <f aca="false">AVERAGEA(BG193,BI193)</f>
        <v>0</v>
      </c>
      <c r="BI193" s="34" t="n">
        <v>0</v>
      </c>
      <c r="BJ193" s="37" t="n">
        <v>0</v>
      </c>
      <c r="BK193" s="38" t="n">
        <f aca="false">AVERAGEA(BL193, BJ193)</f>
        <v>0</v>
      </c>
      <c r="BL193" s="37" t="n">
        <v>0</v>
      </c>
      <c r="BM193" s="34" t="n">
        <v>0</v>
      </c>
      <c r="BN193" s="39" t="n">
        <f aca="false">AVERAGEA(BM193,BO193)</f>
        <v>0</v>
      </c>
      <c r="BO193" s="34" t="n">
        <v>0</v>
      </c>
      <c r="BP193" s="37" t="n">
        <v>0</v>
      </c>
      <c r="BQ193" s="38" t="n">
        <f aca="false">AVERAGEA(BR193, BP193)</f>
        <v>0</v>
      </c>
      <c r="BR193" s="37" t="n">
        <v>0</v>
      </c>
      <c r="BS193" s="34" t="n">
        <v>0</v>
      </c>
      <c r="BT193" s="39" t="n">
        <f aca="false">AVERAGEA(BS193,BU193)</f>
        <v>0</v>
      </c>
      <c r="BU193" s="121" t="n">
        <v>0</v>
      </c>
      <c r="BV193" s="37" t="n">
        <v>0</v>
      </c>
      <c r="BW193" s="38" t="n">
        <f aca="false">AVERAGEA(BX193, BV193)</f>
        <v>0</v>
      </c>
      <c r="BX193" s="37" t="n">
        <v>0</v>
      </c>
      <c r="BY193" s="34"/>
      <c r="BZ193" s="39" t="e">
        <f aca="false">AVERAGEA(BY193,CA193)</f>
        <v>#DIV/0!</v>
      </c>
      <c r="CA193" s="121"/>
      <c r="CB193" s="37"/>
      <c r="CC193" s="38" t="e">
        <f aca="false">AVERAGEA(CD193, CB193)</f>
        <v>#DIV/0!</v>
      </c>
      <c r="CD193" s="37"/>
      <c r="CE193" s="34"/>
      <c r="CF193" s="39" t="e">
        <f aca="false">AVERAGEA(CE193,CG193)</f>
        <v>#DIV/0!</v>
      </c>
      <c r="CG193" s="121"/>
    </row>
    <row r="194" s="18" customFormat="true" ht="28.35" hidden="false" customHeight="false" outlineLevel="0" collapsed="false">
      <c r="B194" s="124"/>
      <c r="C194" s="132"/>
      <c r="D194" s="132"/>
      <c r="E194" s="131"/>
      <c r="F194" s="129" t="s">
        <v>174</v>
      </c>
      <c r="G194" s="133"/>
      <c r="H194" s="37"/>
      <c r="I194" s="38" t="e">
        <f aca="false">AVERAGEA(H194,J194)</f>
        <v>#DIV/0!</v>
      </c>
      <c r="J194" s="36"/>
      <c r="K194" s="34" t="s">
        <v>55</v>
      </c>
      <c r="L194" s="39" t="n">
        <f aca="false">AVERAGEA(M194, K194)</f>
        <v>0</v>
      </c>
      <c r="M194" s="34" t="s">
        <v>55</v>
      </c>
      <c r="N194" s="37" t="n">
        <v>30</v>
      </c>
      <c r="O194" s="38" t="n">
        <f aca="false">AVERAGEA(N194,P194)</f>
        <v>36</v>
      </c>
      <c r="P194" s="36" t="n">
        <v>42</v>
      </c>
      <c r="Q194" s="34" t="s">
        <v>55</v>
      </c>
      <c r="R194" s="39" t="n">
        <f aca="false">AVERAGEA(S194, Q194)</f>
        <v>0</v>
      </c>
      <c r="S194" s="34" t="s">
        <v>55</v>
      </c>
      <c r="T194" s="37" t="s">
        <v>55</v>
      </c>
      <c r="U194" s="38" t="n">
        <f aca="false">AVERAGEA(T194,V194)</f>
        <v>0</v>
      </c>
      <c r="V194" s="36" t="s">
        <v>55</v>
      </c>
      <c r="W194" s="34" t="s">
        <v>55</v>
      </c>
      <c r="X194" s="39" t="n">
        <f aca="false">AVERAGEA(W194,Y194)</f>
        <v>0</v>
      </c>
      <c r="Y194" s="34" t="s">
        <v>55</v>
      </c>
      <c r="Z194" s="37" t="s">
        <v>55</v>
      </c>
      <c r="AA194" s="38"/>
      <c r="AB194" s="36" t="s">
        <v>55</v>
      </c>
      <c r="AC194" s="34" t="n">
        <v>22</v>
      </c>
      <c r="AD194" s="39" t="n">
        <f aca="false">AVERAGEA(AE194, AC194)</f>
        <v>31</v>
      </c>
      <c r="AE194" s="34" t="n">
        <v>40</v>
      </c>
      <c r="AF194" s="37" t="n">
        <v>0</v>
      </c>
      <c r="AG194" s="38" t="n">
        <f aca="false">AVERAGEA(AF194,AH194)</f>
        <v>0</v>
      </c>
      <c r="AH194" s="36" t="n">
        <v>0</v>
      </c>
      <c r="AI194" s="34" t="n">
        <v>15</v>
      </c>
      <c r="AJ194" s="39" t="n">
        <f aca="false">AVERAGEA(AK194, AI194)</f>
        <v>27.5</v>
      </c>
      <c r="AK194" s="34" t="n">
        <v>40</v>
      </c>
      <c r="AL194" s="37" t="n">
        <v>15</v>
      </c>
      <c r="AM194" s="38" t="n">
        <f aca="false">AVERAGEA(AL194,AN194)</f>
        <v>27.5</v>
      </c>
      <c r="AN194" s="36" t="n">
        <v>40</v>
      </c>
      <c r="AO194" s="34" t="n">
        <v>0</v>
      </c>
      <c r="AP194" s="39" t="n">
        <f aca="false">AVERAGEA(AQ194, AO194)</f>
        <v>0</v>
      </c>
      <c r="AQ194" s="34" t="n">
        <v>0</v>
      </c>
      <c r="AR194" s="37" t="n">
        <v>0</v>
      </c>
      <c r="AS194" s="38" t="n">
        <f aca="false">AVERAGEA(AT194, AR194)</f>
        <v>0</v>
      </c>
      <c r="AT194" s="37" t="n">
        <v>0</v>
      </c>
      <c r="AU194" s="34" t="n">
        <f aca="false">AU182*0.9</f>
        <v>810</v>
      </c>
      <c r="AV194" s="39" t="n">
        <f aca="false">AVERAGEA(AU194,AW194)</f>
        <v>1035</v>
      </c>
      <c r="AW194" s="34" t="n">
        <f aca="false">AW182*0.9</f>
        <v>1260</v>
      </c>
      <c r="AX194" s="37" t="n">
        <v>20</v>
      </c>
      <c r="AY194" s="38" t="n">
        <f aca="false">AVERAGEA(AZ194, AX194)</f>
        <v>31</v>
      </c>
      <c r="AZ194" s="36" t="n">
        <v>42</v>
      </c>
      <c r="BA194" s="34" t="n">
        <v>6</v>
      </c>
      <c r="BB194" s="39" t="n">
        <f aca="false">AVERAGEA(BA194,BC194)</f>
        <v>10.5</v>
      </c>
      <c r="BC194" s="34" t="n">
        <v>15</v>
      </c>
      <c r="BD194" s="37" t="n">
        <v>0</v>
      </c>
      <c r="BE194" s="38" t="n">
        <f aca="false">AVERAGEA(BF194, BD194)</f>
        <v>0</v>
      </c>
      <c r="BF194" s="37" t="n">
        <v>0</v>
      </c>
      <c r="BG194" s="34" t="n">
        <v>0</v>
      </c>
      <c r="BH194" s="39" t="n">
        <f aca="false">AVERAGEA(BG194,BI194)</f>
        <v>0</v>
      </c>
      <c r="BI194" s="34" t="n">
        <v>0</v>
      </c>
      <c r="BJ194" s="37" t="n">
        <v>0</v>
      </c>
      <c r="BK194" s="38" t="n">
        <f aca="false">AVERAGEA(BL194, BJ194)</f>
        <v>0</v>
      </c>
      <c r="BL194" s="37" t="n">
        <v>0</v>
      </c>
      <c r="BM194" s="34" t="n">
        <v>0</v>
      </c>
      <c r="BN194" s="39" t="n">
        <f aca="false">AVERAGEA(BM194,BO194)</f>
        <v>0</v>
      </c>
      <c r="BO194" s="34" t="n">
        <v>0</v>
      </c>
      <c r="BP194" s="37" t="n">
        <v>0</v>
      </c>
      <c r="BQ194" s="38" t="n">
        <f aca="false">AVERAGEA(BR194, BP194)</f>
        <v>0</v>
      </c>
      <c r="BR194" s="37" t="n">
        <v>0</v>
      </c>
      <c r="BS194" s="34" t="n">
        <v>0</v>
      </c>
      <c r="BT194" s="39" t="n">
        <f aca="false">AVERAGEA(BS194,BU194)</f>
        <v>0</v>
      </c>
      <c r="BU194" s="121" t="n">
        <v>0</v>
      </c>
      <c r="BV194" s="37" t="n">
        <v>0</v>
      </c>
      <c r="BW194" s="38" t="n">
        <f aca="false">AVERAGEA(BX194, BV194)</f>
        <v>0</v>
      </c>
      <c r="BX194" s="37" t="n">
        <v>0</v>
      </c>
      <c r="BY194" s="34"/>
      <c r="BZ194" s="39" t="e">
        <f aca="false">AVERAGEA(BY194,CA194)</f>
        <v>#DIV/0!</v>
      </c>
      <c r="CA194" s="121"/>
      <c r="CB194" s="37"/>
      <c r="CC194" s="38" t="e">
        <f aca="false">AVERAGEA(CD194, CB194)</f>
        <v>#DIV/0!</v>
      </c>
      <c r="CD194" s="37"/>
      <c r="CE194" s="34"/>
      <c r="CF194" s="39" t="e">
        <f aca="false">AVERAGEA(CE194,CG194)</f>
        <v>#DIV/0!</v>
      </c>
      <c r="CG194" s="121"/>
    </row>
    <row r="195" s="18" customFormat="true" ht="28.35" hidden="false" customHeight="false" outlineLevel="0" collapsed="false">
      <c r="B195" s="124"/>
      <c r="C195" s="132"/>
      <c r="D195" s="132"/>
      <c r="E195" s="131"/>
      <c r="F195" s="129" t="s">
        <v>175</v>
      </c>
      <c r="G195" s="133"/>
      <c r="H195" s="37"/>
      <c r="I195" s="38" t="e">
        <f aca="false">AVERAGEA(H195,J195)</f>
        <v>#DIV/0!</v>
      </c>
      <c r="J195" s="36"/>
      <c r="K195" s="34" t="s">
        <v>55</v>
      </c>
      <c r="L195" s="39" t="n">
        <f aca="false">AVERAGEA(M195, K195)</f>
        <v>0</v>
      </c>
      <c r="M195" s="34" t="s">
        <v>55</v>
      </c>
      <c r="N195" s="37" t="n">
        <v>28</v>
      </c>
      <c r="O195" s="38" t="n">
        <f aca="false">AVERAGEA(N195,P195)</f>
        <v>33</v>
      </c>
      <c r="P195" s="36" t="n">
        <v>38</v>
      </c>
      <c r="Q195" s="34" t="s">
        <v>55</v>
      </c>
      <c r="R195" s="39" t="n">
        <f aca="false">AVERAGEA(S195, Q195)</f>
        <v>0</v>
      </c>
      <c r="S195" s="34" t="s">
        <v>55</v>
      </c>
      <c r="T195" s="37" t="s">
        <v>55</v>
      </c>
      <c r="U195" s="38" t="n">
        <f aca="false">AVERAGEA(T195,V195)</f>
        <v>0</v>
      </c>
      <c r="V195" s="36" t="s">
        <v>55</v>
      </c>
      <c r="W195" s="34" t="s">
        <v>55</v>
      </c>
      <c r="X195" s="39" t="n">
        <f aca="false">AVERAGEA(W195,Y195)</f>
        <v>0</v>
      </c>
      <c r="Y195" s="34" t="s">
        <v>55</v>
      </c>
      <c r="Z195" s="37" t="s">
        <v>55</v>
      </c>
      <c r="AA195" s="38"/>
      <c r="AB195" s="36" t="s">
        <v>55</v>
      </c>
      <c r="AC195" s="34" t="n">
        <v>20</v>
      </c>
      <c r="AD195" s="39" t="n">
        <f aca="false">AVERAGEA(AE195, AC195)</f>
        <v>27.5</v>
      </c>
      <c r="AE195" s="34" t="n">
        <v>35</v>
      </c>
      <c r="AF195" s="37" t="n">
        <v>0</v>
      </c>
      <c r="AG195" s="38" t="n">
        <f aca="false">AVERAGEA(AF195,AH195)</f>
        <v>0</v>
      </c>
      <c r="AH195" s="36" t="n">
        <v>0</v>
      </c>
      <c r="AI195" s="34" t="n">
        <v>15</v>
      </c>
      <c r="AJ195" s="39" t="n">
        <f aca="false">AVERAGEA(AK195, AI195)</f>
        <v>27.5</v>
      </c>
      <c r="AK195" s="34" t="n">
        <v>40</v>
      </c>
      <c r="AL195" s="37" t="n">
        <v>15</v>
      </c>
      <c r="AM195" s="38" t="n">
        <f aca="false">AVERAGEA(AL195,AN195)</f>
        <v>27.5</v>
      </c>
      <c r="AN195" s="36" t="n">
        <v>40</v>
      </c>
      <c r="AO195" s="34" t="n">
        <v>0</v>
      </c>
      <c r="AP195" s="39" t="n">
        <f aca="false">AVERAGEA(AQ195, AO195)</f>
        <v>0</v>
      </c>
      <c r="AQ195" s="34" t="n">
        <v>0</v>
      </c>
      <c r="AR195" s="37" t="n">
        <v>0</v>
      </c>
      <c r="AS195" s="38" t="n">
        <f aca="false">AVERAGEA(AT195, AR195)</f>
        <v>0</v>
      </c>
      <c r="AT195" s="37" t="n">
        <v>0</v>
      </c>
      <c r="AU195" s="34" t="n">
        <f aca="false">AU183*0.9</f>
        <v>900</v>
      </c>
      <c r="AV195" s="39" t="n">
        <f aca="false">AVERAGEA(AU195,AW195)</f>
        <v>1125</v>
      </c>
      <c r="AW195" s="34" t="n">
        <f aca="false">AW183*0.9</f>
        <v>1350</v>
      </c>
      <c r="AX195" s="37" t="n">
        <v>22</v>
      </c>
      <c r="AY195" s="38" t="n">
        <f aca="false">AVERAGEA(AZ195, AX195)</f>
        <v>33.5</v>
      </c>
      <c r="AZ195" s="36" t="n">
        <v>45</v>
      </c>
      <c r="BA195" s="34" t="n">
        <v>7</v>
      </c>
      <c r="BB195" s="39" t="n">
        <f aca="false">AVERAGEA(BA195,BC195)</f>
        <v>11.5</v>
      </c>
      <c r="BC195" s="34" t="n">
        <v>16</v>
      </c>
      <c r="BD195" s="37" t="n">
        <v>0</v>
      </c>
      <c r="BE195" s="38" t="n">
        <f aca="false">AVERAGEA(BF195, BD195)</f>
        <v>0</v>
      </c>
      <c r="BF195" s="37" t="n">
        <v>0</v>
      </c>
      <c r="BG195" s="34" t="n">
        <v>0</v>
      </c>
      <c r="BH195" s="39" t="n">
        <f aca="false">AVERAGEA(BG195,BI195)</f>
        <v>0</v>
      </c>
      <c r="BI195" s="34" t="n">
        <v>0</v>
      </c>
      <c r="BJ195" s="37" t="n">
        <v>0</v>
      </c>
      <c r="BK195" s="38" t="n">
        <f aca="false">AVERAGEA(BL195, BJ195)</f>
        <v>0</v>
      </c>
      <c r="BL195" s="37" t="n">
        <v>0</v>
      </c>
      <c r="BM195" s="34" t="n">
        <v>0</v>
      </c>
      <c r="BN195" s="39" t="n">
        <f aca="false">AVERAGEA(BM195,BO195)</f>
        <v>0</v>
      </c>
      <c r="BO195" s="34" t="n">
        <v>0</v>
      </c>
      <c r="BP195" s="37" t="n">
        <v>0</v>
      </c>
      <c r="BQ195" s="38" t="n">
        <f aca="false">AVERAGEA(BR195, BP195)</f>
        <v>0</v>
      </c>
      <c r="BR195" s="37" t="n">
        <v>0</v>
      </c>
      <c r="BS195" s="34" t="n">
        <v>0</v>
      </c>
      <c r="BT195" s="39" t="n">
        <f aca="false">AVERAGEA(BS195,BU195)</f>
        <v>0</v>
      </c>
      <c r="BU195" s="121" t="n">
        <v>0</v>
      </c>
      <c r="BV195" s="37" t="n">
        <v>0</v>
      </c>
      <c r="BW195" s="38" t="n">
        <f aca="false">AVERAGEA(BX195, BV195)</f>
        <v>0</v>
      </c>
      <c r="BX195" s="37" t="n">
        <v>0</v>
      </c>
      <c r="BY195" s="34"/>
      <c r="BZ195" s="39" t="e">
        <f aca="false">AVERAGEA(BY195,CA195)</f>
        <v>#DIV/0!</v>
      </c>
      <c r="CA195" s="121"/>
      <c r="CB195" s="37"/>
      <c r="CC195" s="38" t="e">
        <f aca="false">AVERAGEA(CD195, CB195)</f>
        <v>#DIV/0!</v>
      </c>
      <c r="CD195" s="37"/>
      <c r="CE195" s="34"/>
      <c r="CF195" s="39" t="e">
        <f aca="false">AVERAGEA(CE195,CG195)</f>
        <v>#DIV/0!</v>
      </c>
      <c r="CG195" s="121"/>
    </row>
    <row r="196" s="18" customFormat="true" ht="28.35" hidden="false" customHeight="false" outlineLevel="0" collapsed="false">
      <c r="B196" s="124"/>
      <c r="C196" s="132"/>
      <c r="D196" s="132"/>
      <c r="E196" s="131"/>
      <c r="F196" s="129" t="s">
        <v>176</v>
      </c>
      <c r="G196" s="133"/>
      <c r="H196" s="37"/>
      <c r="I196" s="38" t="e">
        <f aca="false">AVERAGEA(H196,J196)</f>
        <v>#DIV/0!</v>
      </c>
      <c r="J196" s="36"/>
      <c r="K196" s="34" t="s">
        <v>55</v>
      </c>
      <c r="L196" s="39" t="n">
        <f aca="false">AVERAGEA(K196,M196)</f>
        <v>0</v>
      </c>
      <c r="M196" s="34" t="s">
        <v>55</v>
      </c>
      <c r="N196" s="37" t="n">
        <v>25</v>
      </c>
      <c r="O196" s="38" t="n">
        <f aca="false">AVERAGEA(N196,P196)</f>
        <v>30</v>
      </c>
      <c r="P196" s="36" t="n">
        <v>35</v>
      </c>
      <c r="Q196" s="34" t="s">
        <v>55</v>
      </c>
      <c r="R196" s="39" t="n">
        <f aca="false">AVERAGEA(Q196,S196)</f>
        <v>0</v>
      </c>
      <c r="S196" s="34" t="s">
        <v>55</v>
      </c>
      <c r="T196" s="37" t="s">
        <v>55</v>
      </c>
      <c r="U196" s="38" t="n">
        <f aca="false">AVERAGEA(T196,V196)</f>
        <v>0</v>
      </c>
      <c r="V196" s="36" t="s">
        <v>55</v>
      </c>
      <c r="W196" s="34" t="s">
        <v>55</v>
      </c>
      <c r="X196" s="39" t="n">
        <f aca="false">AVERAGEA(W196,Y196)</f>
        <v>0</v>
      </c>
      <c r="Y196" s="34" t="s">
        <v>55</v>
      </c>
      <c r="Z196" s="37" t="s">
        <v>55</v>
      </c>
      <c r="AA196" s="38"/>
      <c r="AB196" s="36" t="s">
        <v>55</v>
      </c>
      <c r="AC196" s="34" t="n">
        <v>18</v>
      </c>
      <c r="AD196" s="39" t="n">
        <f aca="false">AVERAGEA(AC196,AE196)</f>
        <v>25</v>
      </c>
      <c r="AE196" s="34" t="n">
        <v>32</v>
      </c>
      <c r="AF196" s="37" t="n">
        <v>0</v>
      </c>
      <c r="AG196" s="38" t="n">
        <f aca="false">AVERAGEA(AF196,AH196)</f>
        <v>0</v>
      </c>
      <c r="AH196" s="36" t="n">
        <v>0</v>
      </c>
      <c r="AI196" s="34" t="n">
        <v>15</v>
      </c>
      <c r="AJ196" s="39" t="n">
        <f aca="false">AVERAGEA(AI196,AK196)</f>
        <v>27.5</v>
      </c>
      <c r="AK196" s="34" t="n">
        <v>40</v>
      </c>
      <c r="AL196" s="37" t="n">
        <v>15</v>
      </c>
      <c r="AM196" s="38" t="n">
        <f aca="false">AVERAGEA(AL196,AN196)</f>
        <v>27.5</v>
      </c>
      <c r="AN196" s="36" t="n">
        <v>40</v>
      </c>
      <c r="AO196" s="34" t="n">
        <v>0</v>
      </c>
      <c r="AP196" s="39" t="n">
        <f aca="false">AVERAGEA(AO196,AQ196)</f>
        <v>0</v>
      </c>
      <c r="AQ196" s="34" t="n">
        <v>0</v>
      </c>
      <c r="AR196" s="37" t="n">
        <v>0</v>
      </c>
      <c r="AS196" s="38" t="n">
        <f aca="false">AVERAGEA(AR196,AT196)</f>
        <v>0</v>
      </c>
      <c r="AT196" s="36" t="n">
        <v>0</v>
      </c>
      <c r="AU196" s="34" t="n">
        <f aca="false">AU184*0.9</f>
        <v>990</v>
      </c>
      <c r="AV196" s="39" t="n">
        <f aca="false">AVERAGEA(AU196,AW196)</f>
        <v>1215</v>
      </c>
      <c r="AW196" s="34" t="n">
        <f aca="false">AW184*0.9</f>
        <v>1440</v>
      </c>
      <c r="AX196" s="37" t="n">
        <v>25</v>
      </c>
      <c r="AY196" s="38" t="n">
        <f aca="false">AVERAGEA(AX196,AZ196)</f>
        <v>37.5</v>
      </c>
      <c r="AZ196" s="36" t="n">
        <v>50</v>
      </c>
      <c r="BA196" s="34" t="n">
        <v>8</v>
      </c>
      <c r="BB196" s="39" t="n">
        <f aca="false">AVERAGEA(BA196,BC196)</f>
        <v>13</v>
      </c>
      <c r="BC196" s="34" t="n">
        <v>18</v>
      </c>
      <c r="BD196" s="37" t="n">
        <v>0</v>
      </c>
      <c r="BE196" s="38" t="n">
        <f aca="false">AVERAGEA(BD196,BF196)</f>
        <v>0</v>
      </c>
      <c r="BF196" s="37" t="n">
        <v>0</v>
      </c>
      <c r="BG196" s="34" t="n">
        <v>0</v>
      </c>
      <c r="BH196" s="39" t="n">
        <f aca="false">AVERAGEA(BG196,BI196)</f>
        <v>0</v>
      </c>
      <c r="BI196" s="34" t="n">
        <v>0</v>
      </c>
      <c r="BJ196" s="37" t="n">
        <v>0</v>
      </c>
      <c r="BK196" s="38" t="n">
        <f aca="false">AVERAGEA(BJ196,BL196)</f>
        <v>0</v>
      </c>
      <c r="BL196" s="37" t="n">
        <v>0</v>
      </c>
      <c r="BM196" s="34" t="n">
        <v>0</v>
      </c>
      <c r="BN196" s="39" t="n">
        <f aca="false">AVERAGEA(BM196,BO196)</f>
        <v>0</v>
      </c>
      <c r="BO196" s="34" t="n">
        <v>0</v>
      </c>
      <c r="BP196" s="37" t="n">
        <v>0</v>
      </c>
      <c r="BQ196" s="38" t="n">
        <f aca="false">AVERAGEA(BP196,BR196)</f>
        <v>0</v>
      </c>
      <c r="BR196" s="37" t="n">
        <v>0</v>
      </c>
      <c r="BS196" s="34" t="n">
        <v>0</v>
      </c>
      <c r="BT196" s="39" t="n">
        <f aca="false">AVERAGEA(BS196,BU196)</f>
        <v>0</v>
      </c>
      <c r="BU196" s="121" t="n">
        <v>0</v>
      </c>
      <c r="BV196" s="37" t="n">
        <v>0</v>
      </c>
      <c r="BW196" s="38" t="n">
        <f aca="false">AVERAGEA(BV196,BX196)</f>
        <v>0</v>
      </c>
      <c r="BX196" s="37" t="n">
        <v>0</v>
      </c>
      <c r="BY196" s="34"/>
      <c r="BZ196" s="39" t="e">
        <f aca="false">AVERAGEA(BY196,CA196)</f>
        <v>#DIV/0!</v>
      </c>
      <c r="CA196" s="121"/>
      <c r="CB196" s="37"/>
      <c r="CC196" s="38" t="e">
        <f aca="false">AVERAGEA(CB196,CD196)</f>
        <v>#DIV/0!</v>
      </c>
      <c r="CD196" s="37"/>
      <c r="CE196" s="34"/>
      <c r="CF196" s="39" t="e">
        <f aca="false">AVERAGEA(CE196,CG196)</f>
        <v>#DIV/0!</v>
      </c>
      <c r="CG196" s="121"/>
    </row>
    <row r="197" s="18" customFormat="true" ht="26.4" hidden="false" customHeight="true" outlineLevel="0" collapsed="false">
      <c r="B197" s="124"/>
      <c r="C197" s="132"/>
      <c r="D197" s="134" t="s">
        <v>171</v>
      </c>
      <c r="E197" s="131"/>
      <c r="F197" s="129" t="s">
        <v>172</v>
      </c>
      <c r="G197" s="133" t="s">
        <v>178</v>
      </c>
      <c r="H197" s="37"/>
      <c r="I197" s="38" t="e">
        <f aca="false">AVERAGEA(H197,J197)</f>
        <v>#DIV/0!</v>
      </c>
      <c r="J197" s="36"/>
      <c r="K197" s="34" t="s">
        <v>55</v>
      </c>
      <c r="L197" s="39" t="n">
        <f aca="false">AVERAGEA(M197, K197)</f>
        <v>0</v>
      </c>
      <c r="M197" s="34" t="s">
        <v>55</v>
      </c>
      <c r="N197" s="37" t="n">
        <v>35</v>
      </c>
      <c r="O197" s="38" t="n">
        <f aca="false">AVERAGEA(N197,P197)</f>
        <v>42.5</v>
      </c>
      <c r="P197" s="36" t="n">
        <v>50</v>
      </c>
      <c r="Q197" s="34" t="s">
        <v>55</v>
      </c>
      <c r="R197" s="39" t="n">
        <f aca="false">AVERAGEA(S197, Q197)</f>
        <v>0</v>
      </c>
      <c r="S197" s="34" t="s">
        <v>55</v>
      </c>
      <c r="T197" s="37" t="s">
        <v>55</v>
      </c>
      <c r="U197" s="38" t="n">
        <f aca="false">AVERAGEA(T197,V197)</f>
        <v>0</v>
      </c>
      <c r="V197" s="36" t="s">
        <v>55</v>
      </c>
      <c r="W197" s="34" t="s">
        <v>55</v>
      </c>
      <c r="X197" s="39" t="n">
        <f aca="false">AVERAGEA(W197,Y197)</f>
        <v>0</v>
      </c>
      <c r="Y197" s="34" t="s">
        <v>55</v>
      </c>
      <c r="Z197" s="37" t="s">
        <v>55</v>
      </c>
      <c r="AA197" s="38"/>
      <c r="AB197" s="36" t="s">
        <v>55</v>
      </c>
      <c r="AC197" s="34" t="n">
        <f aca="false">AC193*1.23</f>
        <v>31.98</v>
      </c>
      <c r="AD197" s="39" t="n">
        <f aca="false">AVERAGEA(AE197, AC197)</f>
        <v>45.51</v>
      </c>
      <c r="AE197" s="34" t="n">
        <f aca="false">AE193*1.23</f>
        <v>59.04</v>
      </c>
      <c r="AF197" s="37" t="n">
        <v>0</v>
      </c>
      <c r="AG197" s="38" t="n">
        <f aca="false">AVERAGEA(AF197,AH197)</f>
        <v>0</v>
      </c>
      <c r="AH197" s="36" t="n">
        <v>0</v>
      </c>
      <c r="AI197" s="34" t="n">
        <v>15</v>
      </c>
      <c r="AJ197" s="39" t="n">
        <f aca="false">AVERAGEA(AK197, AI197)</f>
        <v>27.5</v>
      </c>
      <c r="AK197" s="34" t="n">
        <v>40</v>
      </c>
      <c r="AL197" s="37" t="n">
        <v>15</v>
      </c>
      <c r="AM197" s="38" t="n">
        <f aca="false">AVERAGEA(AL197,AN197)</f>
        <v>27.5</v>
      </c>
      <c r="AN197" s="36" t="n">
        <v>40</v>
      </c>
      <c r="AO197" s="34" t="n">
        <v>0</v>
      </c>
      <c r="AP197" s="39" t="n">
        <f aca="false">AVERAGEA(AQ197, AO197)</f>
        <v>0</v>
      </c>
      <c r="AQ197" s="34" t="n">
        <v>0</v>
      </c>
      <c r="AR197" s="37" t="n">
        <v>0</v>
      </c>
      <c r="AS197" s="38" t="n">
        <f aca="false">AVERAGEA(AT197, AR197)</f>
        <v>0</v>
      </c>
      <c r="AT197" s="37" t="n">
        <v>0</v>
      </c>
      <c r="AU197" s="34" t="n">
        <f aca="false">AU185*0.9</f>
        <v>720</v>
      </c>
      <c r="AV197" s="39" t="n">
        <f aca="false">AVERAGEA(AU197,AW197)</f>
        <v>945</v>
      </c>
      <c r="AW197" s="34" t="n">
        <f aca="false">AW185*0.9</f>
        <v>1170</v>
      </c>
      <c r="AX197" s="37" t="n">
        <v>18</v>
      </c>
      <c r="AY197" s="38" t="n">
        <f aca="false">AVERAGEA(AZ197, AX197)</f>
        <v>29</v>
      </c>
      <c r="AZ197" s="36" t="n">
        <v>40</v>
      </c>
      <c r="BA197" s="34" t="n">
        <v>5</v>
      </c>
      <c r="BB197" s="39" t="n">
        <f aca="false">AVERAGEA(BA197,BC197)</f>
        <v>9.5</v>
      </c>
      <c r="BC197" s="34" t="n">
        <v>14</v>
      </c>
      <c r="BD197" s="37" t="n">
        <v>0</v>
      </c>
      <c r="BE197" s="38" t="n">
        <f aca="false">AVERAGEA(BF197, BD197)</f>
        <v>0</v>
      </c>
      <c r="BF197" s="37" t="n">
        <v>0</v>
      </c>
      <c r="BG197" s="34" t="n">
        <v>0</v>
      </c>
      <c r="BH197" s="39" t="n">
        <f aca="false">AVERAGEA(BG197,BI197)</f>
        <v>0</v>
      </c>
      <c r="BI197" s="34" t="n">
        <v>0</v>
      </c>
      <c r="BJ197" s="37" t="n">
        <v>0</v>
      </c>
      <c r="BK197" s="38" t="n">
        <f aca="false">AVERAGEA(BL197, BJ197)</f>
        <v>0</v>
      </c>
      <c r="BL197" s="37" t="n">
        <v>0</v>
      </c>
      <c r="BM197" s="34" t="n">
        <v>0</v>
      </c>
      <c r="BN197" s="39" t="n">
        <f aca="false">AVERAGEA(BM197,BO197)</f>
        <v>0</v>
      </c>
      <c r="BO197" s="34" t="n">
        <v>0</v>
      </c>
      <c r="BP197" s="37" t="n">
        <v>0</v>
      </c>
      <c r="BQ197" s="38" t="n">
        <f aca="false">AVERAGEA(BR197, BP197)</f>
        <v>0</v>
      </c>
      <c r="BR197" s="37" t="n">
        <v>0</v>
      </c>
      <c r="BS197" s="34" t="n">
        <v>0</v>
      </c>
      <c r="BT197" s="39" t="n">
        <f aca="false">AVERAGEA(BS197,BU197)</f>
        <v>0</v>
      </c>
      <c r="BU197" s="121" t="n">
        <v>0</v>
      </c>
      <c r="BV197" s="37" t="n">
        <v>0</v>
      </c>
      <c r="BW197" s="38" t="n">
        <f aca="false">AVERAGEA(BX197, BV197)</f>
        <v>0</v>
      </c>
      <c r="BX197" s="37" t="n">
        <v>0</v>
      </c>
      <c r="BY197" s="34"/>
      <c r="BZ197" s="39" t="e">
        <f aca="false">AVERAGEA(BY197,CA197)</f>
        <v>#DIV/0!</v>
      </c>
      <c r="CA197" s="121"/>
      <c r="CB197" s="37"/>
      <c r="CC197" s="38" t="e">
        <f aca="false">AVERAGEA(CD197, CB197)</f>
        <v>#DIV/0!</v>
      </c>
      <c r="CD197" s="37"/>
      <c r="CE197" s="34"/>
      <c r="CF197" s="39" t="e">
        <f aca="false">AVERAGEA(CE197,CG197)</f>
        <v>#DIV/0!</v>
      </c>
      <c r="CG197" s="121"/>
    </row>
    <row r="198" s="18" customFormat="true" ht="28.35" hidden="false" customHeight="false" outlineLevel="0" collapsed="false">
      <c r="B198" s="124"/>
      <c r="C198" s="132"/>
      <c r="D198" s="132"/>
      <c r="E198" s="131"/>
      <c r="F198" s="129" t="s">
        <v>174</v>
      </c>
      <c r="G198" s="133"/>
      <c r="H198" s="37"/>
      <c r="I198" s="38" t="e">
        <f aca="false">AVERAGEA(H198,J198)</f>
        <v>#DIV/0!</v>
      </c>
      <c r="J198" s="36"/>
      <c r="K198" s="34" t="s">
        <v>55</v>
      </c>
      <c r="L198" s="39" t="n">
        <f aca="false">AVERAGEA(M198, K198)</f>
        <v>0</v>
      </c>
      <c r="M198" s="34" t="s">
        <v>55</v>
      </c>
      <c r="N198" s="37" t="n">
        <v>30</v>
      </c>
      <c r="O198" s="38" t="n">
        <f aca="false">AVERAGEA(N198,P198)</f>
        <v>36</v>
      </c>
      <c r="P198" s="36" t="n">
        <v>42</v>
      </c>
      <c r="Q198" s="34" t="s">
        <v>55</v>
      </c>
      <c r="R198" s="39" t="n">
        <f aca="false">AVERAGEA(S198, Q198)</f>
        <v>0</v>
      </c>
      <c r="S198" s="34" t="s">
        <v>55</v>
      </c>
      <c r="T198" s="37" t="s">
        <v>55</v>
      </c>
      <c r="U198" s="38" t="n">
        <f aca="false">AVERAGEA(T198,V198)</f>
        <v>0</v>
      </c>
      <c r="V198" s="36" t="s">
        <v>55</v>
      </c>
      <c r="W198" s="34" t="s">
        <v>55</v>
      </c>
      <c r="X198" s="39" t="n">
        <f aca="false">AVERAGEA(W198,Y198)</f>
        <v>0</v>
      </c>
      <c r="Y198" s="34" t="s">
        <v>55</v>
      </c>
      <c r="Z198" s="37" t="s">
        <v>55</v>
      </c>
      <c r="AA198" s="38"/>
      <c r="AB198" s="36" t="s">
        <v>55</v>
      </c>
      <c r="AC198" s="34" t="n">
        <f aca="false">AC194*1.23</f>
        <v>27.06</v>
      </c>
      <c r="AD198" s="39" t="n">
        <f aca="false">AVERAGEA(AE198, AC198)</f>
        <v>38.13</v>
      </c>
      <c r="AE198" s="34" t="n">
        <f aca="false">AE194*1.23</f>
        <v>49.2</v>
      </c>
      <c r="AF198" s="37" t="n">
        <v>0</v>
      </c>
      <c r="AG198" s="38" t="n">
        <f aca="false">AVERAGEA(AF198,AH198)</f>
        <v>0</v>
      </c>
      <c r="AH198" s="36" t="n">
        <v>0</v>
      </c>
      <c r="AI198" s="34" t="n">
        <v>15</v>
      </c>
      <c r="AJ198" s="39" t="n">
        <f aca="false">AVERAGEA(AK198, AI198)</f>
        <v>27.5</v>
      </c>
      <c r="AK198" s="34" t="n">
        <v>40</v>
      </c>
      <c r="AL198" s="37" t="n">
        <v>15</v>
      </c>
      <c r="AM198" s="38" t="n">
        <f aca="false">AVERAGEA(AL198,AN198)</f>
        <v>27.5</v>
      </c>
      <c r="AN198" s="36" t="n">
        <v>40</v>
      </c>
      <c r="AO198" s="34" t="n">
        <v>0</v>
      </c>
      <c r="AP198" s="39" t="n">
        <f aca="false">AVERAGEA(AQ198, AO198)</f>
        <v>0</v>
      </c>
      <c r="AQ198" s="34" t="n">
        <v>0</v>
      </c>
      <c r="AR198" s="37" t="n">
        <v>0</v>
      </c>
      <c r="AS198" s="38" t="n">
        <f aca="false">AVERAGEA(AT198, AR198)</f>
        <v>0</v>
      </c>
      <c r="AT198" s="37" t="n">
        <v>0</v>
      </c>
      <c r="AU198" s="34" t="n">
        <f aca="false">AU186*0.9</f>
        <v>810</v>
      </c>
      <c r="AV198" s="39" t="n">
        <f aca="false">AVERAGEA(AU198,AW198)</f>
        <v>1035</v>
      </c>
      <c r="AW198" s="34" t="n">
        <f aca="false">AW186*0.9</f>
        <v>1260</v>
      </c>
      <c r="AX198" s="37" t="n">
        <v>20</v>
      </c>
      <c r="AY198" s="38" t="n">
        <f aca="false">AVERAGEA(AZ198, AX198)</f>
        <v>31</v>
      </c>
      <c r="AZ198" s="36" t="n">
        <v>42</v>
      </c>
      <c r="BA198" s="34" t="n">
        <v>6</v>
      </c>
      <c r="BB198" s="39" t="n">
        <f aca="false">AVERAGEA(BA198,BC198)</f>
        <v>10.5</v>
      </c>
      <c r="BC198" s="34" t="n">
        <v>15</v>
      </c>
      <c r="BD198" s="37" t="n">
        <v>0</v>
      </c>
      <c r="BE198" s="38" t="n">
        <f aca="false">AVERAGEA(BF198, BD198)</f>
        <v>0</v>
      </c>
      <c r="BF198" s="37" t="n">
        <v>0</v>
      </c>
      <c r="BG198" s="34" t="n">
        <v>0</v>
      </c>
      <c r="BH198" s="39" t="n">
        <f aca="false">AVERAGEA(BG198,BI198)</f>
        <v>0</v>
      </c>
      <c r="BI198" s="34" t="n">
        <v>0</v>
      </c>
      <c r="BJ198" s="37" t="n">
        <v>0</v>
      </c>
      <c r="BK198" s="38" t="n">
        <f aca="false">AVERAGEA(BL198, BJ198)</f>
        <v>0</v>
      </c>
      <c r="BL198" s="37" t="n">
        <v>0</v>
      </c>
      <c r="BM198" s="34" t="n">
        <v>0</v>
      </c>
      <c r="BN198" s="39" t="n">
        <f aca="false">AVERAGEA(BM198,BO198)</f>
        <v>0</v>
      </c>
      <c r="BO198" s="34" t="n">
        <v>0</v>
      </c>
      <c r="BP198" s="37" t="n">
        <v>0</v>
      </c>
      <c r="BQ198" s="38" t="n">
        <f aca="false">AVERAGEA(BR198, BP198)</f>
        <v>0</v>
      </c>
      <c r="BR198" s="37" t="n">
        <v>0</v>
      </c>
      <c r="BS198" s="34" t="n">
        <v>0</v>
      </c>
      <c r="BT198" s="39" t="n">
        <f aca="false">AVERAGEA(BS198,BU198)</f>
        <v>0</v>
      </c>
      <c r="BU198" s="121" t="n">
        <v>0</v>
      </c>
      <c r="BV198" s="37" t="n">
        <v>0</v>
      </c>
      <c r="BW198" s="38" t="n">
        <f aca="false">AVERAGEA(BX198, BV198)</f>
        <v>0</v>
      </c>
      <c r="BX198" s="37" t="n">
        <v>0</v>
      </c>
      <c r="BY198" s="34"/>
      <c r="BZ198" s="39" t="e">
        <f aca="false">AVERAGEA(BY198,CA198)</f>
        <v>#DIV/0!</v>
      </c>
      <c r="CA198" s="121"/>
      <c r="CB198" s="37"/>
      <c r="CC198" s="38" t="e">
        <f aca="false">AVERAGEA(CD198, CB198)</f>
        <v>#DIV/0!</v>
      </c>
      <c r="CD198" s="37"/>
      <c r="CE198" s="34"/>
      <c r="CF198" s="39" t="e">
        <f aca="false">AVERAGEA(CE198,CG198)</f>
        <v>#DIV/0!</v>
      </c>
      <c r="CG198" s="121"/>
    </row>
    <row r="199" s="18" customFormat="true" ht="28.35" hidden="false" customHeight="false" outlineLevel="0" collapsed="false">
      <c r="B199" s="124"/>
      <c r="C199" s="132"/>
      <c r="D199" s="132"/>
      <c r="E199" s="131"/>
      <c r="F199" s="129" t="s">
        <v>175</v>
      </c>
      <c r="G199" s="133"/>
      <c r="H199" s="37"/>
      <c r="I199" s="38" t="e">
        <f aca="false">AVERAGEA(H199,J199)</f>
        <v>#DIV/0!</v>
      </c>
      <c r="J199" s="36"/>
      <c r="K199" s="34" t="s">
        <v>55</v>
      </c>
      <c r="L199" s="39" t="n">
        <f aca="false">AVERAGEA(M199, K199)</f>
        <v>0</v>
      </c>
      <c r="M199" s="34" t="s">
        <v>55</v>
      </c>
      <c r="N199" s="37" t="n">
        <v>28</v>
      </c>
      <c r="O199" s="38" t="n">
        <f aca="false">AVERAGEA(N199,P199)</f>
        <v>33</v>
      </c>
      <c r="P199" s="36" t="n">
        <v>38</v>
      </c>
      <c r="Q199" s="34" t="s">
        <v>55</v>
      </c>
      <c r="R199" s="39" t="n">
        <f aca="false">AVERAGEA(S199, Q199)</f>
        <v>0</v>
      </c>
      <c r="S199" s="34" t="s">
        <v>55</v>
      </c>
      <c r="T199" s="37" t="s">
        <v>55</v>
      </c>
      <c r="U199" s="38" t="n">
        <f aca="false">AVERAGEA(T199,V199)</f>
        <v>0</v>
      </c>
      <c r="V199" s="36" t="s">
        <v>55</v>
      </c>
      <c r="W199" s="34" t="s">
        <v>55</v>
      </c>
      <c r="X199" s="39" t="n">
        <f aca="false">AVERAGEA(W199,Y199)</f>
        <v>0</v>
      </c>
      <c r="Y199" s="34" t="s">
        <v>55</v>
      </c>
      <c r="Z199" s="37" t="s">
        <v>55</v>
      </c>
      <c r="AA199" s="38"/>
      <c r="AB199" s="36" t="s">
        <v>55</v>
      </c>
      <c r="AC199" s="34" t="n">
        <f aca="false">AC195*1.23</f>
        <v>24.6</v>
      </c>
      <c r="AD199" s="39" t="n">
        <f aca="false">AVERAGEA(AE199, AC199)</f>
        <v>33.825</v>
      </c>
      <c r="AE199" s="34" t="n">
        <f aca="false">AE195*1.23</f>
        <v>43.05</v>
      </c>
      <c r="AF199" s="37" t="n">
        <v>0</v>
      </c>
      <c r="AG199" s="38" t="n">
        <f aca="false">AVERAGEA(AF199,AH199)</f>
        <v>0</v>
      </c>
      <c r="AH199" s="36" t="n">
        <v>0</v>
      </c>
      <c r="AI199" s="34" t="n">
        <v>15</v>
      </c>
      <c r="AJ199" s="39" t="n">
        <f aca="false">AVERAGEA(AK199, AI199)</f>
        <v>27.5</v>
      </c>
      <c r="AK199" s="34" t="n">
        <v>40</v>
      </c>
      <c r="AL199" s="37" t="n">
        <v>15</v>
      </c>
      <c r="AM199" s="38" t="n">
        <f aca="false">AVERAGEA(AL199,AN199)</f>
        <v>27.5</v>
      </c>
      <c r="AN199" s="36" t="n">
        <v>40</v>
      </c>
      <c r="AO199" s="34" t="n">
        <v>0</v>
      </c>
      <c r="AP199" s="39" t="n">
        <f aca="false">AVERAGEA(AQ199, AO199)</f>
        <v>0</v>
      </c>
      <c r="AQ199" s="34" t="n">
        <v>0</v>
      </c>
      <c r="AR199" s="37" t="n">
        <v>0</v>
      </c>
      <c r="AS199" s="38" t="n">
        <f aca="false">AVERAGEA(AT199, AR199)</f>
        <v>0</v>
      </c>
      <c r="AT199" s="37" t="n">
        <v>0</v>
      </c>
      <c r="AU199" s="34" t="n">
        <f aca="false">AU187*0.9</f>
        <v>900</v>
      </c>
      <c r="AV199" s="39" t="n">
        <f aca="false">AVERAGEA(AU199,AW199)</f>
        <v>1125</v>
      </c>
      <c r="AW199" s="34" t="n">
        <f aca="false">AW187*0.9</f>
        <v>1350</v>
      </c>
      <c r="AX199" s="37" t="n">
        <v>22</v>
      </c>
      <c r="AY199" s="38" t="n">
        <f aca="false">AVERAGEA(AZ199, AX199)</f>
        <v>33.5</v>
      </c>
      <c r="AZ199" s="36" t="n">
        <v>45</v>
      </c>
      <c r="BA199" s="34" t="n">
        <v>7</v>
      </c>
      <c r="BB199" s="39" t="n">
        <f aca="false">AVERAGEA(BA199,BC199)</f>
        <v>11.5</v>
      </c>
      <c r="BC199" s="34" t="n">
        <v>16</v>
      </c>
      <c r="BD199" s="37" t="n">
        <v>0</v>
      </c>
      <c r="BE199" s="38" t="n">
        <f aca="false">AVERAGEA(BF199, BD199)</f>
        <v>0</v>
      </c>
      <c r="BF199" s="37" t="n">
        <v>0</v>
      </c>
      <c r="BG199" s="34" t="n">
        <v>0</v>
      </c>
      <c r="BH199" s="39" t="n">
        <f aca="false">AVERAGEA(BG199,BI199)</f>
        <v>0</v>
      </c>
      <c r="BI199" s="34" t="n">
        <v>0</v>
      </c>
      <c r="BJ199" s="37" t="n">
        <v>0</v>
      </c>
      <c r="BK199" s="38" t="n">
        <f aca="false">AVERAGEA(BL199, BJ199)</f>
        <v>0</v>
      </c>
      <c r="BL199" s="37" t="n">
        <v>0</v>
      </c>
      <c r="BM199" s="34" t="n">
        <v>0</v>
      </c>
      <c r="BN199" s="39" t="n">
        <f aca="false">AVERAGEA(BM199,BO199)</f>
        <v>0</v>
      </c>
      <c r="BO199" s="34" t="n">
        <v>0</v>
      </c>
      <c r="BP199" s="37" t="n">
        <v>0</v>
      </c>
      <c r="BQ199" s="38" t="n">
        <f aca="false">AVERAGEA(BR199, BP199)</f>
        <v>0</v>
      </c>
      <c r="BR199" s="37" t="n">
        <v>0</v>
      </c>
      <c r="BS199" s="34" t="n">
        <v>0</v>
      </c>
      <c r="BT199" s="39" t="n">
        <f aca="false">AVERAGEA(BS199,BU199)</f>
        <v>0</v>
      </c>
      <c r="BU199" s="121" t="n">
        <v>0</v>
      </c>
      <c r="BV199" s="37" t="n">
        <v>0</v>
      </c>
      <c r="BW199" s="38" t="n">
        <f aca="false">AVERAGEA(BX199, BV199)</f>
        <v>0</v>
      </c>
      <c r="BX199" s="37" t="n">
        <v>0</v>
      </c>
      <c r="BY199" s="34"/>
      <c r="BZ199" s="39" t="e">
        <f aca="false">AVERAGEA(BY199,CA199)</f>
        <v>#DIV/0!</v>
      </c>
      <c r="CA199" s="121"/>
      <c r="CB199" s="37"/>
      <c r="CC199" s="38" t="e">
        <f aca="false">AVERAGEA(CD199, CB199)</f>
        <v>#DIV/0!</v>
      </c>
      <c r="CD199" s="37"/>
      <c r="CE199" s="34"/>
      <c r="CF199" s="39" t="e">
        <f aca="false">AVERAGEA(CE199,CG199)</f>
        <v>#DIV/0!</v>
      </c>
      <c r="CG199" s="121"/>
    </row>
    <row r="200" s="18" customFormat="true" ht="28.35" hidden="false" customHeight="false" outlineLevel="0" collapsed="false">
      <c r="B200" s="124"/>
      <c r="C200" s="132"/>
      <c r="D200" s="132"/>
      <c r="E200" s="131"/>
      <c r="F200" s="129" t="s">
        <v>176</v>
      </c>
      <c r="G200" s="133"/>
      <c r="H200" s="37"/>
      <c r="I200" s="38" t="e">
        <f aca="false">AVERAGEA(H200,J200)</f>
        <v>#DIV/0!</v>
      </c>
      <c r="J200" s="36"/>
      <c r="K200" s="34" t="s">
        <v>55</v>
      </c>
      <c r="L200" s="39" t="n">
        <f aca="false">AVERAGEA(K200,M200)</f>
        <v>0</v>
      </c>
      <c r="M200" s="34" t="s">
        <v>55</v>
      </c>
      <c r="N200" s="37" t="n">
        <v>25</v>
      </c>
      <c r="O200" s="38" t="n">
        <f aca="false">AVERAGEA(N200,P200)</f>
        <v>30</v>
      </c>
      <c r="P200" s="36" t="n">
        <v>35</v>
      </c>
      <c r="Q200" s="34" t="s">
        <v>55</v>
      </c>
      <c r="R200" s="39" t="n">
        <f aca="false">AVERAGEA(Q200,S200)</f>
        <v>0</v>
      </c>
      <c r="S200" s="34" t="s">
        <v>55</v>
      </c>
      <c r="T200" s="37" t="s">
        <v>55</v>
      </c>
      <c r="U200" s="38" t="n">
        <f aca="false">AVERAGEA(T200,V200)</f>
        <v>0</v>
      </c>
      <c r="V200" s="36" t="s">
        <v>55</v>
      </c>
      <c r="W200" s="34" t="s">
        <v>55</v>
      </c>
      <c r="X200" s="39" t="n">
        <f aca="false">AVERAGEA(W200,Y200)</f>
        <v>0</v>
      </c>
      <c r="Y200" s="34" t="s">
        <v>55</v>
      </c>
      <c r="Z200" s="37" t="s">
        <v>55</v>
      </c>
      <c r="AA200" s="38"/>
      <c r="AB200" s="36" t="s">
        <v>55</v>
      </c>
      <c r="AC200" s="34" t="n">
        <f aca="false">AC196*1.23</f>
        <v>22.14</v>
      </c>
      <c r="AD200" s="39" t="n">
        <f aca="false">AVERAGEA(AC200,AE200)</f>
        <v>30.75</v>
      </c>
      <c r="AE200" s="34" t="n">
        <f aca="false">AE196*1.23</f>
        <v>39.36</v>
      </c>
      <c r="AF200" s="37" t="n">
        <v>0</v>
      </c>
      <c r="AG200" s="38" t="n">
        <f aca="false">AVERAGEA(AF200,AH200)</f>
        <v>0</v>
      </c>
      <c r="AH200" s="36" t="n">
        <v>0</v>
      </c>
      <c r="AI200" s="34" t="n">
        <v>15</v>
      </c>
      <c r="AJ200" s="39" t="n">
        <f aca="false">AVERAGEA(AI200,AK200)</f>
        <v>27.5</v>
      </c>
      <c r="AK200" s="34" t="n">
        <v>40</v>
      </c>
      <c r="AL200" s="37" t="n">
        <v>15</v>
      </c>
      <c r="AM200" s="38" t="n">
        <f aca="false">AVERAGEA(AL200,AN200)</f>
        <v>27.5</v>
      </c>
      <c r="AN200" s="36" t="n">
        <v>40</v>
      </c>
      <c r="AO200" s="34" t="n">
        <v>0</v>
      </c>
      <c r="AP200" s="39" t="n">
        <f aca="false">AVERAGEA(AO200,AQ200)</f>
        <v>0</v>
      </c>
      <c r="AQ200" s="34" t="n">
        <v>0</v>
      </c>
      <c r="AR200" s="37" t="n">
        <v>0</v>
      </c>
      <c r="AS200" s="38" t="n">
        <f aca="false">AVERAGEA(AR200,AT200)</f>
        <v>0</v>
      </c>
      <c r="AT200" s="36" t="n">
        <v>0</v>
      </c>
      <c r="AU200" s="34" t="n">
        <f aca="false">AU188*0.9</f>
        <v>990</v>
      </c>
      <c r="AV200" s="39" t="n">
        <f aca="false">AVERAGEA(AU200,AW200)</f>
        <v>1215</v>
      </c>
      <c r="AW200" s="34" t="n">
        <f aca="false">AW188*0.9</f>
        <v>1440</v>
      </c>
      <c r="AX200" s="37" t="n">
        <v>25</v>
      </c>
      <c r="AY200" s="38" t="n">
        <f aca="false">AVERAGEA(AX200,AZ200)</f>
        <v>37.5</v>
      </c>
      <c r="AZ200" s="36" t="n">
        <v>50</v>
      </c>
      <c r="BA200" s="34" t="n">
        <v>8</v>
      </c>
      <c r="BB200" s="39" t="n">
        <f aca="false">AVERAGEA(BA200,BC200)</f>
        <v>13</v>
      </c>
      <c r="BC200" s="34" t="n">
        <v>18</v>
      </c>
      <c r="BD200" s="37" t="n">
        <v>0</v>
      </c>
      <c r="BE200" s="38" t="n">
        <f aca="false">AVERAGEA(BD200,BF200)</f>
        <v>0</v>
      </c>
      <c r="BF200" s="37" t="n">
        <v>0</v>
      </c>
      <c r="BG200" s="34" t="n">
        <v>0</v>
      </c>
      <c r="BH200" s="39" t="n">
        <f aca="false">AVERAGEA(BG200,BI200)</f>
        <v>0</v>
      </c>
      <c r="BI200" s="34" t="n">
        <v>0</v>
      </c>
      <c r="BJ200" s="37" t="n">
        <v>0</v>
      </c>
      <c r="BK200" s="38" t="n">
        <f aca="false">AVERAGEA(BJ200,BL200)</f>
        <v>0</v>
      </c>
      <c r="BL200" s="37" t="n">
        <v>0</v>
      </c>
      <c r="BM200" s="34" t="n">
        <v>0</v>
      </c>
      <c r="BN200" s="39" t="n">
        <f aca="false">AVERAGEA(BM200,BO200)</f>
        <v>0</v>
      </c>
      <c r="BO200" s="34" t="n">
        <v>0</v>
      </c>
      <c r="BP200" s="37" t="n">
        <v>0</v>
      </c>
      <c r="BQ200" s="38" t="n">
        <f aca="false">AVERAGEA(BP200,BR200)</f>
        <v>0</v>
      </c>
      <c r="BR200" s="37" t="n">
        <v>0</v>
      </c>
      <c r="BS200" s="34" t="n">
        <v>0</v>
      </c>
      <c r="BT200" s="39" t="n">
        <f aca="false">AVERAGEA(BS200,BU200)</f>
        <v>0</v>
      </c>
      <c r="BU200" s="121" t="n">
        <v>0</v>
      </c>
      <c r="BV200" s="37" t="n">
        <v>0</v>
      </c>
      <c r="BW200" s="38" t="n">
        <f aca="false">AVERAGEA(BV200,BX200)</f>
        <v>0</v>
      </c>
      <c r="BX200" s="37" t="n">
        <v>0</v>
      </c>
      <c r="BY200" s="34"/>
      <c r="BZ200" s="39" t="e">
        <f aca="false">AVERAGEA(BY200,CA200)</f>
        <v>#DIV/0!</v>
      </c>
      <c r="CA200" s="121"/>
      <c r="CB200" s="37"/>
      <c r="CC200" s="38" t="e">
        <f aca="false">AVERAGEA(CB200,CD200)</f>
        <v>#DIV/0!</v>
      </c>
      <c r="CD200" s="37"/>
      <c r="CE200" s="34"/>
      <c r="CF200" s="39" t="e">
        <f aca="false">AVERAGEA(CE200,CG200)</f>
        <v>#DIV/0!</v>
      </c>
      <c r="CG200" s="121"/>
    </row>
    <row r="201" s="18" customFormat="true" ht="26.4" hidden="false" customHeight="true" outlineLevel="0" collapsed="false">
      <c r="B201" s="124"/>
      <c r="C201" s="132"/>
      <c r="D201" s="134" t="s">
        <v>171</v>
      </c>
      <c r="E201" s="131"/>
      <c r="F201" s="129" t="s">
        <v>172</v>
      </c>
      <c r="G201" s="133" t="s">
        <v>179</v>
      </c>
      <c r="H201" s="37"/>
      <c r="I201" s="38" t="e">
        <f aca="false">AVERAGEA(H201,J201)</f>
        <v>#DIV/0!</v>
      </c>
      <c r="J201" s="36"/>
      <c r="K201" s="34" t="s">
        <v>55</v>
      </c>
      <c r="L201" s="39" t="n">
        <f aca="false">AVERAGEA(M201, K201)</f>
        <v>0</v>
      </c>
      <c r="M201" s="34" t="s">
        <v>55</v>
      </c>
      <c r="N201" s="37" t="n">
        <v>35</v>
      </c>
      <c r="O201" s="38" t="n">
        <f aca="false">AVERAGEA(N201,P201)</f>
        <v>42.5</v>
      </c>
      <c r="P201" s="36" t="n">
        <v>50</v>
      </c>
      <c r="Q201" s="34" t="s">
        <v>55</v>
      </c>
      <c r="R201" s="39" t="n">
        <f aca="false">AVERAGEA(S201, Q201)</f>
        <v>0</v>
      </c>
      <c r="S201" s="34" t="s">
        <v>55</v>
      </c>
      <c r="T201" s="37" t="s">
        <v>55</v>
      </c>
      <c r="U201" s="38" t="n">
        <f aca="false">AVERAGEA(T201,V201)</f>
        <v>0</v>
      </c>
      <c r="V201" s="36" t="s">
        <v>55</v>
      </c>
      <c r="W201" s="34" t="s">
        <v>55</v>
      </c>
      <c r="X201" s="39" t="n">
        <f aca="false">AVERAGEA(W201,Y201)</f>
        <v>0</v>
      </c>
      <c r="Y201" s="34" t="s">
        <v>55</v>
      </c>
      <c r="Z201" s="37" t="s">
        <v>55</v>
      </c>
      <c r="AA201" s="38"/>
      <c r="AB201" s="36" t="s">
        <v>55</v>
      </c>
      <c r="AC201" s="34" t="n">
        <f aca="false">AC193*1.66</f>
        <v>43.16</v>
      </c>
      <c r="AD201" s="39" t="n">
        <f aca="false">AVERAGEA(AE201, AC201)</f>
        <v>61.42</v>
      </c>
      <c r="AE201" s="34" t="n">
        <f aca="false">AE193*1.66</f>
        <v>79.68</v>
      </c>
      <c r="AF201" s="37" t="n">
        <v>0</v>
      </c>
      <c r="AG201" s="38" t="n">
        <f aca="false">AVERAGEA(AF201,AH201)</f>
        <v>0</v>
      </c>
      <c r="AH201" s="36" t="n">
        <v>0</v>
      </c>
      <c r="AI201" s="34" t="n">
        <v>15</v>
      </c>
      <c r="AJ201" s="39" t="n">
        <f aca="false">AVERAGEA(AK201, AI201)</f>
        <v>27.5</v>
      </c>
      <c r="AK201" s="34" t="n">
        <v>40</v>
      </c>
      <c r="AL201" s="37" t="n">
        <v>15</v>
      </c>
      <c r="AM201" s="38" t="n">
        <f aca="false">AVERAGEA(AL201,AN201)</f>
        <v>27.5</v>
      </c>
      <c r="AN201" s="36" t="n">
        <v>40</v>
      </c>
      <c r="AO201" s="34" t="n">
        <v>0</v>
      </c>
      <c r="AP201" s="39" t="n">
        <f aca="false">AVERAGEA(AQ201, AO201)</f>
        <v>0</v>
      </c>
      <c r="AQ201" s="34" t="n">
        <v>0</v>
      </c>
      <c r="AR201" s="37" t="n">
        <v>0</v>
      </c>
      <c r="AS201" s="38" t="n">
        <f aca="false">AVERAGEA(AT201, AR201)</f>
        <v>0</v>
      </c>
      <c r="AT201" s="37" t="n">
        <v>0</v>
      </c>
      <c r="AU201" s="34" t="n">
        <f aca="false">AU189*0.9</f>
        <v>720</v>
      </c>
      <c r="AV201" s="39" t="n">
        <f aca="false">AVERAGEA(AU201,AW201)</f>
        <v>945</v>
      </c>
      <c r="AW201" s="34" t="n">
        <f aca="false">AW189*0.9</f>
        <v>1170</v>
      </c>
      <c r="AX201" s="37" t="n">
        <v>18</v>
      </c>
      <c r="AY201" s="38" t="n">
        <f aca="false">AVERAGEA(AZ201, AX201)</f>
        <v>29</v>
      </c>
      <c r="AZ201" s="36" t="n">
        <v>40</v>
      </c>
      <c r="BA201" s="34" t="n">
        <v>5</v>
      </c>
      <c r="BB201" s="39" t="n">
        <f aca="false">AVERAGEA(BA201,BC201)</f>
        <v>9.5</v>
      </c>
      <c r="BC201" s="34" t="n">
        <v>14</v>
      </c>
      <c r="BD201" s="37" t="n">
        <v>0</v>
      </c>
      <c r="BE201" s="38" t="n">
        <f aca="false">AVERAGEA(BF201, BD201)</f>
        <v>0</v>
      </c>
      <c r="BF201" s="37" t="n">
        <v>0</v>
      </c>
      <c r="BG201" s="34" t="n">
        <v>0</v>
      </c>
      <c r="BH201" s="39" t="n">
        <f aca="false">AVERAGEA(BG201,BI201)</f>
        <v>0</v>
      </c>
      <c r="BI201" s="34" t="n">
        <v>0</v>
      </c>
      <c r="BJ201" s="37" t="n">
        <v>0</v>
      </c>
      <c r="BK201" s="38" t="n">
        <f aca="false">AVERAGEA(BL201, BJ201)</f>
        <v>0</v>
      </c>
      <c r="BL201" s="37" t="n">
        <v>0</v>
      </c>
      <c r="BM201" s="34" t="n">
        <v>0</v>
      </c>
      <c r="BN201" s="39" t="n">
        <f aca="false">AVERAGEA(BM201,BO201)</f>
        <v>0</v>
      </c>
      <c r="BO201" s="34" t="n">
        <v>0</v>
      </c>
      <c r="BP201" s="37" t="n">
        <v>0</v>
      </c>
      <c r="BQ201" s="38" t="n">
        <f aca="false">AVERAGEA(BR201, BP201)</f>
        <v>0</v>
      </c>
      <c r="BR201" s="37" t="n">
        <v>0</v>
      </c>
      <c r="BS201" s="34" t="n">
        <v>0</v>
      </c>
      <c r="BT201" s="39" t="n">
        <f aca="false">AVERAGEA(BS201,BU201)</f>
        <v>0</v>
      </c>
      <c r="BU201" s="121" t="n">
        <v>0</v>
      </c>
      <c r="BV201" s="37" t="n">
        <v>0</v>
      </c>
      <c r="BW201" s="38" t="n">
        <f aca="false">AVERAGEA(BX201, BV201)</f>
        <v>0</v>
      </c>
      <c r="BX201" s="37" t="n">
        <v>0</v>
      </c>
      <c r="BY201" s="34"/>
      <c r="BZ201" s="39" t="e">
        <f aca="false">AVERAGEA(BY201,CA201)</f>
        <v>#DIV/0!</v>
      </c>
      <c r="CA201" s="121"/>
      <c r="CB201" s="37"/>
      <c r="CC201" s="38" t="e">
        <f aca="false">AVERAGEA(CD201, CB201)</f>
        <v>#DIV/0!</v>
      </c>
      <c r="CD201" s="37"/>
      <c r="CE201" s="34"/>
      <c r="CF201" s="39" t="e">
        <f aca="false">AVERAGEA(CE201,CG201)</f>
        <v>#DIV/0!</v>
      </c>
      <c r="CG201" s="121"/>
    </row>
    <row r="202" s="18" customFormat="true" ht="28.35" hidden="false" customHeight="false" outlineLevel="0" collapsed="false">
      <c r="B202" s="124"/>
      <c r="C202" s="132"/>
      <c r="D202" s="132"/>
      <c r="E202" s="131"/>
      <c r="F202" s="129" t="s">
        <v>174</v>
      </c>
      <c r="G202" s="133"/>
      <c r="H202" s="37"/>
      <c r="I202" s="38" t="e">
        <f aca="false">AVERAGEA(H202,J202)</f>
        <v>#DIV/0!</v>
      </c>
      <c r="J202" s="36"/>
      <c r="K202" s="34" t="s">
        <v>55</v>
      </c>
      <c r="L202" s="39" t="n">
        <f aca="false">AVERAGEA(M202, K202)</f>
        <v>0</v>
      </c>
      <c r="M202" s="34" t="s">
        <v>55</v>
      </c>
      <c r="N202" s="37" t="n">
        <v>30</v>
      </c>
      <c r="O202" s="38" t="n">
        <f aca="false">AVERAGEA(N202,P202)</f>
        <v>36</v>
      </c>
      <c r="P202" s="36" t="n">
        <v>42</v>
      </c>
      <c r="Q202" s="34" t="s">
        <v>55</v>
      </c>
      <c r="R202" s="39" t="n">
        <f aca="false">AVERAGEA(S202, Q202)</f>
        <v>0</v>
      </c>
      <c r="S202" s="34" t="s">
        <v>55</v>
      </c>
      <c r="T202" s="37" t="s">
        <v>55</v>
      </c>
      <c r="U202" s="38" t="n">
        <f aca="false">AVERAGEA(T202,V202)</f>
        <v>0</v>
      </c>
      <c r="V202" s="36" t="s">
        <v>55</v>
      </c>
      <c r="W202" s="34" t="s">
        <v>55</v>
      </c>
      <c r="X202" s="39" t="n">
        <f aca="false">AVERAGEA(W202,Y202)</f>
        <v>0</v>
      </c>
      <c r="Y202" s="34" t="s">
        <v>55</v>
      </c>
      <c r="Z202" s="37" t="s">
        <v>55</v>
      </c>
      <c r="AA202" s="38"/>
      <c r="AB202" s="36" t="s">
        <v>55</v>
      </c>
      <c r="AC202" s="34" t="n">
        <f aca="false">AC194*1.66</f>
        <v>36.52</v>
      </c>
      <c r="AD202" s="39" t="n">
        <f aca="false">AVERAGEA(AE202, AC202)</f>
        <v>51.46</v>
      </c>
      <c r="AE202" s="34" t="n">
        <f aca="false">AE194*1.66</f>
        <v>66.4</v>
      </c>
      <c r="AF202" s="37" t="n">
        <v>0</v>
      </c>
      <c r="AG202" s="38" t="n">
        <f aca="false">AVERAGEA(AF202,AH202)</f>
        <v>0</v>
      </c>
      <c r="AH202" s="36" t="n">
        <v>0</v>
      </c>
      <c r="AI202" s="34" t="n">
        <v>15</v>
      </c>
      <c r="AJ202" s="39" t="n">
        <f aca="false">AVERAGEA(AK202, AI202)</f>
        <v>27.5</v>
      </c>
      <c r="AK202" s="34" t="n">
        <v>40</v>
      </c>
      <c r="AL202" s="37" t="n">
        <v>15</v>
      </c>
      <c r="AM202" s="38" t="n">
        <f aca="false">AVERAGEA(AL202,AN202)</f>
        <v>27.5</v>
      </c>
      <c r="AN202" s="36" t="n">
        <v>40</v>
      </c>
      <c r="AO202" s="34" t="n">
        <v>0</v>
      </c>
      <c r="AP202" s="39" t="n">
        <f aca="false">AVERAGEA(AQ202, AO202)</f>
        <v>0</v>
      </c>
      <c r="AQ202" s="34" t="n">
        <v>0</v>
      </c>
      <c r="AR202" s="37" t="n">
        <v>0</v>
      </c>
      <c r="AS202" s="38" t="n">
        <f aca="false">AVERAGEA(AT202, AR202)</f>
        <v>0</v>
      </c>
      <c r="AT202" s="37" t="n">
        <v>0</v>
      </c>
      <c r="AU202" s="34" t="n">
        <f aca="false">AU190*0.9</f>
        <v>810</v>
      </c>
      <c r="AV202" s="39" t="n">
        <f aca="false">AVERAGEA(AU202,AW202)</f>
        <v>1035</v>
      </c>
      <c r="AW202" s="34" t="n">
        <f aca="false">AW190*0.9</f>
        <v>1260</v>
      </c>
      <c r="AX202" s="37" t="n">
        <v>20</v>
      </c>
      <c r="AY202" s="38" t="n">
        <f aca="false">AVERAGEA(AZ202, AX202)</f>
        <v>31</v>
      </c>
      <c r="AZ202" s="36" t="n">
        <v>42</v>
      </c>
      <c r="BA202" s="34" t="n">
        <v>6</v>
      </c>
      <c r="BB202" s="39" t="n">
        <f aca="false">AVERAGEA(BA202,BC202)</f>
        <v>10.5</v>
      </c>
      <c r="BC202" s="34" t="n">
        <v>15</v>
      </c>
      <c r="BD202" s="37" t="n">
        <v>0</v>
      </c>
      <c r="BE202" s="38" t="n">
        <f aca="false">AVERAGEA(BF202, BD202)</f>
        <v>0</v>
      </c>
      <c r="BF202" s="37" t="n">
        <v>0</v>
      </c>
      <c r="BG202" s="34" t="n">
        <v>0</v>
      </c>
      <c r="BH202" s="39" t="n">
        <f aca="false">AVERAGEA(BG202,BI202)</f>
        <v>0</v>
      </c>
      <c r="BI202" s="34" t="n">
        <v>0</v>
      </c>
      <c r="BJ202" s="37" t="n">
        <v>0</v>
      </c>
      <c r="BK202" s="38" t="n">
        <f aca="false">AVERAGEA(BL202, BJ202)</f>
        <v>0</v>
      </c>
      <c r="BL202" s="37" t="n">
        <v>0</v>
      </c>
      <c r="BM202" s="34" t="n">
        <v>0</v>
      </c>
      <c r="BN202" s="39" t="n">
        <f aca="false">AVERAGEA(BM202,BO202)</f>
        <v>0</v>
      </c>
      <c r="BO202" s="34" t="n">
        <v>0</v>
      </c>
      <c r="BP202" s="37" t="n">
        <v>0</v>
      </c>
      <c r="BQ202" s="38" t="n">
        <f aca="false">AVERAGEA(BR202, BP202)</f>
        <v>0</v>
      </c>
      <c r="BR202" s="37" t="n">
        <v>0</v>
      </c>
      <c r="BS202" s="34" t="n">
        <v>0</v>
      </c>
      <c r="BT202" s="39" t="n">
        <f aca="false">AVERAGEA(BS202,BU202)</f>
        <v>0</v>
      </c>
      <c r="BU202" s="121" t="n">
        <v>0</v>
      </c>
      <c r="BV202" s="37" t="n">
        <v>0</v>
      </c>
      <c r="BW202" s="38" t="n">
        <f aca="false">AVERAGEA(BX202, BV202)</f>
        <v>0</v>
      </c>
      <c r="BX202" s="37" t="n">
        <v>0</v>
      </c>
      <c r="BY202" s="34"/>
      <c r="BZ202" s="39" t="e">
        <f aca="false">AVERAGEA(BY202,CA202)</f>
        <v>#DIV/0!</v>
      </c>
      <c r="CA202" s="121"/>
      <c r="CB202" s="37"/>
      <c r="CC202" s="38" t="e">
        <f aca="false">AVERAGEA(CD202, CB202)</f>
        <v>#DIV/0!</v>
      </c>
      <c r="CD202" s="37"/>
      <c r="CE202" s="34"/>
      <c r="CF202" s="39" t="e">
        <f aca="false">AVERAGEA(CE202,CG202)</f>
        <v>#DIV/0!</v>
      </c>
      <c r="CG202" s="121"/>
    </row>
    <row r="203" s="18" customFormat="true" ht="28.35" hidden="false" customHeight="false" outlineLevel="0" collapsed="false">
      <c r="B203" s="124"/>
      <c r="C203" s="132"/>
      <c r="D203" s="132"/>
      <c r="E203" s="131"/>
      <c r="F203" s="129" t="s">
        <v>175</v>
      </c>
      <c r="G203" s="133"/>
      <c r="H203" s="37"/>
      <c r="I203" s="38" t="e">
        <f aca="false">AVERAGEA(H203,J203)</f>
        <v>#DIV/0!</v>
      </c>
      <c r="J203" s="36"/>
      <c r="K203" s="34" t="s">
        <v>55</v>
      </c>
      <c r="L203" s="39" t="n">
        <f aca="false">AVERAGEA(M203, K203)</f>
        <v>0</v>
      </c>
      <c r="M203" s="34" t="s">
        <v>55</v>
      </c>
      <c r="N203" s="37" t="n">
        <v>28</v>
      </c>
      <c r="O203" s="38" t="n">
        <f aca="false">AVERAGEA(N203,P203)</f>
        <v>33</v>
      </c>
      <c r="P203" s="36" t="n">
        <v>38</v>
      </c>
      <c r="Q203" s="34" t="s">
        <v>55</v>
      </c>
      <c r="R203" s="39" t="n">
        <f aca="false">AVERAGEA(S203, Q203)</f>
        <v>0</v>
      </c>
      <c r="S203" s="34" t="s">
        <v>55</v>
      </c>
      <c r="T203" s="37" t="s">
        <v>55</v>
      </c>
      <c r="U203" s="38" t="n">
        <f aca="false">AVERAGEA(T203,V203)</f>
        <v>0</v>
      </c>
      <c r="V203" s="36" t="s">
        <v>55</v>
      </c>
      <c r="W203" s="34" t="s">
        <v>55</v>
      </c>
      <c r="X203" s="39" t="n">
        <f aca="false">AVERAGEA(W203,Y203)</f>
        <v>0</v>
      </c>
      <c r="Y203" s="34" t="s">
        <v>55</v>
      </c>
      <c r="Z203" s="37" t="s">
        <v>55</v>
      </c>
      <c r="AA203" s="38"/>
      <c r="AB203" s="36" t="s">
        <v>55</v>
      </c>
      <c r="AC203" s="34" t="n">
        <f aca="false">AC195*1.66</f>
        <v>33.2</v>
      </c>
      <c r="AD203" s="39" t="n">
        <f aca="false">AVERAGEA(AE203, AC203)</f>
        <v>45.65</v>
      </c>
      <c r="AE203" s="34" t="n">
        <f aca="false">AE195*1.66</f>
        <v>58.1</v>
      </c>
      <c r="AF203" s="37" t="n">
        <v>0</v>
      </c>
      <c r="AG203" s="38" t="n">
        <f aca="false">AVERAGEA(AF203,AH203)</f>
        <v>0</v>
      </c>
      <c r="AH203" s="36" t="n">
        <v>0</v>
      </c>
      <c r="AI203" s="34" t="n">
        <v>15</v>
      </c>
      <c r="AJ203" s="39" t="n">
        <f aca="false">AVERAGEA(AK203, AI203)</f>
        <v>27.5</v>
      </c>
      <c r="AK203" s="34" t="n">
        <v>40</v>
      </c>
      <c r="AL203" s="37" t="n">
        <v>15</v>
      </c>
      <c r="AM203" s="38" t="n">
        <f aca="false">AVERAGEA(AL203,AN203)</f>
        <v>27.5</v>
      </c>
      <c r="AN203" s="36" t="n">
        <v>40</v>
      </c>
      <c r="AO203" s="34" t="n">
        <v>0</v>
      </c>
      <c r="AP203" s="39" t="n">
        <f aca="false">AVERAGEA(AQ203, AO203)</f>
        <v>0</v>
      </c>
      <c r="AQ203" s="34" t="n">
        <v>0</v>
      </c>
      <c r="AR203" s="37" t="n">
        <v>0</v>
      </c>
      <c r="AS203" s="38" t="n">
        <f aca="false">AVERAGEA(AT203, AR203)</f>
        <v>0</v>
      </c>
      <c r="AT203" s="37" t="n">
        <v>0</v>
      </c>
      <c r="AU203" s="34" t="n">
        <f aca="false">AU191*0.9</f>
        <v>900</v>
      </c>
      <c r="AV203" s="39" t="n">
        <f aca="false">AVERAGEA(AU203,AW203)</f>
        <v>1125</v>
      </c>
      <c r="AW203" s="34" t="n">
        <f aca="false">AW191*0.9</f>
        <v>1350</v>
      </c>
      <c r="AX203" s="37" t="n">
        <v>22</v>
      </c>
      <c r="AY203" s="38" t="n">
        <f aca="false">AVERAGEA(AZ203, AX203)</f>
        <v>33.5</v>
      </c>
      <c r="AZ203" s="36" t="n">
        <v>45</v>
      </c>
      <c r="BA203" s="34" t="n">
        <v>7</v>
      </c>
      <c r="BB203" s="39" t="n">
        <f aca="false">AVERAGEA(BA203,BC203)</f>
        <v>11.5</v>
      </c>
      <c r="BC203" s="34" t="n">
        <v>16</v>
      </c>
      <c r="BD203" s="37" t="n">
        <v>0</v>
      </c>
      <c r="BE203" s="38" t="n">
        <f aca="false">AVERAGEA(BF203, BD203)</f>
        <v>0</v>
      </c>
      <c r="BF203" s="37" t="n">
        <v>0</v>
      </c>
      <c r="BG203" s="34" t="n">
        <v>0</v>
      </c>
      <c r="BH203" s="39" t="n">
        <f aca="false">AVERAGEA(BG203,BI203)</f>
        <v>0</v>
      </c>
      <c r="BI203" s="34" t="n">
        <v>0</v>
      </c>
      <c r="BJ203" s="37" t="n">
        <v>0</v>
      </c>
      <c r="BK203" s="38" t="n">
        <f aca="false">AVERAGEA(BL203, BJ203)</f>
        <v>0</v>
      </c>
      <c r="BL203" s="37" t="n">
        <v>0</v>
      </c>
      <c r="BM203" s="34" t="n">
        <v>0</v>
      </c>
      <c r="BN203" s="39" t="n">
        <f aca="false">AVERAGEA(BM203,BO203)</f>
        <v>0</v>
      </c>
      <c r="BO203" s="34" t="n">
        <v>0</v>
      </c>
      <c r="BP203" s="37" t="n">
        <v>0</v>
      </c>
      <c r="BQ203" s="38" t="n">
        <f aca="false">AVERAGEA(BR203, BP203)</f>
        <v>0</v>
      </c>
      <c r="BR203" s="37" t="n">
        <v>0</v>
      </c>
      <c r="BS203" s="34" t="n">
        <v>0</v>
      </c>
      <c r="BT203" s="39" t="n">
        <f aca="false">AVERAGEA(BS203,BU203)</f>
        <v>0</v>
      </c>
      <c r="BU203" s="121" t="n">
        <v>0</v>
      </c>
      <c r="BV203" s="37" t="n">
        <v>0</v>
      </c>
      <c r="BW203" s="38" t="n">
        <f aca="false">AVERAGEA(BX203, BV203)</f>
        <v>0</v>
      </c>
      <c r="BX203" s="37" t="n">
        <v>0</v>
      </c>
      <c r="BY203" s="34"/>
      <c r="BZ203" s="39" t="e">
        <f aca="false">AVERAGEA(BY203,CA203)</f>
        <v>#DIV/0!</v>
      </c>
      <c r="CA203" s="121"/>
      <c r="CB203" s="37"/>
      <c r="CC203" s="38" t="e">
        <f aca="false">AVERAGEA(CD203, CB203)</f>
        <v>#DIV/0!</v>
      </c>
      <c r="CD203" s="37"/>
      <c r="CE203" s="34"/>
      <c r="CF203" s="39" t="e">
        <f aca="false">AVERAGEA(CE203,CG203)</f>
        <v>#DIV/0!</v>
      </c>
      <c r="CG203" s="121"/>
    </row>
    <row r="204" s="18" customFormat="true" ht="28.35" hidden="false" customHeight="false" outlineLevel="0" collapsed="false">
      <c r="B204" s="124"/>
      <c r="C204" s="132"/>
      <c r="D204" s="132"/>
      <c r="E204" s="131"/>
      <c r="F204" s="129" t="s">
        <v>176</v>
      </c>
      <c r="G204" s="133"/>
      <c r="H204" s="37"/>
      <c r="I204" s="38" t="e">
        <f aca="false">AVERAGEA(H204,J204)</f>
        <v>#DIV/0!</v>
      </c>
      <c r="J204" s="36"/>
      <c r="K204" s="34" t="s">
        <v>55</v>
      </c>
      <c r="L204" s="39" t="n">
        <f aca="false">AVERAGEA(K204,M204)</f>
        <v>0</v>
      </c>
      <c r="M204" s="34" t="s">
        <v>55</v>
      </c>
      <c r="N204" s="37" t="n">
        <v>25</v>
      </c>
      <c r="O204" s="38" t="n">
        <f aca="false">AVERAGEA(N204,P204)</f>
        <v>30</v>
      </c>
      <c r="P204" s="36" t="n">
        <v>35</v>
      </c>
      <c r="Q204" s="34" t="s">
        <v>55</v>
      </c>
      <c r="R204" s="39" t="n">
        <f aca="false">AVERAGEA(Q204,S204)</f>
        <v>0</v>
      </c>
      <c r="S204" s="34" t="s">
        <v>55</v>
      </c>
      <c r="T204" s="37" t="s">
        <v>55</v>
      </c>
      <c r="U204" s="38" t="n">
        <f aca="false">AVERAGEA(T204,V204)</f>
        <v>0</v>
      </c>
      <c r="V204" s="36" t="s">
        <v>55</v>
      </c>
      <c r="W204" s="34" t="s">
        <v>55</v>
      </c>
      <c r="X204" s="39" t="n">
        <f aca="false">AVERAGEA(W204,Y204)</f>
        <v>0</v>
      </c>
      <c r="Y204" s="34" t="s">
        <v>55</v>
      </c>
      <c r="Z204" s="37" t="s">
        <v>55</v>
      </c>
      <c r="AA204" s="38"/>
      <c r="AB204" s="36" t="s">
        <v>55</v>
      </c>
      <c r="AC204" s="34" t="n">
        <f aca="false">AC196*1.66</f>
        <v>29.88</v>
      </c>
      <c r="AD204" s="39" t="n">
        <f aca="false">AVERAGEA(AC204,AE204)</f>
        <v>41.5</v>
      </c>
      <c r="AE204" s="34" t="n">
        <f aca="false">AE196*1.66</f>
        <v>53.12</v>
      </c>
      <c r="AF204" s="37" t="n">
        <v>0</v>
      </c>
      <c r="AG204" s="38" t="n">
        <f aca="false">AVERAGEA(AF204,AH204)</f>
        <v>0</v>
      </c>
      <c r="AH204" s="36" t="n">
        <v>0</v>
      </c>
      <c r="AI204" s="34" t="n">
        <v>15</v>
      </c>
      <c r="AJ204" s="39" t="n">
        <f aca="false">AVERAGEA(AI204,AK204)</f>
        <v>27.5</v>
      </c>
      <c r="AK204" s="34" t="n">
        <v>40</v>
      </c>
      <c r="AL204" s="37" t="n">
        <v>15</v>
      </c>
      <c r="AM204" s="38" t="n">
        <f aca="false">AVERAGEA(AL204,AN204)</f>
        <v>27.5</v>
      </c>
      <c r="AN204" s="36" t="n">
        <v>40</v>
      </c>
      <c r="AO204" s="34" t="n">
        <v>0</v>
      </c>
      <c r="AP204" s="39" t="n">
        <f aca="false">AVERAGEA(AO204,AQ204)</f>
        <v>0</v>
      </c>
      <c r="AQ204" s="34" t="n">
        <v>0</v>
      </c>
      <c r="AR204" s="37" t="n">
        <v>0</v>
      </c>
      <c r="AS204" s="38" t="n">
        <f aca="false">AVERAGEA(AR204,AT204)</f>
        <v>0</v>
      </c>
      <c r="AT204" s="36" t="n">
        <v>0</v>
      </c>
      <c r="AU204" s="34" t="n">
        <f aca="false">AU192*0.9</f>
        <v>990</v>
      </c>
      <c r="AV204" s="39" t="n">
        <f aca="false">AVERAGEA(AU204,AW204)</f>
        <v>1215</v>
      </c>
      <c r="AW204" s="34" t="n">
        <f aca="false">AW192*0.9</f>
        <v>1440</v>
      </c>
      <c r="AX204" s="37" t="n">
        <v>25</v>
      </c>
      <c r="AY204" s="38" t="n">
        <f aca="false">AVERAGEA(AX204,AZ204)</f>
        <v>37.5</v>
      </c>
      <c r="AZ204" s="36" t="n">
        <v>50</v>
      </c>
      <c r="BA204" s="34" t="n">
        <v>8</v>
      </c>
      <c r="BB204" s="39" t="n">
        <f aca="false">AVERAGEA(BA204,BC204)</f>
        <v>13</v>
      </c>
      <c r="BC204" s="34" t="n">
        <v>18</v>
      </c>
      <c r="BD204" s="37" t="n">
        <v>0</v>
      </c>
      <c r="BE204" s="38" t="n">
        <f aca="false">AVERAGEA(BD204,BF204)</f>
        <v>0</v>
      </c>
      <c r="BF204" s="37" t="n">
        <v>0</v>
      </c>
      <c r="BG204" s="34" t="n">
        <v>0</v>
      </c>
      <c r="BH204" s="39" t="n">
        <f aca="false">AVERAGEA(BG204,BI204)</f>
        <v>0</v>
      </c>
      <c r="BI204" s="34" t="n">
        <v>0</v>
      </c>
      <c r="BJ204" s="37" t="n">
        <v>0</v>
      </c>
      <c r="BK204" s="38" t="n">
        <f aca="false">AVERAGEA(BJ204,BL204)</f>
        <v>0</v>
      </c>
      <c r="BL204" s="37" t="n">
        <v>0</v>
      </c>
      <c r="BM204" s="34" t="n">
        <v>0</v>
      </c>
      <c r="BN204" s="39" t="n">
        <f aca="false">AVERAGEA(BM204,BO204)</f>
        <v>0</v>
      </c>
      <c r="BO204" s="34" t="n">
        <v>0</v>
      </c>
      <c r="BP204" s="37" t="n">
        <v>0</v>
      </c>
      <c r="BQ204" s="38" t="n">
        <f aca="false">AVERAGEA(BP204,BR204)</f>
        <v>0</v>
      </c>
      <c r="BR204" s="37" t="n">
        <v>0</v>
      </c>
      <c r="BS204" s="34" t="n">
        <v>0</v>
      </c>
      <c r="BT204" s="39" t="n">
        <f aca="false">AVERAGEA(BS204,BU204)</f>
        <v>0</v>
      </c>
      <c r="BU204" s="121" t="n">
        <v>0</v>
      </c>
      <c r="BV204" s="37" t="n">
        <v>0</v>
      </c>
      <c r="BW204" s="38" t="n">
        <f aca="false">AVERAGEA(BV204,BX204)</f>
        <v>0</v>
      </c>
      <c r="BX204" s="37" t="n">
        <v>0</v>
      </c>
      <c r="BY204" s="34"/>
      <c r="BZ204" s="39" t="e">
        <f aca="false">AVERAGEA(BY204,CA204)</f>
        <v>#DIV/0!</v>
      </c>
      <c r="CA204" s="121"/>
      <c r="CB204" s="37"/>
      <c r="CC204" s="38" t="e">
        <f aca="false">AVERAGEA(CB204,CD204)</f>
        <v>#DIV/0!</v>
      </c>
      <c r="CD204" s="37"/>
      <c r="CE204" s="34"/>
      <c r="CF204" s="39" t="e">
        <f aca="false">AVERAGEA(CE204,CG204)</f>
        <v>#DIV/0!</v>
      </c>
      <c r="CG204" s="121"/>
    </row>
    <row r="205" s="18" customFormat="true" ht="26.4" hidden="false" customHeight="true" outlineLevel="0" collapsed="false">
      <c r="B205" s="124"/>
      <c r="C205" s="132"/>
      <c r="D205" s="134" t="s">
        <v>181</v>
      </c>
      <c r="E205" s="131"/>
      <c r="F205" s="129" t="s">
        <v>172</v>
      </c>
      <c r="G205" s="133" t="s">
        <v>173</v>
      </c>
      <c r="H205" s="37"/>
      <c r="I205" s="38" t="e">
        <f aca="false">AVERAGEA(H205,J205)</f>
        <v>#DIV/0!</v>
      </c>
      <c r="J205" s="36"/>
      <c r="K205" s="34"/>
      <c r="L205" s="39" t="e">
        <f aca="false">AVERAGEA(M205, K205)</f>
        <v>#DIV/0!</v>
      </c>
      <c r="M205" s="34"/>
      <c r="N205" s="37" t="n">
        <v>35</v>
      </c>
      <c r="O205" s="38" t="n">
        <f aca="false">AVERAGEA(N205,P205)</f>
        <v>42.5</v>
      </c>
      <c r="P205" s="36" t="n">
        <v>50</v>
      </c>
      <c r="Q205" s="34" t="s">
        <v>55</v>
      </c>
      <c r="R205" s="39" t="n">
        <f aca="false">AVERAGEA(S205, Q205)</f>
        <v>0</v>
      </c>
      <c r="S205" s="34" t="s">
        <v>55</v>
      </c>
      <c r="T205" s="37" t="s">
        <v>55</v>
      </c>
      <c r="U205" s="38" t="n">
        <f aca="false">AVERAGEA(T205,V205)</f>
        <v>0</v>
      </c>
      <c r="V205" s="36" t="s">
        <v>55</v>
      </c>
      <c r="W205" s="34" t="s">
        <v>55</v>
      </c>
      <c r="X205" s="39" t="n">
        <f aca="false">AVERAGEA(W205,Y205)</f>
        <v>0</v>
      </c>
      <c r="Y205" s="34" t="s">
        <v>55</v>
      </c>
      <c r="Z205" s="37" t="s">
        <v>55</v>
      </c>
      <c r="AA205" s="38"/>
      <c r="AB205" s="36" t="s">
        <v>55</v>
      </c>
      <c r="AC205" s="34" t="n">
        <v>26</v>
      </c>
      <c r="AD205" s="39" t="n">
        <f aca="false">AVERAGEA(AE205, AC205)</f>
        <v>37</v>
      </c>
      <c r="AE205" s="34" t="n">
        <v>48</v>
      </c>
      <c r="AF205" s="37" t="n">
        <v>0</v>
      </c>
      <c r="AG205" s="38" t="n">
        <f aca="false">AVERAGEA(AF205,AH205)</f>
        <v>0</v>
      </c>
      <c r="AH205" s="36" t="n">
        <v>0</v>
      </c>
      <c r="AI205" s="34" t="n">
        <v>15</v>
      </c>
      <c r="AJ205" s="39" t="n">
        <f aca="false">AVERAGEA(AK205, AI205)</f>
        <v>27.5</v>
      </c>
      <c r="AK205" s="34" t="n">
        <v>40</v>
      </c>
      <c r="AL205" s="37" t="n">
        <v>15</v>
      </c>
      <c r="AM205" s="38" t="n">
        <f aca="false">AVERAGEA(AL205,AN205)</f>
        <v>27.5</v>
      </c>
      <c r="AN205" s="36" t="n">
        <v>40</v>
      </c>
      <c r="AO205" s="34" t="n">
        <v>0</v>
      </c>
      <c r="AP205" s="39" t="n">
        <f aca="false">AVERAGEA(AQ205, AO205)</f>
        <v>0</v>
      </c>
      <c r="AQ205" s="34" t="n">
        <v>0</v>
      </c>
      <c r="AR205" s="37" t="n">
        <v>0</v>
      </c>
      <c r="AS205" s="38" t="n">
        <f aca="false">AVERAGEA(AT205, AR205)</f>
        <v>0</v>
      </c>
      <c r="AT205" s="37" t="n">
        <v>0</v>
      </c>
      <c r="AU205" s="34" t="n">
        <f aca="false">AU181*1.15</f>
        <v>920</v>
      </c>
      <c r="AV205" s="39" t="n">
        <f aca="false">AVERAGEA(AU205,AW205)</f>
        <v>1272.5</v>
      </c>
      <c r="AW205" s="34" t="n">
        <f aca="false">AW181*1.25</f>
        <v>1625</v>
      </c>
      <c r="AX205" s="37" t="n">
        <v>18</v>
      </c>
      <c r="AY205" s="38" t="n">
        <f aca="false">AVERAGEA(AZ205, AX205)</f>
        <v>29</v>
      </c>
      <c r="AZ205" s="36" t="n">
        <v>40</v>
      </c>
      <c r="BA205" s="34" t="n">
        <v>5</v>
      </c>
      <c r="BB205" s="39" t="n">
        <f aca="false">AVERAGEA(BA205,BC205)</f>
        <v>9.5</v>
      </c>
      <c r="BC205" s="34" t="n">
        <v>14</v>
      </c>
      <c r="BD205" s="37" t="n">
        <v>0</v>
      </c>
      <c r="BE205" s="38" t="n">
        <f aca="false">AVERAGEA(BF205, BD205)</f>
        <v>0</v>
      </c>
      <c r="BF205" s="37" t="n">
        <v>0</v>
      </c>
      <c r="BG205" s="34" t="n">
        <v>0</v>
      </c>
      <c r="BH205" s="39" t="n">
        <f aca="false">AVERAGEA(BG205,BI205)</f>
        <v>0</v>
      </c>
      <c r="BI205" s="34" t="n">
        <v>0</v>
      </c>
      <c r="BJ205" s="37" t="n">
        <v>0</v>
      </c>
      <c r="BK205" s="38" t="n">
        <f aca="false">AVERAGEA(BL205, BJ205)</f>
        <v>0</v>
      </c>
      <c r="BL205" s="37" t="n">
        <v>0</v>
      </c>
      <c r="BM205" s="34" t="n">
        <v>0</v>
      </c>
      <c r="BN205" s="39" t="n">
        <f aca="false">AVERAGEA(BM205,BO205)</f>
        <v>0</v>
      </c>
      <c r="BO205" s="34" t="n">
        <v>0</v>
      </c>
      <c r="BP205" s="37" t="n">
        <v>0</v>
      </c>
      <c r="BQ205" s="38" t="n">
        <f aca="false">AVERAGEA(BR205, BP205)</f>
        <v>0</v>
      </c>
      <c r="BR205" s="37" t="n">
        <v>0</v>
      </c>
      <c r="BS205" s="34" t="n">
        <v>0</v>
      </c>
      <c r="BT205" s="39" t="n">
        <f aca="false">AVERAGEA(BS205,BU205)</f>
        <v>0</v>
      </c>
      <c r="BU205" s="121" t="n">
        <v>0</v>
      </c>
      <c r="BV205" s="37" t="n">
        <v>0</v>
      </c>
      <c r="BW205" s="38" t="n">
        <f aca="false">AVERAGEA(BX205, BV205)</f>
        <v>0</v>
      </c>
      <c r="BX205" s="37" t="n">
        <v>0</v>
      </c>
      <c r="BY205" s="34"/>
      <c r="BZ205" s="39" t="e">
        <f aca="false">AVERAGEA(BY205,CA205)</f>
        <v>#DIV/0!</v>
      </c>
      <c r="CA205" s="121"/>
      <c r="CB205" s="37"/>
      <c r="CC205" s="38" t="e">
        <f aca="false">AVERAGEA(CD205, CB205)</f>
        <v>#DIV/0!</v>
      </c>
      <c r="CD205" s="37"/>
      <c r="CE205" s="34"/>
      <c r="CF205" s="39" t="e">
        <f aca="false">AVERAGEA(CE205,CG205)</f>
        <v>#DIV/0!</v>
      </c>
      <c r="CG205" s="121"/>
    </row>
    <row r="206" s="18" customFormat="true" ht="28.35" hidden="false" customHeight="false" outlineLevel="0" collapsed="false">
      <c r="B206" s="124"/>
      <c r="C206" s="132"/>
      <c r="D206" s="132"/>
      <c r="E206" s="131"/>
      <c r="F206" s="129" t="s">
        <v>174</v>
      </c>
      <c r="G206" s="133"/>
      <c r="H206" s="37"/>
      <c r="I206" s="38" t="e">
        <f aca="false">AVERAGEA(H206,J206)</f>
        <v>#DIV/0!</v>
      </c>
      <c r="J206" s="36"/>
      <c r="K206" s="34"/>
      <c r="L206" s="39" t="e">
        <f aca="false">AVERAGEA(M206, K206)</f>
        <v>#DIV/0!</v>
      </c>
      <c r="M206" s="34"/>
      <c r="N206" s="37" t="n">
        <v>30</v>
      </c>
      <c r="O206" s="38" t="n">
        <f aca="false">AVERAGEA(N206,P206)</f>
        <v>36</v>
      </c>
      <c r="P206" s="36" t="n">
        <v>42</v>
      </c>
      <c r="Q206" s="34" t="s">
        <v>55</v>
      </c>
      <c r="R206" s="39" t="n">
        <f aca="false">AVERAGEA(S206, Q206)</f>
        <v>0</v>
      </c>
      <c r="S206" s="34" t="s">
        <v>55</v>
      </c>
      <c r="T206" s="37" t="s">
        <v>55</v>
      </c>
      <c r="U206" s="38" t="n">
        <f aca="false">AVERAGEA(T206,V206)</f>
        <v>0</v>
      </c>
      <c r="V206" s="36" t="s">
        <v>55</v>
      </c>
      <c r="W206" s="34" t="s">
        <v>55</v>
      </c>
      <c r="X206" s="39" t="n">
        <f aca="false">AVERAGEA(W206,Y206)</f>
        <v>0</v>
      </c>
      <c r="Y206" s="34" t="s">
        <v>55</v>
      </c>
      <c r="Z206" s="37" t="s">
        <v>55</v>
      </c>
      <c r="AA206" s="38"/>
      <c r="AB206" s="36" t="s">
        <v>55</v>
      </c>
      <c r="AC206" s="34" t="n">
        <v>22</v>
      </c>
      <c r="AD206" s="39" t="n">
        <f aca="false">AVERAGEA(AE206, AC206)</f>
        <v>31</v>
      </c>
      <c r="AE206" s="34" t="n">
        <v>40</v>
      </c>
      <c r="AF206" s="37" t="n">
        <v>0</v>
      </c>
      <c r="AG206" s="38" t="n">
        <f aca="false">AVERAGEA(AF206,AH206)</f>
        <v>0</v>
      </c>
      <c r="AH206" s="36" t="n">
        <v>0</v>
      </c>
      <c r="AI206" s="34" t="n">
        <v>15</v>
      </c>
      <c r="AJ206" s="39" t="n">
        <f aca="false">AVERAGEA(AK206, AI206)</f>
        <v>27.5</v>
      </c>
      <c r="AK206" s="34" t="n">
        <v>40</v>
      </c>
      <c r="AL206" s="37" t="n">
        <v>15</v>
      </c>
      <c r="AM206" s="38" t="n">
        <f aca="false">AVERAGEA(AL206,AN206)</f>
        <v>27.5</v>
      </c>
      <c r="AN206" s="36" t="n">
        <v>40</v>
      </c>
      <c r="AO206" s="34" t="n">
        <v>0</v>
      </c>
      <c r="AP206" s="39" t="n">
        <f aca="false">AVERAGEA(AQ206, AO206)</f>
        <v>0</v>
      </c>
      <c r="AQ206" s="34" t="n">
        <v>0</v>
      </c>
      <c r="AR206" s="37" t="n">
        <v>0</v>
      </c>
      <c r="AS206" s="38" t="n">
        <f aca="false">AVERAGEA(AT206, AR206)</f>
        <v>0</v>
      </c>
      <c r="AT206" s="37" t="n">
        <v>0</v>
      </c>
      <c r="AU206" s="34" t="n">
        <f aca="false">AU182*1.15</f>
        <v>1035</v>
      </c>
      <c r="AV206" s="39" t="n">
        <f aca="false">AVERAGEA(AU206,AW206)</f>
        <v>1392.5</v>
      </c>
      <c r="AW206" s="34" t="n">
        <f aca="false">AW182*1.25</f>
        <v>1750</v>
      </c>
      <c r="AX206" s="37" t="n">
        <v>20</v>
      </c>
      <c r="AY206" s="38" t="n">
        <f aca="false">AVERAGEA(AZ206, AX206)</f>
        <v>31</v>
      </c>
      <c r="AZ206" s="36" t="n">
        <v>42</v>
      </c>
      <c r="BA206" s="34" t="n">
        <v>6</v>
      </c>
      <c r="BB206" s="39" t="n">
        <f aca="false">AVERAGEA(BA206,BC206)</f>
        <v>10.5</v>
      </c>
      <c r="BC206" s="34" t="n">
        <v>15</v>
      </c>
      <c r="BD206" s="37" t="n">
        <v>0</v>
      </c>
      <c r="BE206" s="38" t="n">
        <f aca="false">AVERAGEA(BF206, BD206)</f>
        <v>0</v>
      </c>
      <c r="BF206" s="37" t="n">
        <v>0</v>
      </c>
      <c r="BG206" s="34" t="n">
        <v>0</v>
      </c>
      <c r="BH206" s="39" t="n">
        <f aca="false">AVERAGEA(BG206,BI206)</f>
        <v>0</v>
      </c>
      <c r="BI206" s="34" t="n">
        <v>0</v>
      </c>
      <c r="BJ206" s="37" t="n">
        <v>0</v>
      </c>
      <c r="BK206" s="38" t="n">
        <f aca="false">AVERAGEA(BL206, BJ206)</f>
        <v>0</v>
      </c>
      <c r="BL206" s="37" t="n">
        <v>0</v>
      </c>
      <c r="BM206" s="34" t="n">
        <v>0</v>
      </c>
      <c r="BN206" s="39" t="n">
        <f aca="false">AVERAGEA(BM206,BO206)</f>
        <v>0</v>
      </c>
      <c r="BO206" s="34" t="n">
        <v>0</v>
      </c>
      <c r="BP206" s="37" t="n">
        <v>0</v>
      </c>
      <c r="BQ206" s="38" t="n">
        <f aca="false">AVERAGEA(BR206, BP206)</f>
        <v>0</v>
      </c>
      <c r="BR206" s="37" t="n">
        <v>0</v>
      </c>
      <c r="BS206" s="34" t="n">
        <v>0</v>
      </c>
      <c r="BT206" s="39" t="n">
        <f aca="false">AVERAGEA(BS206,BU206)</f>
        <v>0</v>
      </c>
      <c r="BU206" s="121" t="n">
        <v>0</v>
      </c>
      <c r="BV206" s="37" t="n">
        <v>0</v>
      </c>
      <c r="BW206" s="38" t="n">
        <f aca="false">AVERAGEA(BX206, BV206)</f>
        <v>0</v>
      </c>
      <c r="BX206" s="37" t="n">
        <v>0</v>
      </c>
      <c r="BY206" s="34"/>
      <c r="BZ206" s="39" t="e">
        <f aca="false">AVERAGEA(BY206,CA206)</f>
        <v>#DIV/0!</v>
      </c>
      <c r="CA206" s="121"/>
      <c r="CB206" s="37"/>
      <c r="CC206" s="38" t="e">
        <f aca="false">AVERAGEA(CD206, CB206)</f>
        <v>#DIV/0!</v>
      </c>
      <c r="CD206" s="37"/>
      <c r="CE206" s="34"/>
      <c r="CF206" s="39" t="e">
        <f aca="false">AVERAGEA(CE206,CG206)</f>
        <v>#DIV/0!</v>
      </c>
      <c r="CG206" s="121"/>
    </row>
    <row r="207" s="18" customFormat="true" ht="28.35" hidden="false" customHeight="false" outlineLevel="0" collapsed="false">
      <c r="B207" s="124"/>
      <c r="C207" s="132"/>
      <c r="D207" s="132"/>
      <c r="E207" s="131"/>
      <c r="F207" s="129" t="s">
        <v>175</v>
      </c>
      <c r="G207" s="133"/>
      <c r="H207" s="37"/>
      <c r="I207" s="38" t="e">
        <f aca="false">AVERAGEA(H207,J207)</f>
        <v>#DIV/0!</v>
      </c>
      <c r="J207" s="36"/>
      <c r="K207" s="34"/>
      <c r="L207" s="39" t="e">
        <f aca="false">AVERAGEA(M207, K207)</f>
        <v>#DIV/0!</v>
      </c>
      <c r="M207" s="34"/>
      <c r="N207" s="37" t="n">
        <v>28</v>
      </c>
      <c r="O207" s="38" t="n">
        <f aca="false">AVERAGEA(N207,P207)</f>
        <v>33</v>
      </c>
      <c r="P207" s="36" t="n">
        <v>38</v>
      </c>
      <c r="Q207" s="34" t="s">
        <v>55</v>
      </c>
      <c r="R207" s="39" t="n">
        <f aca="false">AVERAGEA(S207, Q207)</f>
        <v>0</v>
      </c>
      <c r="S207" s="34" t="s">
        <v>55</v>
      </c>
      <c r="T207" s="37" t="s">
        <v>55</v>
      </c>
      <c r="U207" s="38" t="n">
        <f aca="false">AVERAGEA(T207,V207)</f>
        <v>0</v>
      </c>
      <c r="V207" s="36" t="s">
        <v>55</v>
      </c>
      <c r="W207" s="34" t="s">
        <v>55</v>
      </c>
      <c r="X207" s="39" t="n">
        <f aca="false">AVERAGEA(W207,Y207)</f>
        <v>0</v>
      </c>
      <c r="Y207" s="34" t="s">
        <v>55</v>
      </c>
      <c r="Z207" s="37" t="s">
        <v>55</v>
      </c>
      <c r="AA207" s="38"/>
      <c r="AB207" s="36" t="s">
        <v>55</v>
      </c>
      <c r="AC207" s="34" t="n">
        <v>20</v>
      </c>
      <c r="AD207" s="39" t="n">
        <f aca="false">AVERAGEA(AE207, AC207)</f>
        <v>27.5</v>
      </c>
      <c r="AE207" s="34" t="n">
        <v>35</v>
      </c>
      <c r="AF207" s="37" t="n">
        <v>0</v>
      </c>
      <c r="AG207" s="38" t="n">
        <f aca="false">AVERAGEA(AF207,AH207)</f>
        <v>0</v>
      </c>
      <c r="AH207" s="36" t="n">
        <v>0</v>
      </c>
      <c r="AI207" s="34" t="n">
        <v>15</v>
      </c>
      <c r="AJ207" s="39" t="n">
        <f aca="false">AVERAGEA(AK207, AI207)</f>
        <v>27.5</v>
      </c>
      <c r="AK207" s="34" t="n">
        <v>40</v>
      </c>
      <c r="AL207" s="37" t="n">
        <v>15</v>
      </c>
      <c r="AM207" s="38" t="n">
        <f aca="false">AVERAGEA(AL207,AN207)</f>
        <v>27.5</v>
      </c>
      <c r="AN207" s="36" t="n">
        <v>40</v>
      </c>
      <c r="AO207" s="34" t="n">
        <v>0</v>
      </c>
      <c r="AP207" s="39" t="n">
        <f aca="false">AVERAGEA(AQ207, AO207)</f>
        <v>0</v>
      </c>
      <c r="AQ207" s="34" t="n">
        <v>0</v>
      </c>
      <c r="AR207" s="37" t="n">
        <v>0</v>
      </c>
      <c r="AS207" s="38" t="n">
        <f aca="false">AVERAGEA(AT207, AR207)</f>
        <v>0</v>
      </c>
      <c r="AT207" s="37" t="n">
        <v>0</v>
      </c>
      <c r="AU207" s="34" t="n">
        <f aca="false">AU183*1.15</f>
        <v>1150</v>
      </c>
      <c r="AV207" s="39" t="n">
        <f aca="false">AVERAGEA(AU207,AW207)</f>
        <v>1512.5</v>
      </c>
      <c r="AW207" s="34" t="n">
        <f aca="false">AW183*1.25</f>
        <v>1875</v>
      </c>
      <c r="AX207" s="37" t="n">
        <v>22</v>
      </c>
      <c r="AY207" s="38" t="n">
        <f aca="false">AVERAGEA(AZ207, AX207)</f>
        <v>33.5</v>
      </c>
      <c r="AZ207" s="36" t="n">
        <v>45</v>
      </c>
      <c r="BA207" s="34" t="n">
        <v>7</v>
      </c>
      <c r="BB207" s="39" t="n">
        <f aca="false">AVERAGEA(BA207,BC207)</f>
        <v>11.5</v>
      </c>
      <c r="BC207" s="34" t="n">
        <v>16</v>
      </c>
      <c r="BD207" s="37" t="n">
        <v>0</v>
      </c>
      <c r="BE207" s="38" t="n">
        <f aca="false">AVERAGEA(BF207, BD207)</f>
        <v>0</v>
      </c>
      <c r="BF207" s="37" t="n">
        <v>0</v>
      </c>
      <c r="BG207" s="34" t="n">
        <v>0</v>
      </c>
      <c r="BH207" s="39" t="n">
        <f aca="false">AVERAGEA(BG207,BI207)</f>
        <v>0</v>
      </c>
      <c r="BI207" s="34" t="n">
        <v>0</v>
      </c>
      <c r="BJ207" s="37" t="n">
        <v>0</v>
      </c>
      <c r="BK207" s="38" t="n">
        <f aca="false">AVERAGEA(BL207, BJ207)</f>
        <v>0</v>
      </c>
      <c r="BL207" s="37" t="n">
        <v>0</v>
      </c>
      <c r="BM207" s="34" t="n">
        <v>0</v>
      </c>
      <c r="BN207" s="39" t="n">
        <f aca="false">AVERAGEA(BM207,BO207)</f>
        <v>0</v>
      </c>
      <c r="BO207" s="34" t="n">
        <v>0</v>
      </c>
      <c r="BP207" s="37" t="n">
        <v>0</v>
      </c>
      <c r="BQ207" s="38" t="n">
        <f aca="false">AVERAGEA(BR207, BP207)</f>
        <v>0</v>
      </c>
      <c r="BR207" s="37" t="n">
        <v>0</v>
      </c>
      <c r="BS207" s="34" t="n">
        <v>0</v>
      </c>
      <c r="BT207" s="39" t="n">
        <f aca="false">AVERAGEA(BS207,BU207)</f>
        <v>0</v>
      </c>
      <c r="BU207" s="121" t="n">
        <v>0</v>
      </c>
      <c r="BV207" s="37" t="n">
        <v>0</v>
      </c>
      <c r="BW207" s="38" t="n">
        <f aca="false">AVERAGEA(BX207, BV207)</f>
        <v>0</v>
      </c>
      <c r="BX207" s="37" t="n">
        <v>0</v>
      </c>
      <c r="BY207" s="34"/>
      <c r="BZ207" s="39" t="e">
        <f aca="false">AVERAGEA(BY207,CA207)</f>
        <v>#DIV/0!</v>
      </c>
      <c r="CA207" s="121"/>
      <c r="CB207" s="37"/>
      <c r="CC207" s="38" t="e">
        <f aca="false">AVERAGEA(CD207, CB207)</f>
        <v>#DIV/0!</v>
      </c>
      <c r="CD207" s="37"/>
      <c r="CE207" s="34"/>
      <c r="CF207" s="39" t="e">
        <f aca="false">AVERAGEA(CE207,CG207)</f>
        <v>#DIV/0!</v>
      </c>
      <c r="CG207" s="121"/>
    </row>
    <row r="208" s="18" customFormat="true" ht="28.35" hidden="false" customHeight="false" outlineLevel="0" collapsed="false">
      <c r="B208" s="124"/>
      <c r="C208" s="132"/>
      <c r="D208" s="132"/>
      <c r="E208" s="131"/>
      <c r="F208" s="129" t="s">
        <v>176</v>
      </c>
      <c r="G208" s="133"/>
      <c r="H208" s="37"/>
      <c r="I208" s="38" t="e">
        <f aca="false">AVERAGEA(H208,J208)</f>
        <v>#DIV/0!</v>
      </c>
      <c r="J208" s="36"/>
      <c r="K208" s="34"/>
      <c r="L208" s="39" t="e">
        <f aca="false">AVERAGEA(K208,M208)</f>
        <v>#DIV/0!</v>
      </c>
      <c r="M208" s="34"/>
      <c r="N208" s="37" t="n">
        <v>25</v>
      </c>
      <c r="O208" s="38" t="n">
        <f aca="false">AVERAGEA(N208,P208)</f>
        <v>30</v>
      </c>
      <c r="P208" s="36" t="n">
        <v>35</v>
      </c>
      <c r="Q208" s="34" t="s">
        <v>55</v>
      </c>
      <c r="R208" s="39" t="n">
        <f aca="false">AVERAGEA(Q208,S208)</f>
        <v>0</v>
      </c>
      <c r="S208" s="34" t="s">
        <v>55</v>
      </c>
      <c r="T208" s="37" t="s">
        <v>55</v>
      </c>
      <c r="U208" s="38" t="n">
        <f aca="false">AVERAGEA(T208,V208)</f>
        <v>0</v>
      </c>
      <c r="V208" s="36" t="s">
        <v>55</v>
      </c>
      <c r="W208" s="34" t="s">
        <v>55</v>
      </c>
      <c r="X208" s="39" t="n">
        <f aca="false">AVERAGEA(W208,Y208)</f>
        <v>0</v>
      </c>
      <c r="Y208" s="34" t="s">
        <v>55</v>
      </c>
      <c r="Z208" s="37" t="s">
        <v>55</v>
      </c>
      <c r="AA208" s="38"/>
      <c r="AB208" s="36" t="s">
        <v>55</v>
      </c>
      <c r="AC208" s="34" t="n">
        <v>18</v>
      </c>
      <c r="AD208" s="39" t="n">
        <f aca="false">AVERAGEA(AC208,AE208)</f>
        <v>25</v>
      </c>
      <c r="AE208" s="34" t="n">
        <v>32</v>
      </c>
      <c r="AF208" s="37" t="n">
        <v>0</v>
      </c>
      <c r="AG208" s="38" t="n">
        <f aca="false">AVERAGEA(AF208,AH208)</f>
        <v>0</v>
      </c>
      <c r="AH208" s="36" t="n">
        <v>0</v>
      </c>
      <c r="AI208" s="34" t="n">
        <v>15</v>
      </c>
      <c r="AJ208" s="39" t="n">
        <f aca="false">AVERAGEA(AI208,AK208)</f>
        <v>27.5</v>
      </c>
      <c r="AK208" s="34" t="n">
        <v>40</v>
      </c>
      <c r="AL208" s="37" t="n">
        <v>15</v>
      </c>
      <c r="AM208" s="38" t="n">
        <f aca="false">AVERAGEA(AL208,AN208)</f>
        <v>27.5</v>
      </c>
      <c r="AN208" s="36" t="n">
        <v>40</v>
      </c>
      <c r="AO208" s="34" t="n">
        <v>0</v>
      </c>
      <c r="AP208" s="39" t="n">
        <f aca="false">AVERAGEA(AO208,AQ208)</f>
        <v>0</v>
      </c>
      <c r="AQ208" s="34" t="n">
        <v>0</v>
      </c>
      <c r="AR208" s="37" t="n">
        <v>0</v>
      </c>
      <c r="AS208" s="38" t="n">
        <f aca="false">AVERAGEA(AR208,AT208)</f>
        <v>0</v>
      </c>
      <c r="AT208" s="37" t="n">
        <v>0</v>
      </c>
      <c r="AU208" s="34" t="n">
        <f aca="false">AU184*1.15</f>
        <v>1265</v>
      </c>
      <c r="AV208" s="39" t="n">
        <f aca="false">AVERAGEA(AU208,AW208)</f>
        <v>1632.5</v>
      </c>
      <c r="AW208" s="34" t="n">
        <f aca="false">AW184*1.25</f>
        <v>2000</v>
      </c>
      <c r="AX208" s="37" t="n">
        <v>25</v>
      </c>
      <c r="AY208" s="38" t="n">
        <f aca="false">AVERAGEA(AX208,AZ208)</f>
        <v>37.5</v>
      </c>
      <c r="AZ208" s="36" t="n">
        <v>50</v>
      </c>
      <c r="BA208" s="34" t="n">
        <v>8</v>
      </c>
      <c r="BB208" s="39" t="n">
        <f aca="false">AVERAGEA(BA208,BC208)</f>
        <v>13</v>
      </c>
      <c r="BC208" s="34" t="n">
        <v>18</v>
      </c>
      <c r="BD208" s="37" t="n">
        <v>0</v>
      </c>
      <c r="BE208" s="38" t="n">
        <f aca="false">AVERAGEA(BD208,BF208)</f>
        <v>0</v>
      </c>
      <c r="BF208" s="37" t="n">
        <v>0</v>
      </c>
      <c r="BG208" s="34" t="n">
        <v>0</v>
      </c>
      <c r="BH208" s="39" t="n">
        <f aca="false">AVERAGEA(BG208,BI208)</f>
        <v>0</v>
      </c>
      <c r="BI208" s="34" t="n">
        <v>0</v>
      </c>
      <c r="BJ208" s="37" t="n">
        <v>0</v>
      </c>
      <c r="BK208" s="38" t="n">
        <f aca="false">AVERAGEA(BJ208,BL208)</f>
        <v>0</v>
      </c>
      <c r="BL208" s="37" t="n">
        <v>0</v>
      </c>
      <c r="BM208" s="34" t="n">
        <v>0</v>
      </c>
      <c r="BN208" s="39" t="n">
        <f aca="false">AVERAGEA(BM208,BO208)</f>
        <v>0</v>
      </c>
      <c r="BO208" s="34" t="n">
        <v>0</v>
      </c>
      <c r="BP208" s="37" t="n">
        <v>0</v>
      </c>
      <c r="BQ208" s="38" t="n">
        <f aca="false">AVERAGEA(BP208,BR208)</f>
        <v>0</v>
      </c>
      <c r="BR208" s="37" t="n">
        <v>0</v>
      </c>
      <c r="BS208" s="34" t="n">
        <v>0</v>
      </c>
      <c r="BT208" s="39" t="n">
        <f aca="false">AVERAGEA(BS208,BU208)</f>
        <v>0</v>
      </c>
      <c r="BU208" s="121" t="n">
        <v>0</v>
      </c>
      <c r="BV208" s="37" t="n">
        <v>0</v>
      </c>
      <c r="BW208" s="38" t="n">
        <f aca="false">AVERAGEA(BV208,BX208)</f>
        <v>0</v>
      </c>
      <c r="BX208" s="37" t="n">
        <v>0</v>
      </c>
      <c r="BY208" s="34"/>
      <c r="BZ208" s="39" t="e">
        <f aca="false">AVERAGEA(BY208,CA208)</f>
        <v>#DIV/0!</v>
      </c>
      <c r="CA208" s="121"/>
      <c r="CB208" s="37"/>
      <c r="CC208" s="38" t="e">
        <f aca="false">AVERAGEA(CB208,CD208)</f>
        <v>#DIV/0!</v>
      </c>
      <c r="CD208" s="37"/>
      <c r="CE208" s="34"/>
      <c r="CF208" s="39" t="e">
        <f aca="false">AVERAGEA(CE208,CG208)</f>
        <v>#DIV/0!</v>
      </c>
      <c r="CG208" s="121"/>
    </row>
    <row r="209" s="18" customFormat="true" ht="26.4" hidden="false" customHeight="true" outlineLevel="0" collapsed="false">
      <c r="B209" s="124"/>
      <c r="C209" s="132"/>
      <c r="D209" s="134" t="s">
        <v>171</v>
      </c>
      <c r="E209" s="131"/>
      <c r="F209" s="129" t="s">
        <v>172</v>
      </c>
      <c r="G209" s="133" t="s">
        <v>178</v>
      </c>
      <c r="H209" s="37"/>
      <c r="I209" s="38" t="e">
        <f aca="false">AVERAGEA(H209,J209)</f>
        <v>#DIV/0!</v>
      </c>
      <c r="J209" s="36"/>
      <c r="K209" s="34"/>
      <c r="L209" s="39" t="e">
        <f aca="false">AVERAGEA(M209, K209)</f>
        <v>#DIV/0!</v>
      </c>
      <c r="M209" s="34"/>
      <c r="N209" s="37" t="n">
        <v>35</v>
      </c>
      <c r="O209" s="38" t="n">
        <f aca="false">AVERAGEA(N209,P209)</f>
        <v>42.5</v>
      </c>
      <c r="P209" s="36" t="n">
        <v>50</v>
      </c>
      <c r="Q209" s="34" t="s">
        <v>55</v>
      </c>
      <c r="R209" s="39" t="n">
        <f aca="false">AVERAGEA(S209, Q209)</f>
        <v>0</v>
      </c>
      <c r="S209" s="34" t="s">
        <v>55</v>
      </c>
      <c r="T209" s="37" t="s">
        <v>55</v>
      </c>
      <c r="U209" s="38" t="n">
        <f aca="false">AVERAGEA(T209,V209)</f>
        <v>0</v>
      </c>
      <c r="V209" s="36" t="s">
        <v>55</v>
      </c>
      <c r="W209" s="34" t="s">
        <v>55</v>
      </c>
      <c r="X209" s="39" t="n">
        <f aca="false">AVERAGEA(W209,Y209)</f>
        <v>0</v>
      </c>
      <c r="Y209" s="34" t="s">
        <v>55</v>
      </c>
      <c r="Z209" s="37" t="s">
        <v>55</v>
      </c>
      <c r="AA209" s="38"/>
      <c r="AB209" s="36" t="s">
        <v>55</v>
      </c>
      <c r="AC209" s="34" t="n">
        <f aca="false">AC205*1.23</f>
        <v>31.98</v>
      </c>
      <c r="AD209" s="39" t="n">
        <f aca="false">AVERAGEA(AE209, AC209)</f>
        <v>45.51</v>
      </c>
      <c r="AE209" s="34" t="n">
        <f aca="false">AE205*1.23</f>
        <v>59.04</v>
      </c>
      <c r="AF209" s="37" t="n">
        <v>0</v>
      </c>
      <c r="AG209" s="38" t="n">
        <f aca="false">AVERAGEA(AF209,AH209)</f>
        <v>0</v>
      </c>
      <c r="AH209" s="36" t="n">
        <v>0</v>
      </c>
      <c r="AI209" s="34" t="n">
        <v>15</v>
      </c>
      <c r="AJ209" s="39" t="n">
        <f aca="false">AVERAGEA(AK209, AI209)</f>
        <v>27.5</v>
      </c>
      <c r="AK209" s="34" t="n">
        <v>40</v>
      </c>
      <c r="AL209" s="37" t="n">
        <v>15</v>
      </c>
      <c r="AM209" s="38" t="n">
        <f aca="false">AVERAGEA(AL209,AN209)</f>
        <v>27.5</v>
      </c>
      <c r="AN209" s="36" t="n">
        <v>40</v>
      </c>
      <c r="AO209" s="34" t="n">
        <v>0</v>
      </c>
      <c r="AP209" s="39" t="n">
        <f aca="false">AVERAGEA(AQ209, AO209)</f>
        <v>0</v>
      </c>
      <c r="AQ209" s="34" t="n">
        <v>0</v>
      </c>
      <c r="AR209" s="37" t="n">
        <v>0</v>
      </c>
      <c r="AS209" s="38" t="n">
        <f aca="false">AVERAGEA(AT209, AR209)</f>
        <v>0</v>
      </c>
      <c r="AT209" s="37" t="n">
        <v>0</v>
      </c>
      <c r="AU209" s="34" t="n">
        <f aca="false">AU185*1.15</f>
        <v>920</v>
      </c>
      <c r="AV209" s="39" t="n">
        <f aca="false">AVERAGEA(AU209,AW209)</f>
        <v>1272.5</v>
      </c>
      <c r="AW209" s="34" t="n">
        <f aca="false">AW185*1.25</f>
        <v>1625</v>
      </c>
      <c r="AX209" s="37" t="n">
        <v>18</v>
      </c>
      <c r="AY209" s="38" t="n">
        <f aca="false">AVERAGEA(AZ209, AX209)</f>
        <v>29</v>
      </c>
      <c r="AZ209" s="36" t="n">
        <v>40</v>
      </c>
      <c r="BA209" s="34" t="n">
        <v>5</v>
      </c>
      <c r="BB209" s="39" t="n">
        <f aca="false">AVERAGEA(BA209,BC209)</f>
        <v>9.5</v>
      </c>
      <c r="BC209" s="34" t="n">
        <v>14</v>
      </c>
      <c r="BD209" s="37" t="n">
        <v>0</v>
      </c>
      <c r="BE209" s="38" t="n">
        <f aca="false">AVERAGEA(BF209, BD209)</f>
        <v>0</v>
      </c>
      <c r="BF209" s="37" t="n">
        <v>0</v>
      </c>
      <c r="BG209" s="34" t="n">
        <v>0</v>
      </c>
      <c r="BH209" s="39" t="n">
        <f aca="false">AVERAGEA(BG209,BI209)</f>
        <v>0</v>
      </c>
      <c r="BI209" s="34" t="n">
        <v>0</v>
      </c>
      <c r="BJ209" s="37" t="n">
        <v>0</v>
      </c>
      <c r="BK209" s="38" t="n">
        <f aca="false">AVERAGEA(BL209, BJ209)</f>
        <v>0</v>
      </c>
      <c r="BL209" s="37" t="n">
        <v>0</v>
      </c>
      <c r="BM209" s="34" t="n">
        <v>0</v>
      </c>
      <c r="BN209" s="39" t="n">
        <f aca="false">AVERAGEA(BM209,BO209)</f>
        <v>0</v>
      </c>
      <c r="BO209" s="34" t="n">
        <v>0</v>
      </c>
      <c r="BP209" s="37" t="n">
        <v>0</v>
      </c>
      <c r="BQ209" s="38" t="n">
        <f aca="false">AVERAGEA(BR209, BP209)</f>
        <v>0</v>
      </c>
      <c r="BR209" s="37" t="n">
        <v>0</v>
      </c>
      <c r="BS209" s="34" t="n">
        <v>0</v>
      </c>
      <c r="BT209" s="39" t="n">
        <f aca="false">AVERAGEA(BS209,BU209)</f>
        <v>0</v>
      </c>
      <c r="BU209" s="121" t="n">
        <v>0</v>
      </c>
      <c r="BV209" s="37" t="n">
        <v>0</v>
      </c>
      <c r="BW209" s="38" t="n">
        <f aca="false">AVERAGEA(BX209, BV209)</f>
        <v>0</v>
      </c>
      <c r="BX209" s="37" t="n">
        <v>0</v>
      </c>
      <c r="BY209" s="34"/>
      <c r="BZ209" s="39" t="e">
        <f aca="false">AVERAGEA(BY209,CA209)</f>
        <v>#DIV/0!</v>
      </c>
      <c r="CA209" s="121"/>
      <c r="CB209" s="37"/>
      <c r="CC209" s="38" t="e">
        <f aca="false">AVERAGEA(CD209, CB209)</f>
        <v>#DIV/0!</v>
      </c>
      <c r="CD209" s="37"/>
      <c r="CE209" s="34"/>
      <c r="CF209" s="39" t="e">
        <f aca="false">AVERAGEA(CE209,CG209)</f>
        <v>#DIV/0!</v>
      </c>
      <c r="CG209" s="121"/>
    </row>
    <row r="210" s="18" customFormat="true" ht="28.35" hidden="false" customHeight="false" outlineLevel="0" collapsed="false">
      <c r="B210" s="124"/>
      <c r="C210" s="132"/>
      <c r="D210" s="132"/>
      <c r="E210" s="131"/>
      <c r="F210" s="129" t="s">
        <v>174</v>
      </c>
      <c r="G210" s="133"/>
      <c r="H210" s="37"/>
      <c r="I210" s="38" t="e">
        <f aca="false">AVERAGEA(H210,J210)</f>
        <v>#DIV/0!</v>
      </c>
      <c r="J210" s="36"/>
      <c r="K210" s="34"/>
      <c r="L210" s="39" t="e">
        <f aca="false">AVERAGEA(M210, K210)</f>
        <v>#DIV/0!</v>
      </c>
      <c r="M210" s="34"/>
      <c r="N210" s="37" t="n">
        <v>30</v>
      </c>
      <c r="O210" s="38" t="n">
        <f aca="false">AVERAGEA(N210,P210)</f>
        <v>36</v>
      </c>
      <c r="P210" s="36" t="n">
        <v>42</v>
      </c>
      <c r="Q210" s="34" t="s">
        <v>55</v>
      </c>
      <c r="R210" s="39" t="n">
        <f aca="false">AVERAGEA(S210, Q210)</f>
        <v>0</v>
      </c>
      <c r="S210" s="34" t="s">
        <v>55</v>
      </c>
      <c r="T210" s="37" t="s">
        <v>55</v>
      </c>
      <c r="U210" s="38" t="n">
        <f aca="false">AVERAGEA(T210,V210)</f>
        <v>0</v>
      </c>
      <c r="V210" s="36" t="s">
        <v>55</v>
      </c>
      <c r="W210" s="34" t="s">
        <v>55</v>
      </c>
      <c r="X210" s="39" t="n">
        <f aca="false">AVERAGEA(W210,Y210)</f>
        <v>0</v>
      </c>
      <c r="Y210" s="34" t="s">
        <v>55</v>
      </c>
      <c r="Z210" s="37" t="s">
        <v>55</v>
      </c>
      <c r="AA210" s="38"/>
      <c r="AB210" s="36" t="s">
        <v>55</v>
      </c>
      <c r="AC210" s="34" t="n">
        <f aca="false">AC206*1.23</f>
        <v>27.06</v>
      </c>
      <c r="AD210" s="39" t="n">
        <f aca="false">AVERAGEA(AE210, AC210)</f>
        <v>38.13</v>
      </c>
      <c r="AE210" s="34" t="n">
        <f aca="false">AE206*1.23</f>
        <v>49.2</v>
      </c>
      <c r="AF210" s="37" t="n">
        <v>0</v>
      </c>
      <c r="AG210" s="38" t="n">
        <f aca="false">AVERAGEA(AF210,AH210)</f>
        <v>0</v>
      </c>
      <c r="AH210" s="36" t="n">
        <v>0</v>
      </c>
      <c r="AI210" s="34" t="n">
        <v>15</v>
      </c>
      <c r="AJ210" s="39" t="n">
        <f aca="false">AVERAGEA(AK210, AI210)</f>
        <v>27.5</v>
      </c>
      <c r="AK210" s="34" t="n">
        <v>40</v>
      </c>
      <c r="AL210" s="37" t="n">
        <v>15</v>
      </c>
      <c r="AM210" s="38" t="n">
        <f aca="false">AVERAGEA(AL210,AN210)</f>
        <v>27.5</v>
      </c>
      <c r="AN210" s="36" t="n">
        <v>40</v>
      </c>
      <c r="AO210" s="34" t="n">
        <v>0</v>
      </c>
      <c r="AP210" s="39" t="n">
        <f aca="false">AVERAGEA(AQ210, AO210)</f>
        <v>0</v>
      </c>
      <c r="AQ210" s="34" t="n">
        <v>0</v>
      </c>
      <c r="AR210" s="37" t="n">
        <v>0</v>
      </c>
      <c r="AS210" s="38" t="n">
        <f aca="false">AVERAGEA(AT210, AR210)</f>
        <v>0</v>
      </c>
      <c r="AT210" s="37" t="n">
        <v>0</v>
      </c>
      <c r="AU210" s="34" t="n">
        <f aca="false">AU186*1.15</f>
        <v>1035</v>
      </c>
      <c r="AV210" s="39" t="n">
        <f aca="false">AVERAGEA(AU210,AW210)</f>
        <v>1392.5</v>
      </c>
      <c r="AW210" s="34" t="n">
        <f aca="false">AW186*1.25</f>
        <v>1750</v>
      </c>
      <c r="AX210" s="37" t="n">
        <v>20</v>
      </c>
      <c r="AY210" s="38" t="n">
        <f aca="false">AVERAGEA(AZ210, AX210)</f>
        <v>31</v>
      </c>
      <c r="AZ210" s="36" t="n">
        <v>42</v>
      </c>
      <c r="BA210" s="34" t="n">
        <v>6</v>
      </c>
      <c r="BB210" s="39" t="n">
        <f aca="false">AVERAGEA(BA210,BC210)</f>
        <v>10.5</v>
      </c>
      <c r="BC210" s="34" t="n">
        <v>15</v>
      </c>
      <c r="BD210" s="37" t="n">
        <v>0</v>
      </c>
      <c r="BE210" s="38" t="n">
        <f aca="false">AVERAGEA(BF210, BD210)</f>
        <v>0</v>
      </c>
      <c r="BF210" s="37" t="n">
        <v>0</v>
      </c>
      <c r="BG210" s="34" t="n">
        <v>0</v>
      </c>
      <c r="BH210" s="39" t="n">
        <f aca="false">AVERAGEA(BG210,BI210)</f>
        <v>0</v>
      </c>
      <c r="BI210" s="34" t="n">
        <v>0</v>
      </c>
      <c r="BJ210" s="37" t="n">
        <v>0</v>
      </c>
      <c r="BK210" s="38" t="n">
        <f aca="false">AVERAGEA(BL210, BJ210)</f>
        <v>0</v>
      </c>
      <c r="BL210" s="37" t="n">
        <v>0</v>
      </c>
      <c r="BM210" s="34" t="n">
        <v>0</v>
      </c>
      <c r="BN210" s="39" t="n">
        <f aca="false">AVERAGEA(BM210,BO210)</f>
        <v>0</v>
      </c>
      <c r="BO210" s="34" t="n">
        <v>0</v>
      </c>
      <c r="BP210" s="37" t="n">
        <v>0</v>
      </c>
      <c r="BQ210" s="38" t="n">
        <f aca="false">AVERAGEA(BR210, BP210)</f>
        <v>0</v>
      </c>
      <c r="BR210" s="37" t="n">
        <v>0</v>
      </c>
      <c r="BS210" s="34" t="n">
        <v>0</v>
      </c>
      <c r="BT210" s="39" t="n">
        <f aca="false">AVERAGEA(BS210,BU210)</f>
        <v>0</v>
      </c>
      <c r="BU210" s="121" t="n">
        <v>0</v>
      </c>
      <c r="BV210" s="37" t="n">
        <v>0</v>
      </c>
      <c r="BW210" s="38" t="n">
        <f aca="false">AVERAGEA(BX210, BV210)</f>
        <v>0</v>
      </c>
      <c r="BX210" s="37" t="n">
        <v>0</v>
      </c>
      <c r="BY210" s="34"/>
      <c r="BZ210" s="39" t="e">
        <f aca="false">AVERAGEA(BY210,CA210)</f>
        <v>#DIV/0!</v>
      </c>
      <c r="CA210" s="121"/>
      <c r="CB210" s="37"/>
      <c r="CC210" s="38" t="e">
        <f aca="false">AVERAGEA(CD210, CB210)</f>
        <v>#DIV/0!</v>
      </c>
      <c r="CD210" s="37"/>
      <c r="CE210" s="34"/>
      <c r="CF210" s="39" t="e">
        <f aca="false">AVERAGEA(CE210,CG210)</f>
        <v>#DIV/0!</v>
      </c>
      <c r="CG210" s="121"/>
    </row>
    <row r="211" s="18" customFormat="true" ht="28.35" hidden="false" customHeight="false" outlineLevel="0" collapsed="false">
      <c r="B211" s="124"/>
      <c r="C211" s="132"/>
      <c r="D211" s="132"/>
      <c r="E211" s="131"/>
      <c r="F211" s="129" t="s">
        <v>175</v>
      </c>
      <c r="G211" s="133"/>
      <c r="H211" s="37"/>
      <c r="I211" s="38" t="e">
        <f aca="false">AVERAGEA(H211,J211)</f>
        <v>#DIV/0!</v>
      </c>
      <c r="J211" s="36"/>
      <c r="K211" s="34"/>
      <c r="L211" s="39" t="e">
        <f aca="false">AVERAGEA(M211, K211)</f>
        <v>#DIV/0!</v>
      </c>
      <c r="M211" s="34"/>
      <c r="N211" s="37" t="n">
        <v>28</v>
      </c>
      <c r="O211" s="38" t="n">
        <f aca="false">AVERAGEA(N211,P211)</f>
        <v>33</v>
      </c>
      <c r="P211" s="36" t="n">
        <v>38</v>
      </c>
      <c r="Q211" s="34" t="s">
        <v>55</v>
      </c>
      <c r="R211" s="39" t="n">
        <f aca="false">AVERAGEA(S211, Q211)</f>
        <v>0</v>
      </c>
      <c r="S211" s="34" t="s">
        <v>55</v>
      </c>
      <c r="T211" s="37" t="s">
        <v>55</v>
      </c>
      <c r="U211" s="38" t="n">
        <f aca="false">AVERAGEA(T211,V211)</f>
        <v>0</v>
      </c>
      <c r="V211" s="36" t="s">
        <v>55</v>
      </c>
      <c r="W211" s="34" t="s">
        <v>55</v>
      </c>
      <c r="X211" s="39" t="n">
        <f aca="false">AVERAGEA(W211,Y211)</f>
        <v>0</v>
      </c>
      <c r="Y211" s="34" t="s">
        <v>55</v>
      </c>
      <c r="Z211" s="37" t="s">
        <v>55</v>
      </c>
      <c r="AA211" s="38"/>
      <c r="AB211" s="36" t="s">
        <v>55</v>
      </c>
      <c r="AC211" s="34" t="n">
        <f aca="false">AC207*1.23</f>
        <v>24.6</v>
      </c>
      <c r="AD211" s="39" t="n">
        <f aca="false">AVERAGEA(AE211, AC211)</f>
        <v>33.825</v>
      </c>
      <c r="AE211" s="34" t="n">
        <f aca="false">AE207*1.23</f>
        <v>43.05</v>
      </c>
      <c r="AF211" s="37" t="n">
        <v>0</v>
      </c>
      <c r="AG211" s="38" t="n">
        <f aca="false">AVERAGEA(AF211,AH211)</f>
        <v>0</v>
      </c>
      <c r="AH211" s="36" t="n">
        <v>0</v>
      </c>
      <c r="AI211" s="34" t="n">
        <v>15</v>
      </c>
      <c r="AJ211" s="39" t="n">
        <f aca="false">AVERAGEA(AK211, AI211)</f>
        <v>27.5</v>
      </c>
      <c r="AK211" s="34" t="n">
        <v>40</v>
      </c>
      <c r="AL211" s="37" t="n">
        <v>15</v>
      </c>
      <c r="AM211" s="38" t="n">
        <f aca="false">AVERAGEA(AL211,AN211)</f>
        <v>27.5</v>
      </c>
      <c r="AN211" s="36" t="n">
        <v>40</v>
      </c>
      <c r="AO211" s="34" t="n">
        <v>0</v>
      </c>
      <c r="AP211" s="39" t="n">
        <f aca="false">AVERAGEA(AQ211, AO211)</f>
        <v>0</v>
      </c>
      <c r="AQ211" s="34" t="n">
        <v>0</v>
      </c>
      <c r="AR211" s="37" t="n">
        <v>0</v>
      </c>
      <c r="AS211" s="38" t="n">
        <f aca="false">AVERAGEA(AT211, AR211)</f>
        <v>0</v>
      </c>
      <c r="AT211" s="37" t="n">
        <v>0</v>
      </c>
      <c r="AU211" s="34" t="n">
        <f aca="false">AU187*1.15</f>
        <v>1150</v>
      </c>
      <c r="AV211" s="39" t="n">
        <f aca="false">AVERAGEA(AU211,AW211)</f>
        <v>1512.5</v>
      </c>
      <c r="AW211" s="34" t="n">
        <f aca="false">AW187*1.25</f>
        <v>1875</v>
      </c>
      <c r="AX211" s="37" t="n">
        <v>22</v>
      </c>
      <c r="AY211" s="38" t="n">
        <f aca="false">AVERAGEA(AZ211, AX211)</f>
        <v>33.5</v>
      </c>
      <c r="AZ211" s="36" t="n">
        <v>45</v>
      </c>
      <c r="BA211" s="34" t="n">
        <v>7</v>
      </c>
      <c r="BB211" s="39" t="n">
        <f aca="false">AVERAGEA(BA211,BC211)</f>
        <v>11.5</v>
      </c>
      <c r="BC211" s="34" t="n">
        <v>16</v>
      </c>
      <c r="BD211" s="37" t="n">
        <v>0</v>
      </c>
      <c r="BE211" s="38" t="n">
        <f aca="false">AVERAGEA(BF211, BD211)</f>
        <v>0</v>
      </c>
      <c r="BF211" s="37" t="n">
        <v>0</v>
      </c>
      <c r="BG211" s="34" t="n">
        <v>0</v>
      </c>
      <c r="BH211" s="39" t="n">
        <f aca="false">AVERAGEA(BG211,BI211)</f>
        <v>0</v>
      </c>
      <c r="BI211" s="34" t="n">
        <v>0</v>
      </c>
      <c r="BJ211" s="37" t="n">
        <v>0</v>
      </c>
      <c r="BK211" s="38" t="n">
        <f aca="false">AVERAGEA(BL211, BJ211)</f>
        <v>0</v>
      </c>
      <c r="BL211" s="37" t="n">
        <v>0</v>
      </c>
      <c r="BM211" s="34" t="n">
        <v>0</v>
      </c>
      <c r="BN211" s="39" t="n">
        <f aca="false">AVERAGEA(BM211,BO211)</f>
        <v>0</v>
      </c>
      <c r="BO211" s="34" t="n">
        <v>0</v>
      </c>
      <c r="BP211" s="37" t="n">
        <v>0</v>
      </c>
      <c r="BQ211" s="38" t="n">
        <f aca="false">AVERAGEA(BR211, BP211)</f>
        <v>0</v>
      </c>
      <c r="BR211" s="37" t="n">
        <v>0</v>
      </c>
      <c r="BS211" s="34" t="n">
        <v>0</v>
      </c>
      <c r="BT211" s="39" t="n">
        <f aca="false">AVERAGEA(BS211,BU211)</f>
        <v>0</v>
      </c>
      <c r="BU211" s="121" t="n">
        <v>0</v>
      </c>
      <c r="BV211" s="37" t="n">
        <v>0</v>
      </c>
      <c r="BW211" s="38" t="n">
        <f aca="false">AVERAGEA(BX211, BV211)</f>
        <v>0</v>
      </c>
      <c r="BX211" s="37" t="n">
        <v>0</v>
      </c>
      <c r="BY211" s="34"/>
      <c r="BZ211" s="39" t="e">
        <f aca="false">AVERAGEA(BY211,CA211)</f>
        <v>#DIV/0!</v>
      </c>
      <c r="CA211" s="121"/>
      <c r="CB211" s="37"/>
      <c r="CC211" s="38" t="e">
        <f aca="false">AVERAGEA(CD211, CB211)</f>
        <v>#DIV/0!</v>
      </c>
      <c r="CD211" s="37"/>
      <c r="CE211" s="34"/>
      <c r="CF211" s="39" t="e">
        <f aca="false">AVERAGEA(CE211,CG211)</f>
        <v>#DIV/0!</v>
      </c>
      <c r="CG211" s="121"/>
    </row>
    <row r="212" s="18" customFormat="true" ht="28.35" hidden="false" customHeight="false" outlineLevel="0" collapsed="false">
      <c r="B212" s="124"/>
      <c r="C212" s="132"/>
      <c r="D212" s="132"/>
      <c r="E212" s="131"/>
      <c r="F212" s="129" t="s">
        <v>176</v>
      </c>
      <c r="G212" s="133"/>
      <c r="H212" s="37"/>
      <c r="I212" s="38" t="e">
        <f aca="false">AVERAGEA(H212,J212)</f>
        <v>#DIV/0!</v>
      </c>
      <c r="J212" s="36"/>
      <c r="K212" s="34"/>
      <c r="L212" s="39" t="e">
        <f aca="false">AVERAGEA(K212,M212)</f>
        <v>#DIV/0!</v>
      </c>
      <c r="M212" s="34"/>
      <c r="N212" s="37" t="n">
        <v>25</v>
      </c>
      <c r="O212" s="38" t="n">
        <f aca="false">AVERAGEA(N212,P212)</f>
        <v>30</v>
      </c>
      <c r="P212" s="36" t="n">
        <v>35</v>
      </c>
      <c r="Q212" s="34" t="s">
        <v>55</v>
      </c>
      <c r="R212" s="39" t="n">
        <f aca="false">AVERAGEA(Q212,S212)</f>
        <v>0</v>
      </c>
      <c r="S212" s="34" t="s">
        <v>55</v>
      </c>
      <c r="T212" s="37" t="s">
        <v>55</v>
      </c>
      <c r="U212" s="38" t="n">
        <f aca="false">AVERAGEA(T212,V212)</f>
        <v>0</v>
      </c>
      <c r="V212" s="36" t="s">
        <v>55</v>
      </c>
      <c r="W212" s="34" t="s">
        <v>55</v>
      </c>
      <c r="X212" s="39" t="n">
        <f aca="false">AVERAGEA(W212,Y212)</f>
        <v>0</v>
      </c>
      <c r="Y212" s="34" t="s">
        <v>55</v>
      </c>
      <c r="Z212" s="37" t="s">
        <v>55</v>
      </c>
      <c r="AA212" s="38"/>
      <c r="AB212" s="36" t="s">
        <v>55</v>
      </c>
      <c r="AC212" s="34" t="n">
        <f aca="false">AC208*1.23</f>
        <v>22.14</v>
      </c>
      <c r="AD212" s="39" t="n">
        <f aca="false">AVERAGEA(AC212,AE212)</f>
        <v>30.75</v>
      </c>
      <c r="AE212" s="34" t="n">
        <f aca="false">AE208*1.23</f>
        <v>39.36</v>
      </c>
      <c r="AF212" s="37" t="n">
        <v>0</v>
      </c>
      <c r="AG212" s="38" t="n">
        <f aca="false">AVERAGEA(AF212,AH212)</f>
        <v>0</v>
      </c>
      <c r="AH212" s="36" t="n">
        <v>0</v>
      </c>
      <c r="AI212" s="34" t="n">
        <v>15</v>
      </c>
      <c r="AJ212" s="39" t="n">
        <f aca="false">AVERAGEA(AI212,AK212)</f>
        <v>27.5</v>
      </c>
      <c r="AK212" s="34" t="n">
        <v>40</v>
      </c>
      <c r="AL212" s="37" t="n">
        <v>15</v>
      </c>
      <c r="AM212" s="38" t="n">
        <f aca="false">AVERAGEA(AL212,AN212)</f>
        <v>27.5</v>
      </c>
      <c r="AN212" s="36" t="n">
        <v>40</v>
      </c>
      <c r="AO212" s="34" t="n">
        <v>0</v>
      </c>
      <c r="AP212" s="39" t="n">
        <f aca="false">AVERAGEA(AO212,AQ212)</f>
        <v>0</v>
      </c>
      <c r="AQ212" s="34" t="n">
        <v>0</v>
      </c>
      <c r="AR212" s="37" t="n">
        <v>0</v>
      </c>
      <c r="AS212" s="38" t="n">
        <f aca="false">AVERAGEA(AR212,AT212)</f>
        <v>0</v>
      </c>
      <c r="AT212" s="37" t="n">
        <v>0</v>
      </c>
      <c r="AU212" s="34" t="n">
        <f aca="false">AU188*1.15</f>
        <v>1265</v>
      </c>
      <c r="AV212" s="39" t="n">
        <f aca="false">AVERAGEA(AU212,AW212)</f>
        <v>1632.5</v>
      </c>
      <c r="AW212" s="34" t="n">
        <f aca="false">AW188*1.25</f>
        <v>2000</v>
      </c>
      <c r="AX212" s="37" t="n">
        <v>25</v>
      </c>
      <c r="AY212" s="38" t="n">
        <f aca="false">AVERAGEA(AX212,AZ212)</f>
        <v>37.5</v>
      </c>
      <c r="AZ212" s="36" t="n">
        <v>50</v>
      </c>
      <c r="BA212" s="34" t="n">
        <v>8</v>
      </c>
      <c r="BB212" s="39" t="n">
        <f aca="false">AVERAGEA(BA212,BC212)</f>
        <v>13</v>
      </c>
      <c r="BC212" s="34" t="n">
        <v>18</v>
      </c>
      <c r="BD212" s="37" t="n">
        <v>0</v>
      </c>
      <c r="BE212" s="38" t="n">
        <f aca="false">AVERAGEA(BD212,BF212)</f>
        <v>0</v>
      </c>
      <c r="BF212" s="37" t="n">
        <v>0</v>
      </c>
      <c r="BG212" s="34" t="n">
        <v>0</v>
      </c>
      <c r="BH212" s="39" t="n">
        <f aca="false">AVERAGEA(BG212,BI212)</f>
        <v>0</v>
      </c>
      <c r="BI212" s="34" t="n">
        <v>0</v>
      </c>
      <c r="BJ212" s="37" t="n">
        <v>0</v>
      </c>
      <c r="BK212" s="38" t="n">
        <f aca="false">AVERAGEA(BJ212,BL212)</f>
        <v>0</v>
      </c>
      <c r="BL212" s="37" t="n">
        <v>0</v>
      </c>
      <c r="BM212" s="34" t="n">
        <v>0</v>
      </c>
      <c r="BN212" s="39" t="n">
        <f aca="false">AVERAGEA(BM212,BO212)</f>
        <v>0</v>
      </c>
      <c r="BO212" s="34" t="n">
        <v>0</v>
      </c>
      <c r="BP212" s="37" t="n">
        <v>0</v>
      </c>
      <c r="BQ212" s="38" t="n">
        <f aca="false">AVERAGEA(BP212,BR212)</f>
        <v>0</v>
      </c>
      <c r="BR212" s="37" t="n">
        <v>0</v>
      </c>
      <c r="BS212" s="34" t="n">
        <v>0</v>
      </c>
      <c r="BT212" s="39" t="n">
        <f aca="false">AVERAGEA(BS212,BU212)</f>
        <v>0</v>
      </c>
      <c r="BU212" s="121" t="n">
        <v>0</v>
      </c>
      <c r="BV212" s="37" t="n">
        <v>0</v>
      </c>
      <c r="BW212" s="38" t="n">
        <f aca="false">AVERAGEA(BV212,BX212)</f>
        <v>0</v>
      </c>
      <c r="BX212" s="37" t="n">
        <v>0</v>
      </c>
      <c r="BY212" s="34"/>
      <c r="BZ212" s="39" t="e">
        <f aca="false">AVERAGEA(BY212,CA212)</f>
        <v>#DIV/0!</v>
      </c>
      <c r="CA212" s="121"/>
      <c r="CB212" s="37"/>
      <c r="CC212" s="38" t="e">
        <f aca="false">AVERAGEA(CB212,CD212)</f>
        <v>#DIV/0!</v>
      </c>
      <c r="CD212" s="37"/>
      <c r="CE212" s="34"/>
      <c r="CF212" s="39" t="e">
        <f aca="false">AVERAGEA(CE212,CG212)</f>
        <v>#DIV/0!</v>
      </c>
      <c r="CG212" s="121"/>
    </row>
    <row r="213" s="18" customFormat="true" ht="26.4" hidden="false" customHeight="true" outlineLevel="0" collapsed="false">
      <c r="B213" s="124"/>
      <c r="C213" s="132"/>
      <c r="D213" s="134" t="s">
        <v>171</v>
      </c>
      <c r="E213" s="135"/>
      <c r="F213" s="129" t="s">
        <v>172</v>
      </c>
      <c r="G213" s="136" t="s">
        <v>179</v>
      </c>
      <c r="H213" s="37"/>
      <c r="I213" s="38" t="e">
        <f aca="false">AVERAGEA(H213,J213)</f>
        <v>#DIV/0!</v>
      </c>
      <c r="J213" s="36"/>
      <c r="K213" s="34"/>
      <c r="L213" s="39" t="e">
        <f aca="false">AVERAGEA(M213, K213)</f>
        <v>#DIV/0!</v>
      </c>
      <c r="M213" s="34"/>
      <c r="N213" s="37" t="n">
        <v>35</v>
      </c>
      <c r="O213" s="38" t="n">
        <f aca="false">AVERAGEA(N213,P213)</f>
        <v>42.5</v>
      </c>
      <c r="P213" s="36" t="n">
        <v>50</v>
      </c>
      <c r="Q213" s="34" t="s">
        <v>55</v>
      </c>
      <c r="R213" s="39" t="n">
        <f aca="false">AVERAGEA(S213, Q213)</f>
        <v>0</v>
      </c>
      <c r="S213" s="34" t="s">
        <v>55</v>
      </c>
      <c r="T213" s="37" t="s">
        <v>55</v>
      </c>
      <c r="U213" s="38" t="n">
        <f aca="false">AVERAGEA(T213,V213)</f>
        <v>0</v>
      </c>
      <c r="V213" s="36" t="s">
        <v>55</v>
      </c>
      <c r="W213" s="34" t="s">
        <v>55</v>
      </c>
      <c r="X213" s="39" t="n">
        <f aca="false">AVERAGEA(W213,Y213)</f>
        <v>0</v>
      </c>
      <c r="Y213" s="34" t="s">
        <v>55</v>
      </c>
      <c r="Z213" s="37" t="s">
        <v>55</v>
      </c>
      <c r="AA213" s="38"/>
      <c r="AB213" s="36" t="s">
        <v>55</v>
      </c>
      <c r="AC213" s="34" t="n">
        <f aca="false">AC205*1.66</f>
        <v>43.16</v>
      </c>
      <c r="AD213" s="39" t="n">
        <f aca="false">AVERAGEA(AE213, AC213)</f>
        <v>61.42</v>
      </c>
      <c r="AE213" s="34" t="n">
        <f aca="false">AE205*1.66</f>
        <v>79.68</v>
      </c>
      <c r="AF213" s="37" t="n">
        <v>0</v>
      </c>
      <c r="AG213" s="38" t="n">
        <f aca="false">AVERAGEA(AF213,AH213)</f>
        <v>0</v>
      </c>
      <c r="AH213" s="36" t="n">
        <v>0</v>
      </c>
      <c r="AI213" s="34" t="n">
        <v>15</v>
      </c>
      <c r="AJ213" s="39" t="n">
        <f aca="false">AVERAGEA(AK213, AI213)</f>
        <v>27.5</v>
      </c>
      <c r="AK213" s="34" t="n">
        <v>40</v>
      </c>
      <c r="AL213" s="37" t="n">
        <v>15</v>
      </c>
      <c r="AM213" s="38" t="n">
        <f aca="false">AVERAGEA(AL213,AN213)</f>
        <v>27.5</v>
      </c>
      <c r="AN213" s="36" t="n">
        <v>40</v>
      </c>
      <c r="AO213" s="34" t="n">
        <v>0</v>
      </c>
      <c r="AP213" s="39" t="n">
        <f aca="false">AVERAGEA(AQ213, AO213)</f>
        <v>0</v>
      </c>
      <c r="AQ213" s="34" t="n">
        <v>0</v>
      </c>
      <c r="AR213" s="37" t="n">
        <v>0</v>
      </c>
      <c r="AS213" s="38" t="n">
        <f aca="false">AVERAGEA(AT213, AR213)</f>
        <v>0</v>
      </c>
      <c r="AT213" s="37" t="n">
        <v>0</v>
      </c>
      <c r="AU213" s="34" t="n">
        <f aca="false">AU189*1.15</f>
        <v>920</v>
      </c>
      <c r="AV213" s="39" t="n">
        <f aca="false">AVERAGEA(AU213,AW213)</f>
        <v>1272.5</v>
      </c>
      <c r="AW213" s="34" t="n">
        <f aca="false">AW189*1.25</f>
        <v>1625</v>
      </c>
      <c r="AX213" s="37" t="n">
        <v>18</v>
      </c>
      <c r="AY213" s="38" t="n">
        <f aca="false">AVERAGEA(AZ213, AX213)</f>
        <v>29</v>
      </c>
      <c r="AZ213" s="36" t="n">
        <v>40</v>
      </c>
      <c r="BA213" s="34" t="n">
        <v>5</v>
      </c>
      <c r="BB213" s="39" t="n">
        <f aca="false">AVERAGEA(BA213,BC213)</f>
        <v>9.5</v>
      </c>
      <c r="BC213" s="34" t="n">
        <v>14</v>
      </c>
      <c r="BD213" s="37" t="n">
        <v>0</v>
      </c>
      <c r="BE213" s="38" t="n">
        <f aca="false">AVERAGEA(BF213, BD213)</f>
        <v>0</v>
      </c>
      <c r="BF213" s="37" t="n">
        <v>0</v>
      </c>
      <c r="BG213" s="34" t="n">
        <v>0</v>
      </c>
      <c r="BH213" s="39" t="n">
        <f aca="false">AVERAGEA(BG213,BI213)</f>
        <v>0</v>
      </c>
      <c r="BI213" s="34" t="n">
        <v>0</v>
      </c>
      <c r="BJ213" s="37" t="n">
        <v>0</v>
      </c>
      <c r="BK213" s="38" t="n">
        <f aca="false">AVERAGEA(BL213, BJ213)</f>
        <v>0</v>
      </c>
      <c r="BL213" s="37" t="n">
        <v>0</v>
      </c>
      <c r="BM213" s="34" t="n">
        <v>0</v>
      </c>
      <c r="BN213" s="39" t="n">
        <f aca="false">AVERAGEA(BM213,BO213)</f>
        <v>0</v>
      </c>
      <c r="BO213" s="34" t="n">
        <v>0</v>
      </c>
      <c r="BP213" s="37" t="n">
        <v>0</v>
      </c>
      <c r="BQ213" s="38" t="n">
        <f aca="false">AVERAGEA(BR213, BP213)</f>
        <v>0</v>
      </c>
      <c r="BR213" s="37" t="n">
        <v>0</v>
      </c>
      <c r="BS213" s="34" t="n">
        <v>0</v>
      </c>
      <c r="BT213" s="39" t="n">
        <f aca="false">AVERAGEA(BS213,BU213)</f>
        <v>0</v>
      </c>
      <c r="BU213" s="121" t="n">
        <v>0</v>
      </c>
      <c r="BV213" s="37" t="n">
        <v>0</v>
      </c>
      <c r="BW213" s="38" t="n">
        <f aca="false">AVERAGEA(BX213, BV213)</f>
        <v>0</v>
      </c>
      <c r="BX213" s="37" t="n">
        <v>0</v>
      </c>
      <c r="BY213" s="34"/>
      <c r="BZ213" s="39" t="e">
        <f aca="false">AVERAGEA(BY213,CA213)</f>
        <v>#DIV/0!</v>
      </c>
      <c r="CA213" s="121"/>
      <c r="CB213" s="37"/>
      <c r="CC213" s="38" t="e">
        <f aca="false">AVERAGEA(CD213, CB213)</f>
        <v>#DIV/0!</v>
      </c>
      <c r="CD213" s="37"/>
      <c r="CE213" s="34"/>
      <c r="CF213" s="39" t="e">
        <f aca="false">AVERAGEA(CE213,CG213)</f>
        <v>#DIV/0!</v>
      </c>
      <c r="CG213" s="121"/>
    </row>
    <row r="214" s="18" customFormat="true" ht="28.35" hidden="false" customHeight="false" outlineLevel="0" collapsed="false">
      <c r="B214" s="124"/>
      <c r="C214" s="132"/>
      <c r="D214" s="132"/>
      <c r="E214" s="135"/>
      <c r="F214" s="129" t="s">
        <v>174</v>
      </c>
      <c r="G214" s="136"/>
      <c r="H214" s="37"/>
      <c r="I214" s="38" t="e">
        <f aca="false">AVERAGEA(H214,J214)</f>
        <v>#DIV/0!</v>
      </c>
      <c r="J214" s="36"/>
      <c r="K214" s="34"/>
      <c r="L214" s="39" t="e">
        <f aca="false">AVERAGEA(M214, K214)</f>
        <v>#DIV/0!</v>
      </c>
      <c r="M214" s="34"/>
      <c r="N214" s="37" t="n">
        <v>30</v>
      </c>
      <c r="O214" s="38" t="n">
        <f aca="false">AVERAGEA(N214,P214)</f>
        <v>36</v>
      </c>
      <c r="P214" s="36" t="n">
        <v>42</v>
      </c>
      <c r="Q214" s="34" t="s">
        <v>55</v>
      </c>
      <c r="R214" s="39" t="n">
        <f aca="false">AVERAGEA(S214, Q214)</f>
        <v>0</v>
      </c>
      <c r="S214" s="34" t="s">
        <v>55</v>
      </c>
      <c r="T214" s="37" t="s">
        <v>55</v>
      </c>
      <c r="U214" s="38" t="n">
        <f aca="false">AVERAGEA(T214,V214)</f>
        <v>0</v>
      </c>
      <c r="V214" s="36" t="s">
        <v>55</v>
      </c>
      <c r="W214" s="34" t="s">
        <v>55</v>
      </c>
      <c r="X214" s="39" t="n">
        <f aca="false">AVERAGEA(W214,Y214)</f>
        <v>0</v>
      </c>
      <c r="Y214" s="34" t="s">
        <v>55</v>
      </c>
      <c r="Z214" s="37" t="s">
        <v>55</v>
      </c>
      <c r="AA214" s="38"/>
      <c r="AB214" s="36" t="s">
        <v>55</v>
      </c>
      <c r="AC214" s="34" t="n">
        <f aca="false">AC206*1.66</f>
        <v>36.52</v>
      </c>
      <c r="AD214" s="39" t="n">
        <f aca="false">AVERAGEA(AE214, AC214)</f>
        <v>51.46</v>
      </c>
      <c r="AE214" s="34" t="n">
        <f aca="false">AE206*1.66</f>
        <v>66.4</v>
      </c>
      <c r="AF214" s="37" t="n">
        <v>0</v>
      </c>
      <c r="AG214" s="38" t="n">
        <f aca="false">AVERAGEA(AF214,AH214)</f>
        <v>0</v>
      </c>
      <c r="AH214" s="36" t="n">
        <v>0</v>
      </c>
      <c r="AI214" s="34" t="n">
        <v>15</v>
      </c>
      <c r="AJ214" s="39" t="n">
        <f aca="false">AVERAGEA(AK214, AI214)</f>
        <v>27.5</v>
      </c>
      <c r="AK214" s="34" t="n">
        <v>40</v>
      </c>
      <c r="AL214" s="37" t="n">
        <v>15</v>
      </c>
      <c r="AM214" s="38" t="n">
        <f aca="false">AVERAGEA(AL214,AN214)</f>
        <v>27.5</v>
      </c>
      <c r="AN214" s="36" t="n">
        <v>40</v>
      </c>
      <c r="AO214" s="34" t="n">
        <v>0</v>
      </c>
      <c r="AP214" s="39" t="n">
        <f aca="false">AVERAGEA(AQ214, AO214)</f>
        <v>0</v>
      </c>
      <c r="AQ214" s="34" t="n">
        <v>0</v>
      </c>
      <c r="AR214" s="37" t="n">
        <v>0</v>
      </c>
      <c r="AS214" s="38" t="n">
        <f aca="false">AVERAGEA(AT214, AR214)</f>
        <v>0</v>
      </c>
      <c r="AT214" s="37" t="n">
        <v>0</v>
      </c>
      <c r="AU214" s="34" t="n">
        <f aca="false">AU190*1.15</f>
        <v>1035</v>
      </c>
      <c r="AV214" s="39" t="n">
        <f aca="false">AVERAGEA(AU214,AW214)</f>
        <v>1392.5</v>
      </c>
      <c r="AW214" s="34" t="n">
        <f aca="false">AW190*1.25</f>
        <v>1750</v>
      </c>
      <c r="AX214" s="37" t="n">
        <v>20</v>
      </c>
      <c r="AY214" s="38" t="n">
        <f aca="false">AVERAGEA(AZ214, AX214)</f>
        <v>31</v>
      </c>
      <c r="AZ214" s="36" t="n">
        <v>42</v>
      </c>
      <c r="BA214" s="34" t="n">
        <v>6</v>
      </c>
      <c r="BB214" s="39" t="n">
        <f aca="false">AVERAGEA(BA214,BC214)</f>
        <v>10.5</v>
      </c>
      <c r="BC214" s="34" t="n">
        <v>15</v>
      </c>
      <c r="BD214" s="37" t="n">
        <v>0</v>
      </c>
      <c r="BE214" s="38" t="n">
        <f aca="false">AVERAGEA(BF214, BD214)</f>
        <v>0</v>
      </c>
      <c r="BF214" s="37" t="n">
        <v>0</v>
      </c>
      <c r="BG214" s="34" t="n">
        <v>0</v>
      </c>
      <c r="BH214" s="39" t="n">
        <f aca="false">AVERAGEA(BG214,BI214)</f>
        <v>0</v>
      </c>
      <c r="BI214" s="34" t="n">
        <v>0</v>
      </c>
      <c r="BJ214" s="37" t="n">
        <v>0</v>
      </c>
      <c r="BK214" s="38" t="n">
        <f aca="false">AVERAGEA(BL214, BJ214)</f>
        <v>0</v>
      </c>
      <c r="BL214" s="37" t="n">
        <v>0</v>
      </c>
      <c r="BM214" s="34" t="n">
        <v>0</v>
      </c>
      <c r="BN214" s="39" t="n">
        <f aca="false">AVERAGEA(BM214,BO214)</f>
        <v>0</v>
      </c>
      <c r="BO214" s="34" t="n">
        <v>0</v>
      </c>
      <c r="BP214" s="37" t="n">
        <v>0</v>
      </c>
      <c r="BQ214" s="38" t="n">
        <f aca="false">AVERAGEA(BR214, BP214)</f>
        <v>0</v>
      </c>
      <c r="BR214" s="37" t="n">
        <v>0</v>
      </c>
      <c r="BS214" s="34" t="n">
        <v>0</v>
      </c>
      <c r="BT214" s="39" t="n">
        <f aca="false">AVERAGEA(BS214,BU214)</f>
        <v>0</v>
      </c>
      <c r="BU214" s="121" t="n">
        <v>0</v>
      </c>
      <c r="BV214" s="37" t="n">
        <v>0</v>
      </c>
      <c r="BW214" s="38" t="n">
        <f aca="false">AVERAGEA(BX214, BV214)</f>
        <v>0</v>
      </c>
      <c r="BX214" s="37" t="n">
        <v>0</v>
      </c>
      <c r="BY214" s="34"/>
      <c r="BZ214" s="39" t="e">
        <f aca="false">AVERAGEA(BY214,CA214)</f>
        <v>#DIV/0!</v>
      </c>
      <c r="CA214" s="121"/>
      <c r="CB214" s="37"/>
      <c r="CC214" s="38" t="e">
        <f aca="false">AVERAGEA(CD214, CB214)</f>
        <v>#DIV/0!</v>
      </c>
      <c r="CD214" s="37"/>
      <c r="CE214" s="34"/>
      <c r="CF214" s="39" t="e">
        <f aca="false">AVERAGEA(CE214,CG214)</f>
        <v>#DIV/0!</v>
      </c>
      <c r="CG214" s="121"/>
    </row>
    <row r="215" s="18" customFormat="true" ht="28.35" hidden="false" customHeight="false" outlineLevel="0" collapsed="false">
      <c r="B215" s="124"/>
      <c r="C215" s="132"/>
      <c r="D215" s="132"/>
      <c r="E215" s="135"/>
      <c r="F215" s="129" t="s">
        <v>175</v>
      </c>
      <c r="G215" s="136"/>
      <c r="H215" s="37"/>
      <c r="I215" s="38" t="e">
        <f aca="false">AVERAGEA(H215,J215)</f>
        <v>#DIV/0!</v>
      </c>
      <c r="J215" s="36"/>
      <c r="K215" s="34"/>
      <c r="L215" s="39" t="e">
        <f aca="false">AVERAGEA(M215, K215)</f>
        <v>#DIV/0!</v>
      </c>
      <c r="M215" s="34"/>
      <c r="N215" s="37" t="n">
        <v>28</v>
      </c>
      <c r="O215" s="38" t="n">
        <f aca="false">AVERAGEA(N215,P215)</f>
        <v>33</v>
      </c>
      <c r="P215" s="36" t="n">
        <v>38</v>
      </c>
      <c r="Q215" s="34" t="s">
        <v>55</v>
      </c>
      <c r="R215" s="39" t="n">
        <f aca="false">AVERAGEA(S215, Q215)</f>
        <v>0</v>
      </c>
      <c r="S215" s="34" t="s">
        <v>55</v>
      </c>
      <c r="T215" s="37" t="s">
        <v>55</v>
      </c>
      <c r="U215" s="38" t="n">
        <f aca="false">AVERAGEA(T215,V215)</f>
        <v>0</v>
      </c>
      <c r="V215" s="36" t="s">
        <v>55</v>
      </c>
      <c r="W215" s="34" t="s">
        <v>55</v>
      </c>
      <c r="X215" s="39" t="n">
        <f aca="false">AVERAGEA(W215,Y215)</f>
        <v>0</v>
      </c>
      <c r="Y215" s="34" t="s">
        <v>55</v>
      </c>
      <c r="Z215" s="37" t="s">
        <v>55</v>
      </c>
      <c r="AA215" s="38"/>
      <c r="AB215" s="36" t="s">
        <v>55</v>
      </c>
      <c r="AC215" s="34" t="n">
        <f aca="false">AC207*1.66</f>
        <v>33.2</v>
      </c>
      <c r="AD215" s="39" t="n">
        <f aca="false">AVERAGEA(AE215, AC215)</f>
        <v>45.65</v>
      </c>
      <c r="AE215" s="34" t="n">
        <f aca="false">AE207*1.66</f>
        <v>58.1</v>
      </c>
      <c r="AF215" s="37" t="n">
        <v>0</v>
      </c>
      <c r="AG215" s="38" t="n">
        <f aca="false">AVERAGEA(AF215,AH215)</f>
        <v>0</v>
      </c>
      <c r="AH215" s="36" t="n">
        <v>0</v>
      </c>
      <c r="AI215" s="34" t="n">
        <v>15</v>
      </c>
      <c r="AJ215" s="39" t="n">
        <f aca="false">AVERAGEA(AK215, AI215)</f>
        <v>27.5</v>
      </c>
      <c r="AK215" s="34" t="n">
        <v>40</v>
      </c>
      <c r="AL215" s="37" t="n">
        <v>15</v>
      </c>
      <c r="AM215" s="38" t="n">
        <f aca="false">AVERAGEA(AL215,AN215)</f>
        <v>27.5</v>
      </c>
      <c r="AN215" s="36" t="n">
        <v>40</v>
      </c>
      <c r="AO215" s="34" t="n">
        <v>0</v>
      </c>
      <c r="AP215" s="39" t="n">
        <f aca="false">AVERAGEA(AQ215, AO215)</f>
        <v>0</v>
      </c>
      <c r="AQ215" s="34" t="n">
        <v>0</v>
      </c>
      <c r="AR215" s="37" t="n">
        <v>0</v>
      </c>
      <c r="AS215" s="38" t="n">
        <f aca="false">AVERAGEA(AT215, AR215)</f>
        <v>0</v>
      </c>
      <c r="AT215" s="37" t="n">
        <v>0</v>
      </c>
      <c r="AU215" s="34" t="n">
        <f aca="false">AU191*1.15</f>
        <v>1150</v>
      </c>
      <c r="AV215" s="39" t="n">
        <f aca="false">AVERAGEA(AU215,AW215)</f>
        <v>1512.5</v>
      </c>
      <c r="AW215" s="34" t="n">
        <f aca="false">AW191*1.25</f>
        <v>1875</v>
      </c>
      <c r="AX215" s="37" t="n">
        <v>22</v>
      </c>
      <c r="AY215" s="38" t="n">
        <f aca="false">AVERAGEA(AZ215, AX215)</f>
        <v>33.5</v>
      </c>
      <c r="AZ215" s="36" t="n">
        <v>45</v>
      </c>
      <c r="BA215" s="34" t="n">
        <v>7</v>
      </c>
      <c r="BB215" s="39" t="n">
        <f aca="false">AVERAGEA(BA215,BC215)</f>
        <v>11.5</v>
      </c>
      <c r="BC215" s="34" t="n">
        <v>16</v>
      </c>
      <c r="BD215" s="37" t="n">
        <v>0</v>
      </c>
      <c r="BE215" s="38" t="n">
        <f aca="false">AVERAGEA(BF215, BD215)</f>
        <v>0</v>
      </c>
      <c r="BF215" s="37" t="n">
        <v>0</v>
      </c>
      <c r="BG215" s="34" t="n">
        <v>0</v>
      </c>
      <c r="BH215" s="39" t="n">
        <f aca="false">AVERAGEA(BG215,BI215)</f>
        <v>0</v>
      </c>
      <c r="BI215" s="34" t="n">
        <v>0</v>
      </c>
      <c r="BJ215" s="37" t="n">
        <v>0</v>
      </c>
      <c r="BK215" s="38" t="n">
        <f aca="false">AVERAGEA(BL215, BJ215)</f>
        <v>0</v>
      </c>
      <c r="BL215" s="37" t="n">
        <v>0</v>
      </c>
      <c r="BM215" s="34" t="n">
        <v>0</v>
      </c>
      <c r="BN215" s="39" t="n">
        <f aca="false">AVERAGEA(BM215,BO215)</f>
        <v>0</v>
      </c>
      <c r="BO215" s="34" t="n">
        <v>0</v>
      </c>
      <c r="BP215" s="37" t="n">
        <v>0</v>
      </c>
      <c r="BQ215" s="38" t="n">
        <f aca="false">AVERAGEA(BR215, BP215)</f>
        <v>0</v>
      </c>
      <c r="BR215" s="37" t="n">
        <v>0</v>
      </c>
      <c r="BS215" s="34" t="n">
        <v>0</v>
      </c>
      <c r="BT215" s="39" t="n">
        <f aca="false">AVERAGEA(BS215,BU215)</f>
        <v>0</v>
      </c>
      <c r="BU215" s="121" t="n">
        <v>0</v>
      </c>
      <c r="BV215" s="37" t="n">
        <v>0</v>
      </c>
      <c r="BW215" s="38" t="n">
        <f aca="false">AVERAGEA(BX215, BV215)</f>
        <v>0</v>
      </c>
      <c r="BX215" s="37" t="n">
        <v>0</v>
      </c>
      <c r="BY215" s="34"/>
      <c r="BZ215" s="39" t="e">
        <f aca="false">AVERAGEA(BY215,CA215)</f>
        <v>#DIV/0!</v>
      </c>
      <c r="CA215" s="121"/>
      <c r="CB215" s="37"/>
      <c r="CC215" s="38" t="e">
        <f aca="false">AVERAGEA(CD215, CB215)</f>
        <v>#DIV/0!</v>
      </c>
      <c r="CD215" s="37"/>
      <c r="CE215" s="34"/>
      <c r="CF215" s="39" t="e">
        <f aca="false">AVERAGEA(CE215,CG215)</f>
        <v>#DIV/0!</v>
      </c>
      <c r="CG215" s="121"/>
    </row>
    <row r="216" s="18" customFormat="true" ht="28.35" hidden="false" customHeight="false" outlineLevel="0" collapsed="false">
      <c r="B216" s="124"/>
      <c r="C216" s="132"/>
      <c r="D216" s="132"/>
      <c r="E216" s="135"/>
      <c r="F216" s="134" t="s">
        <v>176</v>
      </c>
      <c r="G216" s="136"/>
      <c r="H216" s="52"/>
      <c r="I216" s="51" t="e">
        <f aca="false">AVERAGEA(H216,J216)</f>
        <v>#DIV/0!</v>
      </c>
      <c r="J216" s="52"/>
      <c r="K216" s="77"/>
      <c r="L216" s="54" t="e">
        <f aca="false">AVERAGEA(K216,M216)</f>
        <v>#DIV/0!</v>
      </c>
      <c r="M216" s="77"/>
      <c r="N216" s="52" t="n">
        <v>25</v>
      </c>
      <c r="O216" s="51" t="n">
        <f aca="false">AVERAGEA(N216,P216)</f>
        <v>30</v>
      </c>
      <c r="P216" s="52" t="n">
        <v>35</v>
      </c>
      <c r="Q216" s="77" t="s">
        <v>55</v>
      </c>
      <c r="R216" s="54" t="n">
        <f aca="false">AVERAGEA(Q216,S216)</f>
        <v>0</v>
      </c>
      <c r="S216" s="77" t="s">
        <v>55</v>
      </c>
      <c r="T216" s="52" t="s">
        <v>55</v>
      </c>
      <c r="U216" s="51" t="n">
        <f aca="false">AVERAGEA(T216,V216)</f>
        <v>0</v>
      </c>
      <c r="V216" s="52" t="s">
        <v>55</v>
      </c>
      <c r="W216" s="77" t="s">
        <v>55</v>
      </c>
      <c r="X216" s="54" t="n">
        <f aca="false">AVERAGEA(W216,Y216)</f>
        <v>0</v>
      </c>
      <c r="Y216" s="77" t="s">
        <v>55</v>
      </c>
      <c r="Z216" s="52" t="s">
        <v>55</v>
      </c>
      <c r="AA216" s="51"/>
      <c r="AB216" s="52" t="s">
        <v>55</v>
      </c>
      <c r="AC216" s="77" t="n">
        <f aca="false">AC208*1.66</f>
        <v>29.88</v>
      </c>
      <c r="AD216" s="54" t="n">
        <f aca="false">AVERAGEA(AC216,AE216)</f>
        <v>41.5</v>
      </c>
      <c r="AE216" s="77" t="n">
        <f aca="false">AE208*1.66</f>
        <v>53.12</v>
      </c>
      <c r="AF216" s="52" t="n">
        <v>0</v>
      </c>
      <c r="AG216" s="51" t="n">
        <f aca="false">AVERAGEA(AF216,AH216)</f>
        <v>0</v>
      </c>
      <c r="AH216" s="52" t="n">
        <v>0</v>
      </c>
      <c r="AI216" s="77" t="n">
        <v>15</v>
      </c>
      <c r="AJ216" s="54" t="n">
        <f aca="false">AVERAGEA(AI216,AK216)</f>
        <v>27.5</v>
      </c>
      <c r="AK216" s="77" t="n">
        <v>40</v>
      </c>
      <c r="AL216" s="52" t="n">
        <v>15</v>
      </c>
      <c r="AM216" s="51" t="n">
        <f aca="false">AVERAGEA(AL216,AN216)</f>
        <v>27.5</v>
      </c>
      <c r="AN216" s="52" t="n">
        <v>40</v>
      </c>
      <c r="AO216" s="77" t="n">
        <v>0</v>
      </c>
      <c r="AP216" s="54" t="n">
        <f aca="false">AVERAGEA(AO216,AQ216)</f>
        <v>0</v>
      </c>
      <c r="AQ216" s="77" t="n">
        <v>0</v>
      </c>
      <c r="AR216" s="52" t="n">
        <v>0</v>
      </c>
      <c r="AS216" s="51" t="n">
        <f aca="false">AVERAGEA(AR216,AT216)</f>
        <v>0</v>
      </c>
      <c r="AT216" s="52" t="n">
        <v>0</v>
      </c>
      <c r="AU216" s="77" t="n">
        <f aca="false">AU192*1.15</f>
        <v>1265</v>
      </c>
      <c r="AV216" s="54" t="n">
        <f aca="false">AVERAGEA(AU216,AW216)</f>
        <v>1632.5</v>
      </c>
      <c r="AW216" s="77" t="n">
        <f aca="false">AW192*1.25</f>
        <v>2000</v>
      </c>
      <c r="AX216" s="52" t="n">
        <v>25</v>
      </c>
      <c r="AY216" s="51" t="n">
        <f aca="false">AVERAGEA(AX216,AZ216)</f>
        <v>37.5</v>
      </c>
      <c r="AZ216" s="52" t="n">
        <v>50</v>
      </c>
      <c r="BA216" s="77" t="n">
        <v>8</v>
      </c>
      <c r="BB216" s="54" t="n">
        <f aca="false">AVERAGEA(BA216,BC216)</f>
        <v>13</v>
      </c>
      <c r="BC216" s="77" t="n">
        <v>18</v>
      </c>
      <c r="BD216" s="52" t="n">
        <v>0</v>
      </c>
      <c r="BE216" s="51" t="n">
        <f aca="false">AVERAGEA(BD216,BF216)</f>
        <v>0</v>
      </c>
      <c r="BF216" s="52" t="n">
        <v>0</v>
      </c>
      <c r="BG216" s="77" t="n">
        <v>0</v>
      </c>
      <c r="BH216" s="54" t="n">
        <f aca="false">AVERAGEA(BG216,BI216)</f>
        <v>0</v>
      </c>
      <c r="BI216" s="77" t="n">
        <v>0</v>
      </c>
      <c r="BJ216" s="52" t="n">
        <v>0</v>
      </c>
      <c r="BK216" s="51" t="n">
        <f aca="false">AVERAGEA(BJ216,BL216)</f>
        <v>0</v>
      </c>
      <c r="BL216" s="52" t="n">
        <v>0</v>
      </c>
      <c r="BM216" s="77" t="n">
        <v>0</v>
      </c>
      <c r="BN216" s="54" t="n">
        <f aca="false">AVERAGEA(BM216,BO216)</f>
        <v>0</v>
      </c>
      <c r="BO216" s="77" t="n">
        <v>0</v>
      </c>
      <c r="BP216" s="52" t="n">
        <v>0</v>
      </c>
      <c r="BQ216" s="51" t="n">
        <f aca="false">AVERAGEA(BP216,BR216)</f>
        <v>0</v>
      </c>
      <c r="BR216" s="52" t="n">
        <v>0</v>
      </c>
      <c r="BS216" s="77" t="n">
        <v>0</v>
      </c>
      <c r="BT216" s="54" t="n">
        <f aca="false">AVERAGEA(BS216,BU216)</f>
        <v>0</v>
      </c>
      <c r="BU216" s="137" t="n">
        <v>0</v>
      </c>
      <c r="BV216" s="52" t="n">
        <v>0</v>
      </c>
      <c r="BW216" s="51" t="n">
        <f aca="false">AVERAGEA(BV216,BX216)</f>
        <v>0</v>
      </c>
      <c r="BX216" s="52" t="n">
        <v>0</v>
      </c>
      <c r="BY216" s="77"/>
      <c r="BZ216" s="54" t="e">
        <f aca="false">AVERAGEA(BY216,CA216)</f>
        <v>#DIV/0!</v>
      </c>
      <c r="CA216" s="137"/>
      <c r="CB216" s="52"/>
      <c r="CC216" s="51" t="e">
        <f aca="false">AVERAGEA(CB216,CD216)</f>
        <v>#DIV/0!</v>
      </c>
      <c r="CD216" s="52"/>
      <c r="CE216" s="77"/>
      <c r="CF216" s="54" t="e">
        <f aca="false">AVERAGEA(CE216,CG216)</f>
        <v>#DIV/0!</v>
      </c>
      <c r="CG216" s="137"/>
    </row>
    <row r="217" s="18" customFormat="true" ht="26.4" hidden="false" customHeight="true" outlineLevel="0" collapsed="false">
      <c r="B217" s="19" t="s">
        <v>182</v>
      </c>
      <c r="C217" s="79" t="s">
        <v>183</v>
      </c>
      <c r="D217" s="138"/>
      <c r="E217" s="139"/>
      <c r="F217" s="20" t="s">
        <v>184</v>
      </c>
      <c r="G217" s="139"/>
      <c r="H217" s="29"/>
      <c r="I217" s="30" t="e">
        <f aca="false">AVERAGEA(H217,J217)</f>
        <v>#DIV/0!</v>
      </c>
      <c r="J217" s="29"/>
      <c r="K217" s="26"/>
      <c r="L217" s="27" t="e">
        <f aca="false">AVERAGEA(K217,M217)</f>
        <v>#DIV/0!</v>
      </c>
      <c r="M217" s="26"/>
      <c r="N217" s="29" t="n">
        <v>12</v>
      </c>
      <c r="O217" s="30" t="n">
        <f aca="false">AVERAGEA(N217,P217)</f>
        <v>18.5</v>
      </c>
      <c r="P217" s="29" t="n">
        <v>25</v>
      </c>
      <c r="Q217" s="26" t="s">
        <v>55</v>
      </c>
      <c r="R217" s="27" t="n">
        <f aca="false">AVERAGEA(Q217,S217)</f>
        <v>0</v>
      </c>
      <c r="S217" s="26" t="s">
        <v>55</v>
      </c>
      <c r="T217" s="29" t="s">
        <v>55</v>
      </c>
      <c r="U217" s="29" t="n">
        <f aca="false">AVERAGEA(V217, T217)</f>
        <v>0</v>
      </c>
      <c r="V217" s="29" t="s">
        <v>55</v>
      </c>
      <c r="W217" s="26" t="s">
        <v>55</v>
      </c>
      <c r="X217" s="27" t="n">
        <f aca="false">AVERAGEA(Y217, W217)</f>
        <v>0</v>
      </c>
      <c r="Y217" s="26" t="s">
        <v>55</v>
      </c>
      <c r="Z217" s="29" t="s">
        <v>55</v>
      </c>
      <c r="AA217" s="29"/>
      <c r="AB217" s="29" t="s">
        <v>55</v>
      </c>
      <c r="AC217" s="26" t="n">
        <v>85</v>
      </c>
      <c r="AD217" s="27" t="n">
        <f aca="false">AVERAGEA(AC217,AE217)</f>
        <v>92</v>
      </c>
      <c r="AE217" s="26" t="n">
        <v>99</v>
      </c>
      <c r="AF217" s="83" t="n">
        <v>20</v>
      </c>
      <c r="AG217" s="29" t="n">
        <f aca="false">AVERAGEA(AH217, AF217)</f>
        <v>30</v>
      </c>
      <c r="AH217" s="83" t="n">
        <v>40</v>
      </c>
      <c r="AI217" s="26" t="n">
        <v>2</v>
      </c>
      <c r="AJ217" s="27" t="n">
        <f aca="false">AVERAGEA(AK217, AI217)</f>
        <v>6</v>
      </c>
      <c r="AK217" s="26" t="n">
        <v>10</v>
      </c>
      <c r="AL217" s="83" t="n">
        <v>2</v>
      </c>
      <c r="AM217" s="30" t="n">
        <f aca="false">AVERAGEA(AN217, AL217)</f>
        <v>6</v>
      </c>
      <c r="AN217" s="83" t="n">
        <v>10</v>
      </c>
      <c r="AO217" s="26" t="n">
        <v>2</v>
      </c>
      <c r="AP217" s="27" t="n">
        <f aca="false">AVERAGEA(AQ217, AO217)</f>
        <v>5</v>
      </c>
      <c r="AQ217" s="26" t="n">
        <v>8</v>
      </c>
      <c r="AR217" s="29" t="n">
        <v>1</v>
      </c>
      <c r="AS217" s="30" t="n">
        <f aca="false">AVERAGEA(AT217, AR217)</f>
        <v>2.5</v>
      </c>
      <c r="AT217" s="29" t="n">
        <v>4</v>
      </c>
      <c r="AU217" s="26" t="n">
        <v>2000</v>
      </c>
      <c r="AV217" s="26" t="n">
        <f aca="false">AVERAGEA(AW217, AU217)</f>
        <v>3250</v>
      </c>
      <c r="AW217" s="26" t="n">
        <v>4500</v>
      </c>
      <c r="AX217" s="83" t="n">
        <v>45</v>
      </c>
      <c r="AY217" s="30" t="n">
        <f aca="false">AVERAGEA(AZ217, AX217)</f>
        <v>82.5</v>
      </c>
      <c r="AZ217" s="83" t="n">
        <v>120</v>
      </c>
      <c r="BA217" s="26" t="n">
        <v>3</v>
      </c>
      <c r="BB217" s="27" t="n">
        <f aca="false">AVERAGEA(BA217,BC217)</f>
        <v>7.5</v>
      </c>
      <c r="BC217" s="26" t="n">
        <v>12</v>
      </c>
      <c r="BD217" s="83" t="n">
        <v>20</v>
      </c>
      <c r="BE217" s="30" t="n">
        <f aca="false">AVERAGEA(BF217, BD217)</f>
        <v>50</v>
      </c>
      <c r="BF217" s="83" t="n">
        <v>80</v>
      </c>
      <c r="BG217" s="26" t="n">
        <v>40</v>
      </c>
      <c r="BH217" s="27" t="n">
        <f aca="false">AVERAGEA(BG217,BI217)</f>
        <v>100</v>
      </c>
      <c r="BI217" s="26" t="n">
        <v>160</v>
      </c>
      <c r="BJ217" s="83" t="n">
        <v>80</v>
      </c>
      <c r="BK217" s="30" t="n">
        <f aca="false">AVERAGEA(BL217, BJ217)</f>
        <v>200</v>
      </c>
      <c r="BL217" s="83" t="n">
        <v>320</v>
      </c>
      <c r="BM217" s="26" t="n">
        <v>2</v>
      </c>
      <c r="BN217" s="27" t="n">
        <f aca="false">AVERAGEA(BM217,BO217)</f>
        <v>5</v>
      </c>
      <c r="BO217" s="26" t="n">
        <v>8</v>
      </c>
      <c r="BP217" s="83" t="n">
        <v>15</v>
      </c>
      <c r="BQ217" s="30" t="n">
        <f aca="false">AVERAGEA(BR217, BP217)</f>
        <v>37.5</v>
      </c>
      <c r="BR217" s="83" t="n">
        <v>60</v>
      </c>
      <c r="BS217" s="26" t="n">
        <v>0.5</v>
      </c>
      <c r="BT217" s="27" t="n">
        <f aca="false">AVERAGEA(BS217,BU217)</f>
        <v>1.25</v>
      </c>
      <c r="BU217" s="103" t="n">
        <v>2</v>
      </c>
      <c r="BV217" s="83" t="n">
        <v>1</v>
      </c>
      <c r="BW217" s="30" t="n">
        <f aca="false">AVERAGEA(BX217, BV217)</f>
        <v>2.5</v>
      </c>
      <c r="BX217" s="83" t="n">
        <v>4</v>
      </c>
      <c r="BY217" s="26"/>
      <c r="BZ217" s="27" t="e">
        <f aca="false">AVERAGEA(BY217,CA217)</f>
        <v>#DIV/0!</v>
      </c>
      <c r="CA217" s="103"/>
      <c r="CB217" s="83"/>
      <c r="CC217" s="30" t="e">
        <f aca="false">AVERAGEA(CD217, CB217)</f>
        <v>#DIV/0!</v>
      </c>
      <c r="CD217" s="83"/>
      <c r="CE217" s="26"/>
      <c r="CF217" s="27" t="e">
        <f aca="false">AVERAGEA(CE217,CG217)</f>
        <v>#DIV/0!</v>
      </c>
      <c r="CG217" s="103"/>
    </row>
    <row r="218" s="18" customFormat="true" ht="28.35" hidden="false" customHeight="false" outlineLevel="0" collapsed="false">
      <c r="B218" s="19"/>
      <c r="C218" s="79" t="s">
        <v>146</v>
      </c>
      <c r="D218" s="138" t="s">
        <v>185</v>
      </c>
      <c r="E218" s="139"/>
      <c r="F218" s="32" t="s">
        <v>186</v>
      </c>
      <c r="G218" s="139"/>
      <c r="H218" s="37"/>
      <c r="I218" s="38" t="e">
        <f aca="false">AVERAGEA(H218,J218)</f>
        <v>#DIV/0!</v>
      </c>
      <c r="J218" s="37"/>
      <c r="K218" s="34"/>
      <c r="L218" s="39" t="e">
        <f aca="false">AVERAGEA(K218,M218)</f>
        <v>#DIV/0!</v>
      </c>
      <c r="M218" s="34"/>
      <c r="N218" s="37" t="n">
        <v>10</v>
      </c>
      <c r="O218" s="38" t="n">
        <f aca="false">AVERAGEA(N218,P218)</f>
        <v>16</v>
      </c>
      <c r="P218" s="37" t="n">
        <v>22</v>
      </c>
      <c r="Q218" s="34" t="s">
        <v>55</v>
      </c>
      <c r="R218" s="39" t="n">
        <f aca="false">AVERAGEA(Q218,S218)</f>
        <v>0</v>
      </c>
      <c r="S218" s="34" t="s">
        <v>55</v>
      </c>
      <c r="T218" s="37" t="s">
        <v>55</v>
      </c>
      <c r="U218" s="37" t="n">
        <f aca="false">AVERAGEA(V218, T218)</f>
        <v>0</v>
      </c>
      <c r="V218" s="37" t="s">
        <v>55</v>
      </c>
      <c r="W218" s="34" t="s">
        <v>55</v>
      </c>
      <c r="X218" s="39" t="n">
        <f aca="false">AVERAGEA(Y218, W218)</f>
        <v>0</v>
      </c>
      <c r="Y218" s="34" t="s">
        <v>55</v>
      </c>
      <c r="Z218" s="37" t="s">
        <v>55</v>
      </c>
      <c r="AA218" s="37"/>
      <c r="AB218" s="37" t="s">
        <v>55</v>
      </c>
      <c r="AC218" s="34" t="n">
        <v>80</v>
      </c>
      <c r="AD218" s="39" t="n">
        <f aca="false">AVERAGEA(AC218,AE218)</f>
        <v>89</v>
      </c>
      <c r="AE218" s="34" t="n">
        <v>98</v>
      </c>
      <c r="AF218" s="43" t="n">
        <v>20</v>
      </c>
      <c r="AG218" s="37" t="n">
        <f aca="false">AVERAGEA(AH218, AF218)</f>
        <v>30</v>
      </c>
      <c r="AH218" s="43" t="n">
        <v>40</v>
      </c>
      <c r="AI218" s="34" t="n">
        <v>2</v>
      </c>
      <c r="AJ218" s="39" t="n">
        <f aca="false">AVERAGEA(AK218, AI218)</f>
        <v>6</v>
      </c>
      <c r="AK218" s="34" t="n">
        <v>10</v>
      </c>
      <c r="AL218" s="43" t="n">
        <v>2</v>
      </c>
      <c r="AM218" s="37" t="n">
        <f aca="false">AVERAGEA(AN218, AL218)</f>
        <v>6</v>
      </c>
      <c r="AN218" s="43" t="n">
        <v>10</v>
      </c>
      <c r="AO218" s="34" t="n">
        <v>2</v>
      </c>
      <c r="AP218" s="34" t="n">
        <f aca="false">AVERAGEA(AQ218, AO218)</f>
        <v>5</v>
      </c>
      <c r="AQ218" s="34" t="n">
        <v>8</v>
      </c>
      <c r="AR218" s="37" t="n">
        <v>1</v>
      </c>
      <c r="AS218" s="37" t="n">
        <f aca="false">AVERAGEA(AT218, AR218)</f>
        <v>2.5</v>
      </c>
      <c r="AT218" s="37" t="n">
        <v>4</v>
      </c>
      <c r="AU218" s="34" t="n">
        <v>2500</v>
      </c>
      <c r="AV218" s="39" t="n">
        <f aca="false">AVERAGEA(AW218, AU218)</f>
        <v>4000</v>
      </c>
      <c r="AW218" s="34" t="n">
        <v>5500</v>
      </c>
      <c r="AX218" s="43" t="n">
        <v>60</v>
      </c>
      <c r="AY218" s="38" t="n">
        <f aca="false">AVERAGEA(AZ218, AX218)</f>
        <v>105</v>
      </c>
      <c r="AZ218" s="43" t="n">
        <v>150</v>
      </c>
      <c r="BA218" s="34" t="n">
        <v>4</v>
      </c>
      <c r="BB218" s="34" t="n">
        <f aca="false">AVERAGEA(BA218,BC218)</f>
        <v>10</v>
      </c>
      <c r="BC218" s="34" t="n">
        <v>16</v>
      </c>
      <c r="BD218" s="43" t="n">
        <v>20</v>
      </c>
      <c r="BE218" s="38" t="n">
        <f aca="false">AVERAGEA(BF218, BD218)</f>
        <v>50</v>
      </c>
      <c r="BF218" s="43" t="n">
        <v>80</v>
      </c>
      <c r="BG218" s="34" t="n">
        <v>40</v>
      </c>
      <c r="BH218" s="34" t="n">
        <f aca="false">AVERAGEA(BG218,BI218)</f>
        <v>100</v>
      </c>
      <c r="BI218" s="34" t="n">
        <v>160</v>
      </c>
      <c r="BJ218" s="43" t="n">
        <v>80</v>
      </c>
      <c r="BK218" s="38" t="n">
        <f aca="false">AVERAGEA(BL218, BJ218)</f>
        <v>200</v>
      </c>
      <c r="BL218" s="43" t="n">
        <v>320</v>
      </c>
      <c r="BM218" s="34" t="n">
        <v>2</v>
      </c>
      <c r="BN218" s="34" t="n">
        <f aca="false">AVERAGEA(BM218,BO218)</f>
        <v>5</v>
      </c>
      <c r="BO218" s="34" t="n">
        <v>8</v>
      </c>
      <c r="BP218" s="43" t="n">
        <v>15</v>
      </c>
      <c r="BQ218" s="38" t="n">
        <f aca="false">AVERAGEA(BR218, BP218)</f>
        <v>37.5</v>
      </c>
      <c r="BR218" s="43" t="n">
        <v>60</v>
      </c>
      <c r="BS218" s="34" t="n">
        <v>0.5</v>
      </c>
      <c r="BT218" s="34" t="n">
        <f aca="false">AVERAGEA(BS218,BU218)</f>
        <v>1.25</v>
      </c>
      <c r="BU218" s="40" t="n">
        <v>2</v>
      </c>
      <c r="BV218" s="43" t="n">
        <v>1</v>
      </c>
      <c r="BW218" s="38" t="n">
        <f aca="false">AVERAGEA(BX218, BV218)</f>
        <v>2.5</v>
      </c>
      <c r="BX218" s="43" t="n">
        <v>4</v>
      </c>
      <c r="BY218" s="34"/>
      <c r="BZ218" s="34" t="e">
        <f aca="false">AVERAGEA(BY218,CA218)</f>
        <v>#DIV/0!</v>
      </c>
      <c r="CA218" s="40"/>
      <c r="CB218" s="43"/>
      <c r="CC218" s="38" t="e">
        <f aca="false">AVERAGEA(CD218, CB218)</f>
        <v>#DIV/0!</v>
      </c>
      <c r="CD218" s="43"/>
      <c r="CE218" s="34"/>
      <c r="CF218" s="34" t="e">
        <f aca="false">AVERAGEA(CE218,CG218)</f>
        <v>#DIV/0!</v>
      </c>
      <c r="CG218" s="40"/>
    </row>
    <row r="219" s="18" customFormat="true" ht="28.35" hidden="false" customHeight="false" outlineLevel="0" collapsed="false">
      <c r="B219" s="19"/>
      <c r="C219" s="79" t="s">
        <v>149</v>
      </c>
      <c r="D219" s="138" t="s">
        <v>187</v>
      </c>
      <c r="E219" s="139"/>
      <c r="F219" s="47" t="s">
        <v>188</v>
      </c>
      <c r="G219" s="139"/>
      <c r="H219" s="52"/>
      <c r="I219" s="51" t="e">
        <f aca="false">AVERAGEA(H219,J219)</f>
        <v>#DIV/0!</v>
      </c>
      <c r="J219" s="52"/>
      <c r="K219" s="77"/>
      <c r="L219" s="54" t="e">
        <f aca="false">AVERAGEA(K219,M219)</f>
        <v>#DIV/0!</v>
      </c>
      <c r="M219" s="77"/>
      <c r="N219" s="52" t="n">
        <v>8</v>
      </c>
      <c r="O219" s="51" t="n">
        <f aca="false">AVERAGEA(N219,P219)</f>
        <v>13</v>
      </c>
      <c r="P219" s="52" t="n">
        <v>18</v>
      </c>
      <c r="Q219" s="77" t="s">
        <v>55</v>
      </c>
      <c r="R219" s="54" t="n">
        <f aca="false">AVERAGEA(Q219,S219)</f>
        <v>0</v>
      </c>
      <c r="S219" s="77" t="s">
        <v>55</v>
      </c>
      <c r="T219" s="52" t="s">
        <v>55</v>
      </c>
      <c r="U219" s="52" t="n">
        <f aca="false">AVERAGEA(V219, T219)</f>
        <v>0</v>
      </c>
      <c r="V219" s="52" t="s">
        <v>55</v>
      </c>
      <c r="W219" s="77" t="s">
        <v>55</v>
      </c>
      <c r="X219" s="54" t="n">
        <f aca="false">AVERAGEA(Y219, W219)</f>
        <v>0</v>
      </c>
      <c r="Y219" s="77" t="s">
        <v>55</v>
      </c>
      <c r="Z219" s="52" t="s">
        <v>55</v>
      </c>
      <c r="AA219" s="52"/>
      <c r="AB219" s="52" t="s">
        <v>55</v>
      </c>
      <c r="AC219" s="77" t="n">
        <v>75</v>
      </c>
      <c r="AD219" s="54" t="n">
        <f aca="false">AVERAGEA(AC219,AE219)</f>
        <v>85</v>
      </c>
      <c r="AE219" s="77" t="n">
        <v>95</v>
      </c>
      <c r="AF219" s="56" t="n">
        <v>20</v>
      </c>
      <c r="AG219" s="52" t="n">
        <f aca="false">AVERAGEA(AH219, AF219)</f>
        <v>30</v>
      </c>
      <c r="AH219" s="56" t="n">
        <v>40</v>
      </c>
      <c r="AI219" s="77" t="n">
        <v>2</v>
      </c>
      <c r="AJ219" s="77" t="n">
        <f aca="false">AVERAGEA(AK219, AI219)</f>
        <v>6</v>
      </c>
      <c r="AK219" s="77" t="n">
        <v>10</v>
      </c>
      <c r="AL219" s="56" t="n">
        <v>2</v>
      </c>
      <c r="AM219" s="51" t="n">
        <f aca="false">AVERAGEA(AL219,AN219)</f>
        <v>6</v>
      </c>
      <c r="AN219" s="56" t="n">
        <v>10</v>
      </c>
      <c r="AO219" s="77" t="n">
        <v>2</v>
      </c>
      <c r="AP219" s="77" t="n">
        <f aca="false">AVERAGEA(AQ219, AO219)</f>
        <v>5</v>
      </c>
      <c r="AQ219" s="77" t="n">
        <v>8</v>
      </c>
      <c r="AR219" s="52" t="n">
        <v>1</v>
      </c>
      <c r="AS219" s="52" t="n">
        <f aca="false">AVERAGEA(AT219, AR219)</f>
        <v>2.5</v>
      </c>
      <c r="AT219" s="52" t="n">
        <v>4</v>
      </c>
      <c r="AU219" s="77" t="n">
        <v>3000</v>
      </c>
      <c r="AV219" s="54" t="n">
        <f aca="false">AVERAGEA(AW219, AU219)</f>
        <v>5000</v>
      </c>
      <c r="AW219" s="77" t="n">
        <v>7000</v>
      </c>
      <c r="AX219" s="56" t="n">
        <v>80</v>
      </c>
      <c r="AY219" s="51" t="n">
        <f aca="false">AVERAGEA(AZ219, AX219)</f>
        <v>140</v>
      </c>
      <c r="AZ219" s="56" t="n">
        <v>200</v>
      </c>
      <c r="BA219" s="77" t="n">
        <v>5</v>
      </c>
      <c r="BB219" s="77" t="n">
        <f aca="false">AVERAGEA(BA219,BC219)</f>
        <v>12.5</v>
      </c>
      <c r="BC219" s="77" t="n">
        <v>20</v>
      </c>
      <c r="BD219" s="56" t="n">
        <v>20</v>
      </c>
      <c r="BE219" s="51" t="n">
        <f aca="false">AVERAGEA(BF219, BD219)</f>
        <v>50</v>
      </c>
      <c r="BF219" s="56" t="n">
        <v>80</v>
      </c>
      <c r="BG219" s="77" t="n">
        <v>40</v>
      </c>
      <c r="BH219" s="77" t="n">
        <f aca="false">AVERAGEA(BG219,BI219)</f>
        <v>100</v>
      </c>
      <c r="BI219" s="77" t="n">
        <v>160</v>
      </c>
      <c r="BJ219" s="56" t="n">
        <v>80</v>
      </c>
      <c r="BK219" s="51" t="n">
        <f aca="false">AVERAGEA(BL219, BJ219)</f>
        <v>200</v>
      </c>
      <c r="BL219" s="56" t="n">
        <v>320</v>
      </c>
      <c r="BM219" s="77" t="n">
        <v>2</v>
      </c>
      <c r="BN219" s="77" t="n">
        <f aca="false">AVERAGEA(BM219,BO219)</f>
        <v>5</v>
      </c>
      <c r="BO219" s="77" t="n">
        <v>8</v>
      </c>
      <c r="BP219" s="56" t="n">
        <v>15</v>
      </c>
      <c r="BQ219" s="51" t="n">
        <f aca="false">AVERAGEA(BR219, BP219)</f>
        <v>37.5</v>
      </c>
      <c r="BR219" s="56" t="n">
        <v>60</v>
      </c>
      <c r="BS219" s="77" t="n">
        <v>0.5</v>
      </c>
      <c r="BT219" s="77" t="n">
        <f aca="false">AVERAGEA(BS219,BU219)</f>
        <v>1.25</v>
      </c>
      <c r="BU219" s="123" t="n">
        <v>2</v>
      </c>
      <c r="BV219" s="56" t="n">
        <v>1</v>
      </c>
      <c r="BW219" s="51" t="n">
        <f aca="false">AVERAGEA(BX219, BV219)</f>
        <v>2.5</v>
      </c>
      <c r="BX219" s="56" t="n">
        <v>4</v>
      </c>
      <c r="BY219" s="77"/>
      <c r="BZ219" s="77" t="e">
        <f aca="false">AVERAGEA(BY219,CA219)</f>
        <v>#DIV/0!</v>
      </c>
      <c r="CA219" s="123"/>
      <c r="CB219" s="56"/>
      <c r="CC219" s="51" t="e">
        <f aca="false">AVERAGEA(CD219, CB219)</f>
        <v>#DIV/0!</v>
      </c>
      <c r="CD219" s="56"/>
      <c r="CE219" s="77"/>
      <c r="CF219" s="77" t="e">
        <f aca="false">AVERAGEA(CE219,CG219)</f>
        <v>#DIV/0!</v>
      </c>
      <c r="CG219" s="123"/>
    </row>
    <row r="220" s="18" customFormat="true" ht="26.4" hidden="false" customHeight="true" outlineLevel="0" collapsed="false">
      <c r="B220" s="140" t="s">
        <v>189</v>
      </c>
      <c r="C220" s="141" t="s">
        <v>190</v>
      </c>
      <c r="D220" s="142"/>
      <c r="E220" s="143"/>
      <c r="F220" s="126" t="s">
        <v>191</v>
      </c>
      <c r="G220" s="143"/>
      <c r="H220" s="144"/>
      <c r="I220" s="145"/>
      <c r="J220" s="144"/>
      <c r="K220" s="146" t="s">
        <v>55</v>
      </c>
      <c r="L220" s="147"/>
      <c r="M220" s="146" t="s">
        <v>55</v>
      </c>
      <c r="N220" s="144" t="s">
        <v>55</v>
      </c>
      <c r="O220" s="145"/>
      <c r="P220" s="144" t="s">
        <v>55</v>
      </c>
      <c r="Q220" s="146" t="s">
        <v>55</v>
      </c>
      <c r="R220" s="147"/>
      <c r="S220" s="146" t="s">
        <v>55</v>
      </c>
      <c r="T220" s="144" t="s">
        <v>55</v>
      </c>
      <c r="U220" s="144"/>
      <c r="V220" s="144" t="s">
        <v>55</v>
      </c>
      <c r="W220" s="146" t="s">
        <v>55</v>
      </c>
      <c r="X220" s="147"/>
      <c r="Y220" s="146" t="s">
        <v>55</v>
      </c>
      <c r="Z220" s="144" t="n">
        <v>90</v>
      </c>
      <c r="AA220" s="30" t="n">
        <f aca="false">AVERAGEA(Z220,AB220)</f>
        <v>93.5</v>
      </c>
      <c r="AB220" s="144" t="n">
        <v>97</v>
      </c>
      <c r="AC220" s="146" t="n">
        <v>97</v>
      </c>
      <c r="AD220" s="27" t="n">
        <f aca="false">AVERAGEA(AC220,AE220)</f>
        <v>98.45</v>
      </c>
      <c r="AE220" s="146" t="n">
        <v>99.9</v>
      </c>
      <c r="AF220" s="148" t="n">
        <v>0</v>
      </c>
      <c r="AG220" s="30" t="n">
        <f aca="false">AVERAGEA(AF220,AH220)</f>
        <v>0</v>
      </c>
      <c r="AH220" s="148" t="n">
        <v>0</v>
      </c>
      <c r="AI220" s="146" t="n">
        <v>100</v>
      </c>
      <c r="AJ220" s="27" t="n">
        <f aca="false">AVERAGEA(AI220,AK220)</f>
        <v>100</v>
      </c>
      <c r="AK220" s="146" t="n">
        <v>100</v>
      </c>
      <c r="AL220" s="148" t="n">
        <v>100</v>
      </c>
      <c r="AM220" s="30" t="n">
        <f aca="false">AVERAGEA(AL220,AN220)</f>
        <v>100</v>
      </c>
      <c r="AN220" s="148" t="n">
        <v>100</v>
      </c>
      <c r="AO220" s="146" t="n">
        <v>0</v>
      </c>
      <c r="AP220" s="27" t="n">
        <f aca="false">AVERAGEA(AO220,AQ220)</f>
        <v>0</v>
      </c>
      <c r="AQ220" s="146" t="n">
        <v>0</v>
      </c>
      <c r="AR220" s="144" t="n">
        <v>0</v>
      </c>
      <c r="AS220" s="30" t="n">
        <f aca="false">AVERAGEA(AR220,AT220)</f>
        <v>0</v>
      </c>
      <c r="AT220" s="144" t="n">
        <v>0</v>
      </c>
      <c r="AU220" s="146" t="n">
        <v>200</v>
      </c>
      <c r="AV220" s="26" t="n">
        <f aca="false">AVERAGEA(AW220, AU220)</f>
        <v>350</v>
      </c>
      <c r="AW220" s="146" t="n">
        <v>500</v>
      </c>
      <c r="AX220" s="148" t="n">
        <v>6</v>
      </c>
      <c r="AY220" s="30" t="n">
        <f aca="false">AVERAGEA(AZ220, AX220)</f>
        <v>15.5</v>
      </c>
      <c r="AZ220" s="148" t="n">
        <v>25</v>
      </c>
      <c r="BA220" s="146" t="n">
        <v>1</v>
      </c>
      <c r="BB220" s="146" t="n">
        <f aca="false">AVERAGEA(BA220,BC220)</f>
        <v>3.5</v>
      </c>
      <c r="BC220" s="146" t="n">
        <v>6</v>
      </c>
      <c r="BD220" s="144" t="n">
        <v>0</v>
      </c>
      <c r="BE220" s="30" t="n">
        <f aca="false">AVERAGEA(BD220,BF220)</f>
        <v>0</v>
      </c>
      <c r="BF220" s="144" t="n">
        <v>0</v>
      </c>
      <c r="BG220" s="146" t="n">
        <v>0</v>
      </c>
      <c r="BH220" s="27" t="n">
        <f aca="false">AVERAGEA(BG220,BI220)</f>
        <v>0</v>
      </c>
      <c r="BI220" s="146" t="n">
        <v>0</v>
      </c>
      <c r="BJ220" s="144" t="n">
        <v>0</v>
      </c>
      <c r="BK220" s="30" t="n">
        <f aca="false">AVERAGEA(BJ220,BL220)</f>
        <v>0</v>
      </c>
      <c r="BL220" s="144" t="n">
        <v>0</v>
      </c>
      <c r="BM220" s="146" t="n">
        <v>0</v>
      </c>
      <c r="BN220" s="27" t="n">
        <f aca="false">AVERAGEA(BM220,BO220)</f>
        <v>0</v>
      </c>
      <c r="BO220" s="146" t="n">
        <v>0</v>
      </c>
      <c r="BP220" s="144" t="n">
        <v>0</v>
      </c>
      <c r="BQ220" s="30" t="n">
        <f aca="false">AVERAGEA(BP220,BR220)</f>
        <v>0</v>
      </c>
      <c r="BR220" s="144" t="n">
        <v>0</v>
      </c>
      <c r="BS220" s="146" t="n">
        <v>0</v>
      </c>
      <c r="BT220" s="27" t="n">
        <f aca="false">AVERAGEA(BS220,BU220)</f>
        <v>0</v>
      </c>
      <c r="BU220" s="146" t="n">
        <v>0</v>
      </c>
      <c r="BV220" s="144" t="n">
        <v>0</v>
      </c>
      <c r="BW220" s="30" t="n">
        <f aca="false">AVERAGEA(BV220,BX220)</f>
        <v>0</v>
      </c>
      <c r="BX220" s="144" t="n">
        <v>0</v>
      </c>
      <c r="BY220" s="146"/>
      <c r="BZ220" s="27" t="e">
        <f aca="false">AVERAGEA(BY220,CA220)</f>
        <v>#DIV/0!</v>
      </c>
      <c r="CA220" s="146"/>
      <c r="CB220" s="144"/>
      <c r="CC220" s="30" t="e">
        <f aca="false">AVERAGEA(CB220,CD220)</f>
        <v>#DIV/0!</v>
      </c>
      <c r="CD220" s="144"/>
      <c r="CE220" s="146"/>
      <c r="CF220" s="27" t="e">
        <f aca="false">AVERAGEA(CE220,CG220)</f>
        <v>#DIV/0!</v>
      </c>
      <c r="CG220" s="146"/>
    </row>
    <row r="221" s="18" customFormat="true" ht="28.35" hidden="false" customHeight="false" outlineLevel="0" collapsed="false">
      <c r="B221" s="140"/>
      <c r="C221" s="141" t="s">
        <v>146</v>
      </c>
      <c r="D221" s="142" t="s">
        <v>185</v>
      </c>
      <c r="E221" s="143"/>
      <c r="F221" s="129" t="s">
        <v>192</v>
      </c>
      <c r="G221" s="143"/>
      <c r="H221" s="52"/>
      <c r="I221" s="51"/>
      <c r="J221" s="52"/>
      <c r="K221" s="77" t="s">
        <v>55</v>
      </c>
      <c r="L221" s="54"/>
      <c r="M221" s="77" t="s">
        <v>55</v>
      </c>
      <c r="N221" s="52" t="s">
        <v>55</v>
      </c>
      <c r="O221" s="51"/>
      <c r="P221" s="52" t="s">
        <v>55</v>
      </c>
      <c r="Q221" s="77" t="s">
        <v>55</v>
      </c>
      <c r="R221" s="54"/>
      <c r="S221" s="77" t="s">
        <v>55</v>
      </c>
      <c r="T221" s="52" t="s">
        <v>55</v>
      </c>
      <c r="U221" s="52"/>
      <c r="V221" s="52" t="s">
        <v>55</v>
      </c>
      <c r="W221" s="77" t="s">
        <v>55</v>
      </c>
      <c r="X221" s="54"/>
      <c r="Y221" s="77" t="s">
        <v>55</v>
      </c>
      <c r="Z221" s="52" t="n">
        <v>88</v>
      </c>
      <c r="AA221" s="38" t="n">
        <f aca="false">AVERAGEA(Z221,AB221)</f>
        <v>92</v>
      </c>
      <c r="AB221" s="52" t="n">
        <v>96</v>
      </c>
      <c r="AC221" s="77" t="n">
        <v>96</v>
      </c>
      <c r="AD221" s="39" t="n">
        <f aca="false">AVERAGEA(AC221,AE221)</f>
        <v>97.75</v>
      </c>
      <c r="AE221" s="77" t="n">
        <v>99.5</v>
      </c>
      <c r="AF221" s="43" t="n">
        <v>0</v>
      </c>
      <c r="AG221" s="38" t="n">
        <f aca="false">AVERAGEA(AF221,AH221)</f>
        <v>0</v>
      </c>
      <c r="AH221" s="43" t="n">
        <v>0</v>
      </c>
      <c r="AI221" s="34" t="n">
        <v>100</v>
      </c>
      <c r="AJ221" s="39" t="n">
        <f aca="false">AVERAGEA(AI221,AK221)</f>
        <v>100</v>
      </c>
      <c r="AK221" s="34" t="n">
        <v>100</v>
      </c>
      <c r="AL221" s="43" t="n">
        <v>100</v>
      </c>
      <c r="AM221" s="38" t="n">
        <f aca="false">AVERAGEA(AL221,AN221)</f>
        <v>100</v>
      </c>
      <c r="AN221" s="43" t="n">
        <v>100</v>
      </c>
      <c r="AO221" s="77" t="n">
        <v>0</v>
      </c>
      <c r="AP221" s="39" t="n">
        <f aca="false">AVERAGEA(AO221,AQ221)</f>
        <v>0</v>
      </c>
      <c r="AQ221" s="77" t="n">
        <v>0</v>
      </c>
      <c r="AR221" s="52" t="n">
        <v>0</v>
      </c>
      <c r="AS221" s="37" t="n">
        <f aca="false">AVERAGEA(AR221,AT221)</f>
        <v>0</v>
      </c>
      <c r="AT221" s="52" t="n">
        <v>0</v>
      </c>
      <c r="AU221" s="77" t="n">
        <v>250</v>
      </c>
      <c r="AV221" s="39" t="n">
        <f aca="false">AVERAGEA(AW221, AU221)</f>
        <v>425</v>
      </c>
      <c r="AW221" s="77" t="n">
        <v>600</v>
      </c>
      <c r="AX221" s="56" t="n">
        <v>8</v>
      </c>
      <c r="AY221" s="38" t="n">
        <f aca="false">AVERAGEA(AZ221, AX221)</f>
        <v>19</v>
      </c>
      <c r="AZ221" s="56" t="n">
        <v>30</v>
      </c>
      <c r="BA221" s="77" t="n">
        <v>1.5</v>
      </c>
      <c r="BB221" s="77" t="n">
        <f aca="false">AVERAGEA(BA221,BC221)</f>
        <v>4.75</v>
      </c>
      <c r="BC221" s="77" t="n">
        <v>8</v>
      </c>
      <c r="BD221" s="52" t="n">
        <v>0</v>
      </c>
      <c r="BE221" s="37" t="n">
        <f aca="false">AVERAGEA(BD221,BF221)</f>
        <v>0</v>
      </c>
      <c r="BF221" s="52" t="n">
        <v>0</v>
      </c>
      <c r="BG221" s="77" t="n">
        <v>0</v>
      </c>
      <c r="BH221" s="39" t="n">
        <f aca="false">AVERAGEA(BG221,BI221)</f>
        <v>0</v>
      </c>
      <c r="BI221" s="77" t="n">
        <v>0</v>
      </c>
      <c r="BJ221" s="52" t="n">
        <v>0</v>
      </c>
      <c r="BK221" s="37" t="n">
        <f aca="false">AVERAGEA(BJ221,BL221)</f>
        <v>0</v>
      </c>
      <c r="BL221" s="52" t="n">
        <v>0</v>
      </c>
      <c r="BM221" s="77" t="n">
        <v>0</v>
      </c>
      <c r="BN221" s="39" t="n">
        <f aca="false">AVERAGEA(BM221,BO221)</f>
        <v>0</v>
      </c>
      <c r="BO221" s="77" t="n">
        <v>0</v>
      </c>
      <c r="BP221" s="52" t="n">
        <v>0</v>
      </c>
      <c r="BQ221" s="37" t="n">
        <f aca="false">AVERAGEA(BP221,BR221)</f>
        <v>0</v>
      </c>
      <c r="BR221" s="52" t="n">
        <v>0</v>
      </c>
      <c r="BS221" s="77" t="n">
        <v>0</v>
      </c>
      <c r="BT221" s="39" t="n">
        <f aca="false">AVERAGEA(BS221,BU221)</f>
        <v>0</v>
      </c>
      <c r="BU221" s="77" t="n">
        <v>0</v>
      </c>
      <c r="BV221" s="52" t="n">
        <v>0</v>
      </c>
      <c r="BW221" s="37" t="n">
        <f aca="false">AVERAGEA(BV221,BX221)</f>
        <v>0</v>
      </c>
      <c r="BX221" s="52" t="n">
        <v>0</v>
      </c>
      <c r="BY221" s="77"/>
      <c r="BZ221" s="39" t="e">
        <f aca="false">AVERAGEA(BY221,CA221)</f>
        <v>#DIV/0!</v>
      </c>
      <c r="CA221" s="77"/>
      <c r="CB221" s="52"/>
      <c r="CC221" s="37" t="e">
        <f aca="false">AVERAGEA(CB221,CD221)</f>
        <v>#DIV/0!</v>
      </c>
      <c r="CD221" s="52"/>
      <c r="CE221" s="77"/>
      <c r="CF221" s="39" t="e">
        <f aca="false">AVERAGEA(CE221,CG221)</f>
        <v>#DIV/0!</v>
      </c>
      <c r="CG221" s="77"/>
    </row>
    <row r="222" s="18" customFormat="true" ht="28.35" hidden="false" customHeight="false" outlineLevel="0" collapsed="false">
      <c r="B222" s="140"/>
      <c r="C222" s="141" t="s">
        <v>149</v>
      </c>
      <c r="D222" s="142" t="s">
        <v>187</v>
      </c>
      <c r="E222" s="143"/>
      <c r="F222" s="134" t="s">
        <v>193</v>
      </c>
      <c r="G222" s="143"/>
      <c r="H222" s="52"/>
      <c r="I222" s="51"/>
      <c r="J222" s="52"/>
      <c r="K222" s="77" t="s">
        <v>55</v>
      </c>
      <c r="L222" s="54"/>
      <c r="M222" s="77" t="s">
        <v>55</v>
      </c>
      <c r="N222" s="52" t="s">
        <v>55</v>
      </c>
      <c r="O222" s="51"/>
      <c r="P222" s="52" t="s">
        <v>55</v>
      </c>
      <c r="Q222" s="77" t="s">
        <v>55</v>
      </c>
      <c r="R222" s="54"/>
      <c r="S222" s="77" t="s">
        <v>55</v>
      </c>
      <c r="T222" s="52" t="s">
        <v>55</v>
      </c>
      <c r="U222" s="52"/>
      <c r="V222" s="52" t="s">
        <v>55</v>
      </c>
      <c r="W222" s="77" t="s">
        <v>55</v>
      </c>
      <c r="X222" s="54"/>
      <c r="Y222" s="77" t="s">
        <v>55</v>
      </c>
      <c r="Z222" s="52" t="n">
        <v>85</v>
      </c>
      <c r="AA222" s="52" t="n">
        <f aca="false">AVERAGEA(AB222, Z222)</f>
        <v>90</v>
      </c>
      <c r="AB222" s="52" t="n">
        <v>95</v>
      </c>
      <c r="AC222" s="77" t="n">
        <v>95</v>
      </c>
      <c r="AD222" s="54" t="n">
        <f aca="false">AVERAGEA(AC222,AE222)</f>
        <v>97</v>
      </c>
      <c r="AE222" s="77" t="n">
        <v>99</v>
      </c>
      <c r="AF222" s="56" t="n">
        <v>0</v>
      </c>
      <c r="AG222" s="52" t="n">
        <f aca="false">AVERAGEA(AH222, AF222)</f>
        <v>0</v>
      </c>
      <c r="AH222" s="56" t="n">
        <v>0</v>
      </c>
      <c r="AI222" s="77" t="n">
        <v>100</v>
      </c>
      <c r="AJ222" s="54" t="n">
        <f aca="false">AVERAGEA(AI222,AK222)</f>
        <v>100</v>
      </c>
      <c r="AK222" s="77" t="n">
        <v>100</v>
      </c>
      <c r="AL222" s="56" t="n">
        <v>100</v>
      </c>
      <c r="AM222" s="52" t="n">
        <f aca="false">AVERAGEA(AN222, AL222)</f>
        <v>100</v>
      </c>
      <c r="AN222" s="56" t="n">
        <v>100</v>
      </c>
      <c r="AO222" s="77" t="n">
        <v>0</v>
      </c>
      <c r="AP222" s="54" t="n">
        <f aca="false">AVERAGEA(AO222,AQ222)</f>
        <v>0</v>
      </c>
      <c r="AQ222" s="77" t="n">
        <v>0</v>
      </c>
      <c r="AR222" s="52" t="n">
        <v>0</v>
      </c>
      <c r="AS222" s="52" t="n">
        <f aca="false">AVERAGEA(AR222,AT222)</f>
        <v>0</v>
      </c>
      <c r="AT222" s="52" t="n">
        <v>0</v>
      </c>
      <c r="AU222" s="77" t="n">
        <v>300</v>
      </c>
      <c r="AV222" s="54" t="n">
        <f aca="false">AVERAGEA(AW222, AU222)</f>
        <v>550</v>
      </c>
      <c r="AW222" s="77" t="n">
        <v>800</v>
      </c>
      <c r="AX222" s="56" t="n">
        <v>10</v>
      </c>
      <c r="AY222" s="51" t="n">
        <f aca="false">AVERAGEA(AZ222, AX222)</f>
        <v>25</v>
      </c>
      <c r="AZ222" s="56" t="n">
        <v>40</v>
      </c>
      <c r="BA222" s="77" t="n">
        <v>2</v>
      </c>
      <c r="BB222" s="77" t="n">
        <f aca="false">AVERAGEA(BA222,BC222)</f>
        <v>6</v>
      </c>
      <c r="BC222" s="77" t="n">
        <v>10</v>
      </c>
      <c r="BD222" s="52" t="n">
        <v>0</v>
      </c>
      <c r="BE222" s="52" t="n">
        <f aca="false">AVERAGEA(BD222,BF222)</f>
        <v>0</v>
      </c>
      <c r="BF222" s="52" t="n">
        <v>0</v>
      </c>
      <c r="BG222" s="77" t="n">
        <v>0</v>
      </c>
      <c r="BH222" s="54" t="n">
        <f aca="false">AVERAGEA(BG222,BI222)</f>
        <v>0</v>
      </c>
      <c r="BI222" s="77" t="n">
        <v>0</v>
      </c>
      <c r="BJ222" s="52" t="n">
        <v>0</v>
      </c>
      <c r="BK222" s="52" t="n">
        <f aca="false">AVERAGEA(BJ222,BL222)</f>
        <v>0</v>
      </c>
      <c r="BL222" s="52" t="n">
        <v>0</v>
      </c>
      <c r="BM222" s="77" t="n">
        <v>0</v>
      </c>
      <c r="BN222" s="54" t="n">
        <f aca="false">AVERAGEA(BM222,BO222)</f>
        <v>0</v>
      </c>
      <c r="BO222" s="77" t="n">
        <v>0</v>
      </c>
      <c r="BP222" s="52" t="n">
        <v>0</v>
      </c>
      <c r="BQ222" s="52" t="n">
        <f aca="false">AVERAGEA(BP222,BR222)</f>
        <v>0</v>
      </c>
      <c r="BR222" s="52" t="n">
        <v>0</v>
      </c>
      <c r="BS222" s="77" t="n">
        <v>0</v>
      </c>
      <c r="BT222" s="54" t="n">
        <f aca="false">AVERAGEA(BS222,BU222)</f>
        <v>0</v>
      </c>
      <c r="BU222" s="77" t="n">
        <v>0</v>
      </c>
      <c r="BV222" s="52" t="n">
        <v>0</v>
      </c>
      <c r="BW222" s="52" t="n">
        <f aca="false">AVERAGEA(BV222,BX222)</f>
        <v>0</v>
      </c>
      <c r="BX222" s="52" t="n">
        <v>0</v>
      </c>
      <c r="BY222" s="77"/>
      <c r="BZ222" s="54" t="e">
        <f aca="false">AVERAGEA(BY222,CA222)</f>
        <v>#DIV/0!</v>
      </c>
      <c r="CA222" s="77"/>
      <c r="CB222" s="52"/>
      <c r="CC222" s="52" t="e">
        <f aca="false">AVERAGEA(CB222,CD222)</f>
        <v>#DIV/0!</v>
      </c>
      <c r="CD222" s="52"/>
      <c r="CE222" s="77"/>
      <c r="CF222" s="54" t="e">
        <f aca="false">AVERAGEA(CE222,CG222)</f>
        <v>#DIV/0!</v>
      </c>
      <c r="CG222" s="77"/>
    </row>
    <row r="223" s="18" customFormat="true" ht="35.25" hidden="false" customHeight="true" outlineLevel="0" collapsed="false">
      <c r="B223" s="140"/>
      <c r="C223" s="129" t="s">
        <v>194</v>
      </c>
      <c r="D223" s="129" t="s">
        <v>195</v>
      </c>
      <c r="E223" s="131"/>
      <c r="F223" s="129" t="s">
        <v>196</v>
      </c>
      <c r="G223" s="149" t="s">
        <v>197</v>
      </c>
      <c r="H223" s="52"/>
      <c r="I223" s="51" t="e">
        <f aca="false">AVERAGEA(H223,J223)</f>
        <v>#DIV/0!</v>
      </c>
      <c r="J223" s="52"/>
      <c r="K223" s="77" t="n">
        <v>20</v>
      </c>
      <c r="L223" s="39" t="n">
        <f aca="false">AVERAGEA(K223,M223)</f>
        <v>30</v>
      </c>
      <c r="M223" s="77" t="n">
        <v>40</v>
      </c>
      <c r="N223" s="52" t="n">
        <v>85</v>
      </c>
      <c r="O223" s="51" t="n">
        <f aca="false">AVERAGEA(N223,P223)</f>
        <v>90</v>
      </c>
      <c r="P223" s="52" t="n">
        <v>95</v>
      </c>
      <c r="Q223" s="77" t="s">
        <v>55</v>
      </c>
      <c r="R223" s="54"/>
      <c r="S223" s="77" t="s">
        <v>55</v>
      </c>
      <c r="T223" s="52" t="s">
        <v>55</v>
      </c>
      <c r="U223" s="52"/>
      <c r="V223" s="52" t="s">
        <v>55</v>
      </c>
      <c r="W223" s="77" t="s">
        <v>55</v>
      </c>
      <c r="X223" s="54"/>
      <c r="Y223" s="77" t="s">
        <v>55</v>
      </c>
      <c r="Z223" s="52" t="n">
        <v>93</v>
      </c>
      <c r="AA223" s="52" t="n">
        <f aca="false">AVERAGEA(AB223, Z223)</f>
        <v>93</v>
      </c>
      <c r="AB223" s="52" t="n">
        <v>93</v>
      </c>
      <c r="AC223" s="77" t="n">
        <v>10</v>
      </c>
      <c r="AD223" s="54" t="n">
        <f aca="false">AVERAGEA(AC223,AE223)</f>
        <v>17.5</v>
      </c>
      <c r="AE223" s="77" t="n">
        <v>25</v>
      </c>
      <c r="AF223" s="56" t="n">
        <v>0</v>
      </c>
      <c r="AG223" s="52" t="n">
        <f aca="false">AVERAGEA(AH223, AF223)</f>
        <v>0</v>
      </c>
      <c r="AH223" s="56" t="n">
        <v>0</v>
      </c>
      <c r="AI223" s="77" t="n">
        <v>50</v>
      </c>
      <c r="AJ223" s="77" t="n">
        <f aca="false">AVERAGEA(AK223, AI223)</f>
        <v>100</v>
      </c>
      <c r="AK223" s="77" t="n">
        <v>150</v>
      </c>
      <c r="AL223" s="56" t="n">
        <v>50</v>
      </c>
      <c r="AM223" s="51" t="n">
        <f aca="false">AVERAGEA(AL223,AN223)</f>
        <v>100</v>
      </c>
      <c r="AN223" s="56" t="n">
        <v>150</v>
      </c>
      <c r="AO223" s="77" t="n">
        <v>0</v>
      </c>
      <c r="AP223" s="77" t="n">
        <f aca="false">AVERAGEA(AQ223, AO223)</f>
        <v>0</v>
      </c>
      <c r="AQ223" s="77" t="n">
        <v>0</v>
      </c>
      <c r="AR223" s="52" t="n">
        <v>0</v>
      </c>
      <c r="AS223" s="52" t="n">
        <f aca="false">AVERAGEA(AT223, AR223)</f>
        <v>0</v>
      </c>
      <c r="AT223" s="52" t="n">
        <v>0</v>
      </c>
      <c r="AU223" s="77"/>
      <c r="AV223" s="54"/>
      <c r="AW223" s="77"/>
      <c r="AX223" s="56"/>
      <c r="AY223" s="51"/>
      <c r="AZ223" s="56"/>
      <c r="BA223" s="77"/>
      <c r="BB223" s="77"/>
      <c r="BC223" s="77"/>
      <c r="BD223" s="52" t="n">
        <v>0</v>
      </c>
      <c r="BE223" s="51" t="n">
        <f aca="false">AVERAGEA(BF223, BD223)</f>
        <v>0</v>
      </c>
      <c r="BF223" s="52" t="n">
        <v>0</v>
      </c>
      <c r="BG223" s="77" t="n">
        <v>0</v>
      </c>
      <c r="BH223" s="77" t="n">
        <f aca="false">AVERAGEA(BG223,BI223)</f>
        <v>0</v>
      </c>
      <c r="BI223" s="77" t="n">
        <v>0</v>
      </c>
      <c r="BJ223" s="52" t="n">
        <v>0</v>
      </c>
      <c r="BK223" s="51" t="n">
        <f aca="false">AVERAGEA(BL223, BJ223)</f>
        <v>0</v>
      </c>
      <c r="BL223" s="52" t="n">
        <v>0</v>
      </c>
      <c r="BM223" s="77" t="n">
        <v>0.1</v>
      </c>
      <c r="BN223" s="77" t="n">
        <f aca="false">AVERAGEA(BM223,BO223)</f>
        <v>1.05</v>
      </c>
      <c r="BO223" s="77" t="n">
        <v>2</v>
      </c>
      <c r="BP223" s="52" t="n">
        <v>0</v>
      </c>
      <c r="BQ223" s="51" t="n">
        <f aca="false">AVERAGEA(BR223, BP223)</f>
        <v>0</v>
      </c>
      <c r="BR223" s="52" t="n">
        <v>0</v>
      </c>
      <c r="BS223" s="77" t="n">
        <v>0</v>
      </c>
      <c r="BT223" s="77" t="n">
        <f aca="false">AVERAGEA(BS223,BU223)</f>
        <v>0</v>
      </c>
      <c r="BU223" s="77" t="n">
        <v>0</v>
      </c>
      <c r="BV223" s="52" t="n">
        <v>0</v>
      </c>
      <c r="BW223" s="51" t="n">
        <f aca="false">AVERAGEA(BX223, BV223)</f>
        <v>0.25</v>
      </c>
      <c r="BX223" s="52" t="n">
        <v>0.5</v>
      </c>
      <c r="BY223" s="77" t="n">
        <v>0.1</v>
      </c>
      <c r="BZ223" s="77" t="n">
        <f aca="false">AVERAGEA(BY223,CA223)</f>
        <v>1.05</v>
      </c>
      <c r="CA223" s="77" t="n">
        <v>2</v>
      </c>
      <c r="CB223" s="52" t="n">
        <v>80</v>
      </c>
      <c r="CC223" s="51" t="n">
        <f aca="false">AVERAGEA(CD223, CB223)</f>
        <v>85</v>
      </c>
      <c r="CD223" s="52" t="n">
        <v>90</v>
      </c>
      <c r="CE223" s="77" t="n">
        <v>0</v>
      </c>
      <c r="CF223" s="77" t="n">
        <f aca="false">AVERAGEA(CE223,CG223)</f>
        <v>0</v>
      </c>
      <c r="CG223" s="77" t="n">
        <v>0</v>
      </c>
    </row>
    <row r="224" s="18" customFormat="true" ht="31.2" hidden="false" customHeight="true" outlineLevel="0" collapsed="false">
      <c r="B224" s="140"/>
      <c r="C224" s="129"/>
      <c r="D224" s="129" t="s">
        <v>198</v>
      </c>
      <c r="E224" s="131"/>
      <c r="F224" s="129" t="s">
        <v>199</v>
      </c>
      <c r="G224" s="149"/>
      <c r="H224" s="52"/>
      <c r="I224" s="51" t="e">
        <f aca="false">AVERAGEA(H224,J224)</f>
        <v>#DIV/0!</v>
      </c>
      <c r="J224" s="52"/>
      <c r="K224" s="77" t="n">
        <v>25</v>
      </c>
      <c r="L224" s="39" t="n">
        <f aca="false">AVERAGEA(K224,M224)</f>
        <v>37.5</v>
      </c>
      <c r="M224" s="77" t="n">
        <v>50</v>
      </c>
      <c r="N224" s="52" t="n">
        <v>85</v>
      </c>
      <c r="O224" s="51" t="n">
        <f aca="false">AVERAGEA(N224,P224)</f>
        <v>90</v>
      </c>
      <c r="P224" s="52" t="n">
        <v>95</v>
      </c>
      <c r="Q224" s="77" t="s">
        <v>55</v>
      </c>
      <c r="R224" s="54"/>
      <c r="S224" s="77" t="s">
        <v>55</v>
      </c>
      <c r="T224" s="52" t="s">
        <v>55</v>
      </c>
      <c r="U224" s="52"/>
      <c r="V224" s="52" t="s">
        <v>55</v>
      </c>
      <c r="W224" s="77" t="s">
        <v>55</v>
      </c>
      <c r="X224" s="54"/>
      <c r="Y224" s="77" t="s">
        <v>55</v>
      </c>
      <c r="Z224" s="52" t="n">
        <v>93</v>
      </c>
      <c r="AA224" s="52" t="n">
        <f aca="false">AVERAGEA(AB224, Z224)</f>
        <v>93</v>
      </c>
      <c r="AB224" s="52" t="n">
        <v>93</v>
      </c>
      <c r="AC224" s="77" t="n">
        <v>15</v>
      </c>
      <c r="AD224" s="54" t="n">
        <f aca="false">AVERAGEA(AC224,AE224)</f>
        <v>22.5</v>
      </c>
      <c r="AE224" s="77" t="n">
        <v>30</v>
      </c>
      <c r="AF224" s="56" t="n">
        <v>0</v>
      </c>
      <c r="AG224" s="52" t="n">
        <f aca="false">AVERAGEA(AH224, AF224)</f>
        <v>0</v>
      </c>
      <c r="AH224" s="56" t="n">
        <v>0</v>
      </c>
      <c r="AI224" s="77" t="n">
        <v>50</v>
      </c>
      <c r="AJ224" s="77" t="n">
        <f aca="false">AVERAGEA(AK224, AI224)</f>
        <v>100</v>
      </c>
      <c r="AK224" s="77" t="n">
        <v>150</v>
      </c>
      <c r="AL224" s="56" t="n">
        <v>50</v>
      </c>
      <c r="AM224" s="51" t="n">
        <f aca="false">AVERAGEA(AL224,AN224)</f>
        <v>100</v>
      </c>
      <c r="AN224" s="56" t="n">
        <v>150</v>
      </c>
      <c r="AO224" s="77" t="n">
        <v>0</v>
      </c>
      <c r="AP224" s="77" t="n">
        <f aca="false">AVERAGEA(AQ224, AO224)</f>
        <v>0</v>
      </c>
      <c r="AQ224" s="77" t="n">
        <v>0</v>
      </c>
      <c r="AR224" s="52" t="n">
        <v>0</v>
      </c>
      <c r="AS224" s="52" t="n">
        <f aca="false">AVERAGEA(AT224, AR224)</f>
        <v>0</v>
      </c>
      <c r="AT224" s="52" t="n">
        <v>0</v>
      </c>
      <c r="AU224" s="77"/>
      <c r="AV224" s="54"/>
      <c r="AW224" s="77"/>
      <c r="AX224" s="56"/>
      <c r="AY224" s="51"/>
      <c r="AZ224" s="56"/>
      <c r="BA224" s="77"/>
      <c r="BB224" s="77"/>
      <c r="BC224" s="77"/>
      <c r="BD224" s="52" t="n">
        <v>0</v>
      </c>
      <c r="BE224" s="51" t="n">
        <f aca="false">AVERAGEA(BF224, BD224)</f>
        <v>0</v>
      </c>
      <c r="BF224" s="52" t="n">
        <v>0</v>
      </c>
      <c r="BG224" s="77" t="n">
        <v>0</v>
      </c>
      <c r="BH224" s="77" t="n">
        <f aca="false">AVERAGEA(BG224,BI224)</f>
        <v>0</v>
      </c>
      <c r="BI224" s="77" t="n">
        <v>0</v>
      </c>
      <c r="BJ224" s="52" t="n">
        <v>0</v>
      </c>
      <c r="BK224" s="51" t="n">
        <f aca="false">AVERAGEA(BL224, BJ224)</f>
        <v>0</v>
      </c>
      <c r="BL224" s="52" t="n">
        <v>0</v>
      </c>
      <c r="BM224" s="77" t="n">
        <v>0.1</v>
      </c>
      <c r="BN224" s="77" t="n">
        <f aca="false">AVERAGEA(BM224,BO224)</f>
        <v>1.05</v>
      </c>
      <c r="BO224" s="77" t="n">
        <v>2</v>
      </c>
      <c r="BP224" s="52" t="n">
        <v>0</v>
      </c>
      <c r="BQ224" s="51" t="n">
        <f aca="false">AVERAGEA(BR224, BP224)</f>
        <v>0</v>
      </c>
      <c r="BR224" s="52" t="n">
        <v>0</v>
      </c>
      <c r="BS224" s="77" t="n">
        <v>0</v>
      </c>
      <c r="BT224" s="77" t="n">
        <f aca="false">AVERAGEA(BS224,BU224)</f>
        <v>0</v>
      </c>
      <c r="BU224" s="77" t="n">
        <v>0</v>
      </c>
      <c r="BV224" s="52" t="n">
        <v>0</v>
      </c>
      <c r="BW224" s="51" t="n">
        <f aca="false">AVERAGEA(BX224, BV224)</f>
        <v>0.25</v>
      </c>
      <c r="BX224" s="52" t="n">
        <v>0.5</v>
      </c>
      <c r="BY224" s="77" t="n">
        <v>0.1</v>
      </c>
      <c r="BZ224" s="77" t="n">
        <f aca="false">AVERAGEA(BY224,CA224)</f>
        <v>1.05</v>
      </c>
      <c r="CA224" s="77" t="n">
        <v>2</v>
      </c>
      <c r="CB224" s="52" t="n">
        <v>80</v>
      </c>
      <c r="CC224" s="51" t="n">
        <f aca="false">AVERAGEA(CD224, CB224)</f>
        <v>85</v>
      </c>
      <c r="CD224" s="52" t="n">
        <v>90</v>
      </c>
      <c r="CE224" s="77" t="n">
        <v>0</v>
      </c>
      <c r="CF224" s="77" t="n">
        <f aca="false">AVERAGEA(CE224,CG224)</f>
        <v>0</v>
      </c>
      <c r="CG224" s="77" t="n">
        <v>0</v>
      </c>
    </row>
    <row r="225" s="18" customFormat="true" ht="28.35" hidden="false" customHeight="false" outlineLevel="0" collapsed="false">
      <c r="B225" s="140"/>
      <c r="C225" s="129"/>
      <c r="D225" s="129" t="s">
        <v>200</v>
      </c>
      <c r="E225" s="131"/>
      <c r="F225" s="129" t="s">
        <v>201</v>
      </c>
      <c r="G225" s="149"/>
      <c r="H225" s="52"/>
      <c r="I225" s="51" t="e">
        <f aca="false">AVERAGEA(H225,J225)</f>
        <v>#DIV/0!</v>
      </c>
      <c r="J225" s="52"/>
      <c r="K225" s="77" t="n">
        <v>30</v>
      </c>
      <c r="L225" s="54" t="n">
        <f aca="false">AVERAGEA(K225,M225)</f>
        <v>45</v>
      </c>
      <c r="M225" s="77" t="n">
        <v>60</v>
      </c>
      <c r="N225" s="52" t="n">
        <v>85</v>
      </c>
      <c r="O225" s="51" t="n">
        <f aca="false">AVERAGEA(N225,P225)</f>
        <v>90</v>
      </c>
      <c r="P225" s="52" t="n">
        <v>95</v>
      </c>
      <c r="Q225" s="77" t="s">
        <v>55</v>
      </c>
      <c r="R225" s="54"/>
      <c r="S225" s="77" t="s">
        <v>55</v>
      </c>
      <c r="T225" s="52" t="s">
        <v>55</v>
      </c>
      <c r="U225" s="52"/>
      <c r="V225" s="52" t="s">
        <v>55</v>
      </c>
      <c r="W225" s="77" t="s">
        <v>55</v>
      </c>
      <c r="X225" s="54"/>
      <c r="Y225" s="77" t="s">
        <v>55</v>
      </c>
      <c r="Z225" s="52" t="n">
        <v>93</v>
      </c>
      <c r="AA225" s="52" t="n">
        <f aca="false">AVERAGEA(AB225, Z225)</f>
        <v>93</v>
      </c>
      <c r="AB225" s="52" t="n">
        <v>93</v>
      </c>
      <c r="AC225" s="77" t="n">
        <v>20</v>
      </c>
      <c r="AD225" s="54" t="n">
        <f aca="false">AVERAGEA(AC225,AE225)</f>
        <v>30</v>
      </c>
      <c r="AE225" s="77" t="n">
        <v>40</v>
      </c>
      <c r="AF225" s="56" t="n">
        <v>0</v>
      </c>
      <c r="AG225" s="52" t="n">
        <f aca="false">AVERAGEA(AH225, AF225)</f>
        <v>0</v>
      </c>
      <c r="AH225" s="56" t="n">
        <v>0</v>
      </c>
      <c r="AI225" s="77" t="n">
        <v>50</v>
      </c>
      <c r="AJ225" s="77" t="n">
        <f aca="false">AVERAGEA(AK225, AI225)</f>
        <v>100</v>
      </c>
      <c r="AK225" s="77" t="n">
        <v>150</v>
      </c>
      <c r="AL225" s="56" t="n">
        <v>50</v>
      </c>
      <c r="AM225" s="51" t="n">
        <f aca="false">AVERAGEA(AL225,AN225)</f>
        <v>100</v>
      </c>
      <c r="AN225" s="56" t="n">
        <v>150</v>
      </c>
      <c r="AO225" s="77" t="n">
        <v>0</v>
      </c>
      <c r="AP225" s="77" t="n">
        <f aca="false">AVERAGEA(AQ225, AO225)</f>
        <v>0</v>
      </c>
      <c r="AQ225" s="77" t="n">
        <v>0</v>
      </c>
      <c r="AR225" s="52" t="n">
        <v>0</v>
      </c>
      <c r="AS225" s="52" t="n">
        <f aca="false">AVERAGEA(AT225, AR225)</f>
        <v>0</v>
      </c>
      <c r="AT225" s="52" t="n">
        <v>0</v>
      </c>
      <c r="AU225" s="77"/>
      <c r="AV225" s="54"/>
      <c r="AW225" s="77"/>
      <c r="AX225" s="56"/>
      <c r="AY225" s="51"/>
      <c r="AZ225" s="56"/>
      <c r="BA225" s="77"/>
      <c r="BB225" s="77"/>
      <c r="BC225" s="77"/>
      <c r="BD225" s="52" t="n">
        <v>0</v>
      </c>
      <c r="BE225" s="51" t="n">
        <f aca="false">AVERAGEA(BF225, BD225)</f>
        <v>0</v>
      </c>
      <c r="BF225" s="52" t="n">
        <v>0</v>
      </c>
      <c r="BG225" s="77" t="n">
        <v>0</v>
      </c>
      <c r="BH225" s="77" t="n">
        <f aca="false">AVERAGEA(BG225,BI225)</f>
        <v>0</v>
      </c>
      <c r="BI225" s="77" t="n">
        <v>0</v>
      </c>
      <c r="BJ225" s="52" t="n">
        <v>0</v>
      </c>
      <c r="BK225" s="51" t="n">
        <f aca="false">AVERAGEA(BL225, BJ225)</f>
        <v>0</v>
      </c>
      <c r="BL225" s="52" t="n">
        <v>0</v>
      </c>
      <c r="BM225" s="77" t="n">
        <v>0.1</v>
      </c>
      <c r="BN225" s="77" t="n">
        <f aca="false">AVERAGEA(BM225,BO225)</f>
        <v>1.05</v>
      </c>
      <c r="BO225" s="77" t="n">
        <v>2</v>
      </c>
      <c r="BP225" s="52" t="n">
        <v>0</v>
      </c>
      <c r="BQ225" s="51" t="n">
        <f aca="false">AVERAGEA(BR225, BP225)</f>
        <v>0</v>
      </c>
      <c r="BR225" s="52" t="n">
        <v>0</v>
      </c>
      <c r="BS225" s="77" t="n">
        <v>0</v>
      </c>
      <c r="BT225" s="77" t="n">
        <f aca="false">AVERAGEA(BS225,BU225)</f>
        <v>0</v>
      </c>
      <c r="BU225" s="77" t="n">
        <v>0</v>
      </c>
      <c r="BV225" s="52" t="n">
        <v>0</v>
      </c>
      <c r="BW225" s="51" t="n">
        <f aca="false">AVERAGEA(BX225, BV225)</f>
        <v>0.25</v>
      </c>
      <c r="BX225" s="52" t="n">
        <v>0.5</v>
      </c>
      <c r="BY225" s="77" t="n">
        <v>0.1</v>
      </c>
      <c r="BZ225" s="77" t="n">
        <f aca="false">AVERAGEA(BY225,CA225)</f>
        <v>1.05</v>
      </c>
      <c r="CA225" s="77" t="n">
        <v>2</v>
      </c>
      <c r="CB225" s="52" t="n">
        <v>80</v>
      </c>
      <c r="CC225" s="51" t="n">
        <f aca="false">AVERAGEA(CD225, CB225)</f>
        <v>85</v>
      </c>
      <c r="CD225" s="52" t="n">
        <v>90</v>
      </c>
      <c r="CE225" s="77" t="n">
        <v>0</v>
      </c>
      <c r="CF225" s="77" t="n">
        <f aca="false">AVERAGEA(CE225,CG225)</f>
        <v>0</v>
      </c>
      <c r="CG225" s="77" t="n">
        <v>0</v>
      </c>
    </row>
    <row r="226" s="18" customFormat="true" ht="27.35" hidden="false" customHeight="true" outlineLevel="0" collapsed="false">
      <c r="B226" s="150" t="s">
        <v>202</v>
      </c>
      <c r="C226" s="151" t="s">
        <v>203</v>
      </c>
      <c r="D226" s="152"/>
      <c r="E226" s="153"/>
      <c r="F226" s="154" t="s">
        <v>204</v>
      </c>
      <c r="G226" s="155"/>
      <c r="H226" s="144"/>
      <c r="I226" s="30" t="e">
        <f aca="false">AVERAGEA(H226,J226)</f>
        <v>#DIV/0!</v>
      </c>
      <c r="J226" s="144"/>
      <c r="K226" s="146"/>
      <c r="L226" s="147"/>
      <c r="M226" s="146"/>
      <c r="N226" s="144" t="n">
        <v>40</v>
      </c>
      <c r="O226" s="30" t="n">
        <f aca="false">AVERAGEA(N226,P226)</f>
        <v>50</v>
      </c>
      <c r="P226" s="144" t="n">
        <v>60</v>
      </c>
      <c r="Q226" s="146" t="s">
        <v>55</v>
      </c>
      <c r="R226" s="147"/>
      <c r="S226" s="146" t="s">
        <v>55</v>
      </c>
      <c r="T226" s="144" t="s">
        <v>55</v>
      </c>
      <c r="U226" s="144"/>
      <c r="V226" s="144" t="s">
        <v>55</v>
      </c>
      <c r="W226" s="146" t="s">
        <v>55</v>
      </c>
      <c r="X226" s="147"/>
      <c r="Y226" s="146" t="s">
        <v>55</v>
      </c>
      <c r="Z226" s="144" t="s">
        <v>55</v>
      </c>
      <c r="AA226" s="144"/>
      <c r="AB226" s="144" t="s">
        <v>55</v>
      </c>
      <c r="AC226" s="146" t="s">
        <v>55</v>
      </c>
      <c r="AD226" s="27"/>
      <c r="AE226" s="146" t="s">
        <v>55</v>
      </c>
      <c r="AF226" s="148" t="n">
        <v>30</v>
      </c>
      <c r="AG226" s="30" t="n">
        <f aca="false">AVERAGEA(AF226,AH226)</f>
        <v>35</v>
      </c>
      <c r="AH226" s="148" t="n">
        <v>40</v>
      </c>
      <c r="AI226" s="146" t="n">
        <v>1</v>
      </c>
      <c r="AJ226" s="27" t="n">
        <f aca="false">AVERAGEA(AI226,AK226)</f>
        <v>3</v>
      </c>
      <c r="AK226" s="146" t="n">
        <v>5</v>
      </c>
      <c r="AL226" s="148" t="n">
        <v>1</v>
      </c>
      <c r="AM226" s="30" t="n">
        <f aca="false">AVERAGEA(AL226,AN226)</f>
        <v>3</v>
      </c>
      <c r="AN226" s="148" t="n">
        <v>5</v>
      </c>
      <c r="AO226" s="146" t="n">
        <v>8</v>
      </c>
      <c r="AP226" s="27" t="n">
        <f aca="false">AVERAGEA(AO226,AQ226)</f>
        <v>24</v>
      </c>
      <c r="AQ226" s="146" t="n">
        <v>40</v>
      </c>
      <c r="AR226" s="144" t="n">
        <v>4</v>
      </c>
      <c r="AS226" s="30" t="n">
        <f aca="false">AVERAGEA(AR226,AT226)</f>
        <v>12</v>
      </c>
      <c r="AT226" s="144" t="n">
        <v>20</v>
      </c>
      <c r="AU226" s="146" t="s">
        <v>55</v>
      </c>
      <c r="AV226" s="156" t="n">
        <f aca="false">AVERAGEA(AW226, AU226)</f>
        <v>0</v>
      </c>
      <c r="AW226" s="146" t="s">
        <v>55</v>
      </c>
      <c r="AX226" s="148" t="s">
        <v>55</v>
      </c>
      <c r="AY226" s="30" t="n">
        <f aca="false">AVERAGEA(AZ226, AX226)</f>
        <v>0</v>
      </c>
      <c r="AZ226" s="148" t="s">
        <v>55</v>
      </c>
      <c r="BA226" s="146" t="s">
        <v>55</v>
      </c>
      <c r="BB226" s="146" t="n">
        <f aca="false">AVERAGEA(BA226,BC226)</f>
        <v>0</v>
      </c>
      <c r="BC226" s="146" t="s">
        <v>55</v>
      </c>
      <c r="BD226" s="144" t="s">
        <v>55</v>
      </c>
      <c r="BE226" s="30" t="n">
        <f aca="false">AVERAGEA(BD226,BF226)</f>
        <v>0</v>
      </c>
      <c r="BF226" s="144" t="s">
        <v>55</v>
      </c>
      <c r="BG226" s="146" t="n">
        <v>500</v>
      </c>
      <c r="BH226" s="27" t="n">
        <f aca="false">AVERAGEA(BG226,BI226)</f>
        <v>500</v>
      </c>
      <c r="BI226" s="146" t="n">
        <v>500</v>
      </c>
      <c r="BJ226" s="144" t="n">
        <v>1000</v>
      </c>
      <c r="BK226" s="30" t="n">
        <f aca="false">AVERAGEA(BJ226,BL226)</f>
        <v>1000</v>
      </c>
      <c r="BL226" s="144" t="n">
        <v>1000</v>
      </c>
      <c r="BM226" s="146" t="n">
        <v>5</v>
      </c>
      <c r="BN226" s="27" t="n">
        <f aca="false">AVERAGEA(BM226,BO226)</f>
        <v>17.5</v>
      </c>
      <c r="BO226" s="146" t="n">
        <v>30</v>
      </c>
      <c r="BP226" s="144" t="n">
        <v>120</v>
      </c>
      <c r="BQ226" s="30" t="n">
        <f aca="false">AVERAGEA(BP226,BR226)</f>
        <v>120</v>
      </c>
      <c r="BR226" s="144" t="n">
        <v>120</v>
      </c>
      <c r="BS226" s="146" t="n">
        <v>4</v>
      </c>
      <c r="BT226" s="27" t="n">
        <f aca="false">AVERAGE(BS226,BU226)</f>
        <v>4</v>
      </c>
      <c r="BU226" s="146" t="n">
        <v>4</v>
      </c>
      <c r="BV226" s="144" t="n">
        <v>8</v>
      </c>
      <c r="BW226" s="30" t="n">
        <f aca="false">AVERAGEA(BV226,BX226)</f>
        <v>8</v>
      </c>
      <c r="BX226" s="144" t="n">
        <v>8</v>
      </c>
      <c r="BY226" s="146" t="n">
        <v>5</v>
      </c>
      <c r="BZ226" s="27" t="n">
        <f aca="false">AVERAGEA(BY226,CA226)</f>
        <v>15</v>
      </c>
      <c r="CA226" s="146" t="n">
        <v>25</v>
      </c>
      <c r="CB226" s="144" t="n">
        <v>30</v>
      </c>
      <c r="CC226" s="30" t="n">
        <f aca="false">AVERAGEA(CB226,CD226)</f>
        <v>35</v>
      </c>
      <c r="CD226" s="144" t="n">
        <v>40</v>
      </c>
      <c r="CE226" s="146" t="n">
        <v>0</v>
      </c>
      <c r="CF226" s="27" t="n">
        <f aca="false">AVERAGEA(CE226,CG226)</f>
        <v>0</v>
      </c>
      <c r="CG226" s="146" t="n">
        <v>0</v>
      </c>
    </row>
    <row r="227" s="18" customFormat="true" ht="28.35" hidden="false" customHeight="false" outlineLevel="0" collapsed="false">
      <c r="B227" s="150"/>
      <c r="C227" s="157" t="s">
        <v>205</v>
      </c>
      <c r="D227" s="158"/>
      <c r="E227" s="153"/>
      <c r="F227" s="157" t="s">
        <v>206</v>
      </c>
      <c r="G227" s="155"/>
      <c r="H227" s="36"/>
      <c r="I227" s="38" t="e">
        <f aca="false">AVERAGEA(H227,J227)</f>
        <v>#DIV/0!</v>
      </c>
      <c r="J227" s="36"/>
      <c r="K227" s="34"/>
      <c r="L227" s="35"/>
      <c r="M227" s="34"/>
      <c r="N227" s="36" t="n">
        <v>30</v>
      </c>
      <c r="O227" s="38" t="n">
        <f aca="false">AVERAGEA(N227,P227)</f>
        <v>35</v>
      </c>
      <c r="P227" s="36" t="n">
        <v>40</v>
      </c>
      <c r="Q227" s="34" t="s">
        <v>55</v>
      </c>
      <c r="R227" s="35"/>
      <c r="S227" s="34" t="s">
        <v>55</v>
      </c>
      <c r="T227" s="36" t="s">
        <v>55</v>
      </c>
      <c r="U227" s="36"/>
      <c r="V227" s="36" t="s">
        <v>55</v>
      </c>
      <c r="W227" s="34" t="s">
        <v>55</v>
      </c>
      <c r="X227" s="35"/>
      <c r="Y227" s="34" t="s">
        <v>55</v>
      </c>
      <c r="Z227" s="36" t="s">
        <v>55</v>
      </c>
      <c r="AA227" s="36"/>
      <c r="AB227" s="36" t="s">
        <v>55</v>
      </c>
      <c r="AC227" s="34" t="s">
        <v>55</v>
      </c>
      <c r="AD227" s="35"/>
      <c r="AE227" s="34" t="s">
        <v>55</v>
      </c>
      <c r="AF227" s="43" t="n">
        <v>10</v>
      </c>
      <c r="AG227" s="38" t="n">
        <f aca="false">AVERAGEA(AF227,AH227)</f>
        <v>20</v>
      </c>
      <c r="AH227" s="43" t="n">
        <v>30</v>
      </c>
      <c r="AI227" s="34" t="n">
        <v>20</v>
      </c>
      <c r="AJ227" s="39" t="n">
        <f aca="false">AVERAGEA(AI227,AK227)</f>
        <v>50</v>
      </c>
      <c r="AK227" s="34" t="n">
        <v>80</v>
      </c>
      <c r="AL227" s="43" t="n">
        <v>20</v>
      </c>
      <c r="AM227" s="37" t="n">
        <f aca="false">AVERAGEA(AL227,AN227)</f>
        <v>50</v>
      </c>
      <c r="AN227" s="43" t="n">
        <v>80</v>
      </c>
      <c r="AO227" s="34" t="n">
        <v>0.5</v>
      </c>
      <c r="AP227" s="39" t="n">
        <f aca="false">AVERAGEA(AO227,AQ227)</f>
        <v>20.25</v>
      </c>
      <c r="AQ227" s="34" t="n">
        <v>40</v>
      </c>
      <c r="AR227" s="36" t="n">
        <v>0.2</v>
      </c>
      <c r="AS227" s="37" t="n">
        <f aca="false">AVERAGEA(AR227,AT227)</f>
        <v>1.1</v>
      </c>
      <c r="AT227" s="36" t="n">
        <v>2</v>
      </c>
      <c r="AU227" s="34" t="s">
        <v>55</v>
      </c>
      <c r="AV227" s="39" t="n">
        <f aca="false">AVERAGEA(AU227,AW227)</f>
        <v>0</v>
      </c>
      <c r="AW227" s="34" t="s">
        <v>55</v>
      </c>
      <c r="AX227" s="43" t="s">
        <v>55</v>
      </c>
      <c r="AY227" s="37" t="n">
        <f aca="false">AVERAGEA(AX227,AZ227)</f>
        <v>0</v>
      </c>
      <c r="AZ227" s="43" t="s">
        <v>55</v>
      </c>
      <c r="BA227" s="34" t="s">
        <v>55</v>
      </c>
      <c r="BB227" s="39" t="n">
        <f aca="false">AVERAGEA(BA227,BC227)</f>
        <v>0</v>
      </c>
      <c r="BC227" s="34" t="s">
        <v>55</v>
      </c>
      <c r="BD227" s="43" t="n">
        <v>20</v>
      </c>
      <c r="BE227" s="37" t="n">
        <f aca="false">AVERAGEA(BD227,BF227)</f>
        <v>20</v>
      </c>
      <c r="BF227" s="43" t="n">
        <v>20</v>
      </c>
      <c r="BG227" s="34" t="n">
        <v>40</v>
      </c>
      <c r="BH227" s="39" t="n">
        <f aca="false">AVERAGEA(BG227,BI227)</f>
        <v>40</v>
      </c>
      <c r="BI227" s="34" t="n">
        <v>40</v>
      </c>
      <c r="BJ227" s="43" t="n">
        <v>80</v>
      </c>
      <c r="BK227" s="37" t="n">
        <f aca="false">AVERAGEA(BJ227,BL227)</f>
        <v>80</v>
      </c>
      <c r="BL227" s="43" t="n">
        <v>80</v>
      </c>
      <c r="BM227" s="34" t="n">
        <v>1</v>
      </c>
      <c r="BN227" s="39" t="n">
        <f aca="false">AVERAGEA(BM227,BO227)</f>
        <v>3.5</v>
      </c>
      <c r="BO227" s="34" t="n">
        <v>6</v>
      </c>
      <c r="BP227" s="43" t="n">
        <v>0.083333333</v>
      </c>
      <c r="BQ227" s="37" t="n">
        <f aca="false">AVERAGEA(BP227,BR227)</f>
        <v>0.083333333</v>
      </c>
      <c r="BR227" s="43" t="n">
        <v>0.083333333</v>
      </c>
      <c r="BS227" s="34" t="n">
        <v>0.166666667</v>
      </c>
      <c r="BT227" s="39" t="n">
        <f aca="false">AVERAGEA(BS227,BU227)</f>
        <v>0.166666667</v>
      </c>
      <c r="BU227" s="34" t="n">
        <v>0.166666667</v>
      </c>
      <c r="BV227" s="43" t="n">
        <v>0.333333333</v>
      </c>
      <c r="BW227" s="37" t="n">
        <f aca="false">AVERAGEA(BV227,BX227)</f>
        <v>0.333333333</v>
      </c>
      <c r="BX227" s="43" t="n">
        <v>0.333333333</v>
      </c>
      <c r="BY227" s="34" t="n">
        <v>2</v>
      </c>
      <c r="BZ227" s="39" t="n">
        <f aca="false">AVERAGEA(BY227,CA227)</f>
        <v>6</v>
      </c>
      <c r="CA227" s="34" t="n">
        <v>10</v>
      </c>
      <c r="CB227" s="43" t="n">
        <v>25</v>
      </c>
      <c r="CC227" s="37" t="n">
        <f aca="false">AVERAGEA(CB227,CD227)</f>
        <v>29</v>
      </c>
      <c r="CD227" s="43" t="n">
        <v>33</v>
      </c>
      <c r="CE227" s="34" t="n">
        <v>0</v>
      </c>
      <c r="CF227" s="39" t="n">
        <f aca="false">AVERAGEA(CE227,CG227)</f>
        <v>0</v>
      </c>
      <c r="CG227" s="34" t="n">
        <v>0</v>
      </c>
    </row>
    <row r="228" s="18" customFormat="true" ht="28.35" hidden="false" customHeight="false" outlineLevel="0" collapsed="false">
      <c r="B228" s="150"/>
      <c r="C228" s="157" t="s">
        <v>207</v>
      </c>
      <c r="D228" s="157" t="s">
        <v>71</v>
      </c>
      <c r="E228" s="153"/>
      <c r="F228" s="157" t="s">
        <v>206</v>
      </c>
      <c r="G228" s="155"/>
      <c r="H228" s="36"/>
      <c r="I228" s="37"/>
      <c r="J228" s="36"/>
      <c r="K228" s="34"/>
      <c r="L228" s="54" t="e">
        <f aca="false">AVERAGEA(K228,M228)</f>
        <v>#DIV/0!</v>
      </c>
      <c r="M228" s="34"/>
      <c r="N228" s="36" t="s">
        <v>55</v>
      </c>
      <c r="O228" s="37"/>
      <c r="P228" s="36" t="s">
        <v>55</v>
      </c>
      <c r="Q228" s="34" t="n">
        <v>50</v>
      </c>
      <c r="R228" s="54" t="n">
        <f aca="false">AVERAGEA(Q228,S228)</f>
        <v>55</v>
      </c>
      <c r="S228" s="34" t="n">
        <v>60</v>
      </c>
      <c r="T228" s="36" t="n">
        <v>30</v>
      </c>
      <c r="U228" s="38" t="n">
        <f aca="false">AVERAGEA(T228,V228)</f>
        <v>35</v>
      </c>
      <c r="V228" s="36" t="n">
        <v>40</v>
      </c>
      <c r="W228" s="34" t="n">
        <v>80</v>
      </c>
      <c r="X228" s="54" t="n">
        <f aca="false">AVERAGEA(W228,Y228)</f>
        <v>90</v>
      </c>
      <c r="Y228" s="34" t="n">
        <v>100</v>
      </c>
      <c r="Z228" s="36" t="s">
        <v>55</v>
      </c>
      <c r="AA228" s="36"/>
      <c r="AB228" s="36" t="s">
        <v>55</v>
      </c>
      <c r="AC228" s="34" t="s">
        <v>55</v>
      </c>
      <c r="AD228" s="35"/>
      <c r="AE228" s="34" t="s">
        <v>55</v>
      </c>
      <c r="AF228" s="43" t="n">
        <v>10</v>
      </c>
      <c r="AG228" s="38" t="n">
        <f aca="false">AVERAGEA(AF228,AH228)</f>
        <v>20</v>
      </c>
      <c r="AH228" s="43" t="n">
        <v>30</v>
      </c>
      <c r="AI228" s="34" t="n">
        <v>20</v>
      </c>
      <c r="AJ228" s="39" t="n">
        <f aca="false">AVERAGEA(AI228,AK228)</f>
        <v>50</v>
      </c>
      <c r="AK228" s="34" t="n">
        <v>80</v>
      </c>
      <c r="AL228" s="43" t="n">
        <v>20</v>
      </c>
      <c r="AM228" s="37" t="n">
        <f aca="false">AVERAGEA(AL228,AN228)</f>
        <v>50</v>
      </c>
      <c r="AN228" s="43" t="n">
        <v>80</v>
      </c>
      <c r="AO228" s="34" t="n">
        <v>0.5</v>
      </c>
      <c r="AP228" s="39" t="n">
        <f aca="false">AVERAGEA(AO228,AQ228)</f>
        <v>20.25</v>
      </c>
      <c r="AQ228" s="34" t="n">
        <v>40</v>
      </c>
      <c r="AR228" s="36" t="n">
        <v>0.2</v>
      </c>
      <c r="AS228" s="37" t="n">
        <f aca="false">AVERAGEA(AR228,AT228)</f>
        <v>1.1</v>
      </c>
      <c r="AT228" s="36" t="n">
        <v>2</v>
      </c>
      <c r="AU228" s="34" t="s">
        <v>55</v>
      </c>
      <c r="AV228" s="39" t="n">
        <f aca="false">AVERAGEA(AU228,AW228)</f>
        <v>0</v>
      </c>
      <c r="AW228" s="34" t="s">
        <v>55</v>
      </c>
      <c r="AX228" s="43" t="s">
        <v>55</v>
      </c>
      <c r="AY228" s="37" t="n">
        <f aca="false">AVERAGEA(AX228,AZ228)</f>
        <v>0</v>
      </c>
      <c r="AZ228" s="43" t="s">
        <v>55</v>
      </c>
      <c r="BA228" s="34" t="s">
        <v>55</v>
      </c>
      <c r="BB228" s="39" t="n">
        <f aca="false">AVERAGEA(BA228,BC228)</f>
        <v>0</v>
      </c>
      <c r="BC228" s="34" t="s">
        <v>55</v>
      </c>
      <c r="BD228" s="43" t="n">
        <v>20</v>
      </c>
      <c r="BE228" s="37" t="n">
        <f aca="false">AVERAGEA(BD228,BF228)</f>
        <v>20</v>
      </c>
      <c r="BF228" s="43" t="n">
        <v>20</v>
      </c>
      <c r="BG228" s="34" t="n">
        <v>40</v>
      </c>
      <c r="BH228" s="39" t="n">
        <f aca="false">AVERAGEA(BG228,BI228)</f>
        <v>40</v>
      </c>
      <c r="BI228" s="34" t="n">
        <v>40</v>
      </c>
      <c r="BJ228" s="43" t="n">
        <v>80</v>
      </c>
      <c r="BK228" s="37" t="n">
        <f aca="false">AVERAGEA(BJ228,BL228)</f>
        <v>80</v>
      </c>
      <c r="BL228" s="43" t="n">
        <v>80</v>
      </c>
      <c r="BM228" s="34" t="n">
        <v>1</v>
      </c>
      <c r="BN228" s="39" t="n">
        <f aca="false">AVERAGEA(BM228,BO228)</f>
        <v>3.5</v>
      </c>
      <c r="BO228" s="34" t="n">
        <v>6</v>
      </c>
      <c r="BP228" s="43" t="n">
        <v>0.083333333</v>
      </c>
      <c r="BQ228" s="37" t="n">
        <f aca="false">AVERAGEA(BP228,BR228)</f>
        <v>0.083333333</v>
      </c>
      <c r="BR228" s="43" t="n">
        <v>0.083333333</v>
      </c>
      <c r="BS228" s="34" t="n">
        <v>0.166666667</v>
      </c>
      <c r="BT228" s="39" t="n">
        <f aca="false">AVERAGEA(BS228,BU228)</f>
        <v>0.166666667</v>
      </c>
      <c r="BU228" s="34" t="n">
        <v>0.166666667</v>
      </c>
      <c r="BV228" s="43" t="n">
        <v>0.333333333</v>
      </c>
      <c r="BW228" s="37" t="n">
        <f aca="false">AVERAGEA(BV228,BX228)</f>
        <v>0.333333333</v>
      </c>
      <c r="BX228" s="43" t="n">
        <v>0.333333333</v>
      </c>
      <c r="BY228" s="34" t="n">
        <v>2</v>
      </c>
      <c r="BZ228" s="39" t="n">
        <f aca="false">AVERAGEA(BY228,CA228)</f>
        <v>6</v>
      </c>
      <c r="CA228" s="34" t="n">
        <v>10</v>
      </c>
      <c r="CB228" s="43" t="n">
        <v>25</v>
      </c>
      <c r="CC228" s="37" t="n">
        <f aca="false">AVERAGEA(CB228,CD228)</f>
        <v>29</v>
      </c>
      <c r="CD228" s="43" t="n">
        <v>33</v>
      </c>
      <c r="CE228" s="34" t="n">
        <v>0</v>
      </c>
      <c r="CF228" s="39" t="n">
        <f aca="false">AVERAGEA(CE228,CG228)</f>
        <v>0</v>
      </c>
      <c r="CG228" s="34" t="n">
        <v>0</v>
      </c>
    </row>
    <row r="229" s="18" customFormat="true" ht="27.35" hidden="false" customHeight="true" outlineLevel="0" collapsed="false">
      <c r="B229" s="140" t="s">
        <v>208</v>
      </c>
      <c r="C229" s="126" t="s">
        <v>209</v>
      </c>
      <c r="D229" s="159"/>
      <c r="E229" s="127"/>
      <c r="F229" s="126" t="s">
        <v>210</v>
      </c>
      <c r="G229" s="127"/>
      <c r="H229" s="28"/>
      <c r="I229" s="30" t="e">
        <f aca="false">AVERAGEA(H229,J229)</f>
        <v>#DIV/0!</v>
      </c>
      <c r="J229" s="28"/>
      <c r="K229" s="156"/>
      <c r="L229" s="27"/>
      <c r="M229" s="156"/>
      <c r="N229" s="28" t="n">
        <v>45</v>
      </c>
      <c r="O229" s="30" t="n">
        <f aca="false">AVERAGEA(N229,P229)</f>
        <v>55</v>
      </c>
      <c r="P229" s="28" t="n">
        <v>65</v>
      </c>
      <c r="Q229" s="156" t="s">
        <v>55</v>
      </c>
      <c r="R229" s="27"/>
      <c r="S229" s="156" t="s">
        <v>55</v>
      </c>
      <c r="T229" s="28" t="s">
        <v>55</v>
      </c>
      <c r="U229" s="28"/>
      <c r="V229" s="28" t="s">
        <v>55</v>
      </c>
      <c r="W229" s="156" t="s">
        <v>55</v>
      </c>
      <c r="X229" s="27"/>
      <c r="Y229" s="156" t="s">
        <v>55</v>
      </c>
      <c r="Z229" s="28" t="s">
        <v>55</v>
      </c>
      <c r="AA229" s="28"/>
      <c r="AB229" s="28" t="s">
        <v>55</v>
      </c>
      <c r="AC229" s="156" t="s">
        <v>55</v>
      </c>
      <c r="AD229" s="27"/>
      <c r="AE229" s="156" t="s">
        <v>55</v>
      </c>
      <c r="AF229" s="83" t="n">
        <v>40</v>
      </c>
      <c r="AG229" s="30" t="n">
        <f aca="false">AVERAGEA(AF229,AH229)</f>
        <v>50</v>
      </c>
      <c r="AH229" s="83" t="n">
        <v>60</v>
      </c>
      <c r="AI229" s="156" t="n">
        <v>0.5</v>
      </c>
      <c r="AJ229" s="27" t="n">
        <f aca="false">AVERAGEA(AI229,AK229)</f>
        <v>2.25</v>
      </c>
      <c r="AK229" s="156" t="n">
        <v>4</v>
      </c>
      <c r="AL229" s="83" t="n">
        <v>0.5</v>
      </c>
      <c r="AM229" s="30" t="n">
        <f aca="false">AVERAGEA(AL229,AN229)</f>
        <v>2.25</v>
      </c>
      <c r="AN229" s="83" t="n">
        <v>4</v>
      </c>
      <c r="AO229" s="156" t="n">
        <v>12</v>
      </c>
      <c r="AP229" s="27" t="n">
        <f aca="false">AVERAGEA(AO229,AQ229)</f>
        <v>48</v>
      </c>
      <c r="AQ229" s="156" t="n">
        <v>84</v>
      </c>
      <c r="AR229" s="28" t="n">
        <v>6</v>
      </c>
      <c r="AS229" s="30" t="n">
        <f aca="false">AVERAGEA(AR229,AT229)</f>
        <v>39</v>
      </c>
      <c r="AT229" s="28" t="n">
        <v>72</v>
      </c>
      <c r="AU229" s="156" t="s">
        <v>55</v>
      </c>
      <c r="AV229" s="156"/>
      <c r="AW229" s="156" t="s">
        <v>55</v>
      </c>
      <c r="AX229" s="83" t="s">
        <v>55</v>
      </c>
      <c r="AY229" s="30"/>
      <c r="AZ229" s="83" t="s">
        <v>55</v>
      </c>
      <c r="BA229" s="156" t="s">
        <v>55</v>
      </c>
      <c r="BB229" s="156"/>
      <c r="BC229" s="156" t="s">
        <v>55</v>
      </c>
      <c r="BD229" s="28" t="n">
        <v>800</v>
      </c>
      <c r="BE229" s="30" t="n">
        <f aca="false">AVERAGEA(BD229,BF229)</f>
        <v>800</v>
      </c>
      <c r="BF229" s="28" t="n">
        <v>800</v>
      </c>
      <c r="BG229" s="156" t="n">
        <v>1600</v>
      </c>
      <c r="BH229" s="27" t="n">
        <f aca="false">AVERAGEA(BG229,BI229)</f>
        <v>1600</v>
      </c>
      <c r="BI229" s="156" t="n">
        <v>1600</v>
      </c>
      <c r="BJ229" s="28" t="n">
        <v>3200</v>
      </c>
      <c r="BK229" s="30" t="n">
        <f aca="false">AVERAGEA(BJ229,BL229)</f>
        <v>3200</v>
      </c>
      <c r="BL229" s="28" t="n">
        <v>3200</v>
      </c>
      <c r="BM229" s="156" t="n">
        <v>8</v>
      </c>
      <c r="BN229" s="27" t="n">
        <f aca="false">AVERAGEA(BM229,BO229)</f>
        <v>24</v>
      </c>
      <c r="BO229" s="156" t="n">
        <v>40</v>
      </c>
      <c r="BP229" s="28" t="n">
        <v>180</v>
      </c>
      <c r="BQ229" s="30" t="n">
        <f aca="false">AVERAGEA(BP229,BR229)</f>
        <v>180</v>
      </c>
      <c r="BR229" s="28" t="n">
        <v>180</v>
      </c>
      <c r="BS229" s="156" t="n">
        <v>6</v>
      </c>
      <c r="BT229" s="27" t="n">
        <f aca="false">AVERAGEA(BS229,BU229)</f>
        <v>6</v>
      </c>
      <c r="BU229" s="156" t="n">
        <v>6</v>
      </c>
      <c r="BV229" s="28" t="n">
        <v>12</v>
      </c>
      <c r="BW229" s="30" t="n">
        <f aca="false">AVERAGEA(BV229,BX229)</f>
        <v>12</v>
      </c>
      <c r="BX229" s="28" t="n">
        <v>12</v>
      </c>
      <c r="BY229" s="156" t="n">
        <v>7.5</v>
      </c>
      <c r="BZ229" s="27" t="n">
        <f aca="false">AVERAGEA(BY229,CA229)</f>
        <v>18.75</v>
      </c>
      <c r="CA229" s="156" t="n">
        <v>30</v>
      </c>
      <c r="CB229" s="28" t="n">
        <v>35</v>
      </c>
      <c r="CC229" s="30" t="n">
        <f aca="false">AVERAGEA(CB229,CD229)</f>
        <v>40</v>
      </c>
      <c r="CD229" s="28" t="n">
        <v>45</v>
      </c>
      <c r="CE229" s="156" t="n">
        <v>0</v>
      </c>
      <c r="CF229" s="27" t="n">
        <f aca="false">AVERAGEA(CE229,CG229)</f>
        <v>0</v>
      </c>
      <c r="CG229" s="156" t="n">
        <v>0</v>
      </c>
    </row>
    <row r="230" s="18" customFormat="true" ht="28.35" hidden="false" customHeight="false" outlineLevel="0" collapsed="false">
      <c r="B230" s="140"/>
      <c r="C230" s="129" t="s">
        <v>211</v>
      </c>
      <c r="D230" s="149"/>
      <c r="E230" s="131"/>
      <c r="F230" s="129" t="s">
        <v>212</v>
      </c>
      <c r="G230" s="131"/>
      <c r="H230" s="36"/>
      <c r="I230" s="38" t="e">
        <f aca="false">AVERAGEA(H230,J230)</f>
        <v>#DIV/0!</v>
      </c>
      <c r="J230" s="36"/>
      <c r="K230" s="34"/>
      <c r="L230" s="35"/>
      <c r="M230" s="34"/>
      <c r="N230" s="36" t="n">
        <v>65</v>
      </c>
      <c r="O230" s="38" t="n">
        <f aca="false">AVERAGEA(N230,P230)</f>
        <v>75</v>
      </c>
      <c r="P230" s="36" t="n">
        <v>85</v>
      </c>
      <c r="Q230" s="34" t="s">
        <v>55</v>
      </c>
      <c r="R230" s="35"/>
      <c r="S230" s="34" t="s">
        <v>55</v>
      </c>
      <c r="T230" s="36" t="s">
        <v>55</v>
      </c>
      <c r="U230" s="36"/>
      <c r="V230" s="36" t="s">
        <v>55</v>
      </c>
      <c r="W230" s="34" t="s">
        <v>55</v>
      </c>
      <c r="X230" s="35"/>
      <c r="Y230" s="34" t="s">
        <v>55</v>
      </c>
      <c r="Z230" s="36" t="s">
        <v>55</v>
      </c>
      <c r="AA230" s="36"/>
      <c r="AB230" s="36" t="s">
        <v>55</v>
      </c>
      <c r="AC230" s="34" t="s">
        <v>55</v>
      </c>
      <c r="AD230" s="35"/>
      <c r="AE230" s="34" t="s">
        <v>55</v>
      </c>
      <c r="AF230" s="43" t="n">
        <v>50</v>
      </c>
      <c r="AG230" s="38" t="n">
        <f aca="false">AVERAGEA(AF230,AH230)</f>
        <v>60</v>
      </c>
      <c r="AH230" s="43" t="n">
        <v>70</v>
      </c>
      <c r="AI230" s="34" t="n">
        <v>0.2</v>
      </c>
      <c r="AJ230" s="39" t="n">
        <f aca="false">AVERAGEA(AI230,AK230)</f>
        <v>0.6</v>
      </c>
      <c r="AK230" s="34" t="n">
        <v>1</v>
      </c>
      <c r="AL230" s="43" t="n">
        <v>0.2</v>
      </c>
      <c r="AM230" s="37" t="n">
        <f aca="false">AVERAGEA(AL230,AN230)</f>
        <v>0.6</v>
      </c>
      <c r="AN230" s="43" t="n">
        <v>1</v>
      </c>
      <c r="AO230" s="34" t="n">
        <v>24</v>
      </c>
      <c r="AP230" s="39" t="n">
        <f aca="false">AVERAGEA(AO230,AQ230)</f>
        <v>36</v>
      </c>
      <c r="AQ230" s="34" t="n">
        <v>48</v>
      </c>
      <c r="AR230" s="36" t="n">
        <v>12</v>
      </c>
      <c r="AS230" s="37" t="n">
        <f aca="false">AVERAGEA(AR230,AT230)</f>
        <v>18</v>
      </c>
      <c r="AT230" s="36" t="n">
        <v>24</v>
      </c>
      <c r="AU230" s="34" t="s">
        <v>55</v>
      </c>
      <c r="AV230" s="34"/>
      <c r="AW230" s="34" t="s">
        <v>55</v>
      </c>
      <c r="AX230" s="43" t="s">
        <v>55</v>
      </c>
      <c r="AY230" s="37"/>
      <c r="AZ230" s="43" t="s">
        <v>55</v>
      </c>
      <c r="BA230" s="34" t="s">
        <v>55</v>
      </c>
      <c r="BB230" s="34"/>
      <c r="BC230" s="34" t="s">
        <v>55</v>
      </c>
      <c r="BD230" s="36" t="n">
        <v>2000</v>
      </c>
      <c r="BE230" s="37" t="n">
        <f aca="false">AVERAGEA(BD230,BF230)</f>
        <v>2000</v>
      </c>
      <c r="BF230" s="36" t="n">
        <v>2000</v>
      </c>
      <c r="BG230" s="34" t="n">
        <v>4000</v>
      </c>
      <c r="BH230" s="39" t="n">
        <f aca="false">AVERAGEA(BG230,BI230)</f>
        <v>4000</v>
      </c>
      <c r="BI230" s="34" t="n">
        <v>4000</v>
      </c>
      <c r="BJ230" s="36" t="n">
        <v>8000</v>
      </c>
      <c r="BK230" s="37" t="n">
        <f aca="false">AVERAGEA(BJ230,BL230)</f>
        <v>8000</v>
      </c>
      <c r="BL230" s="36" t="n">
        <v>8000</v>
      </c>
      <c r="BM230" s="34" t="n">
        <v>10</v>
      </c>
      <c r="BN230" s="39" t="n">
        <f aca="false">AVERAGEA(BM230,BO230)</f>
        <v>30</v>
      </c>
      <c r="BO230" s="34" t="n">
        <v>50</v>
      </c>
      <c r="BP230" s="36" t="n">
        <v>360</v>
      </c>
      <c r="BQ230" s="37" t="n">
        <f aca="false">AVERAGEA(BP230,BR230)</f>
        <v>360</v>
      </c>
      <c r="BR230" s="36" t="n">
        <v>360</v>
      </c>
      <c r="BS230" s="34" t="n">
        <v>12</v>
      </c>
      <c r="BT230" s="39" t="n">
        <f aca="false">AVERAGEA(BS230,BU230)</f>
        <v>12</v>
      </c>
      <c r="BU230" s="34" t="n">
        <v>12</v>
      </c>
      <c r="BV230" s="36" t="n">
        <v>24</v>
      </c>
      <c r="BW230" s="37" t="n">
        <f aca="false">AVERAGEA(BV230,BX230)</f>
        <v>24</v>
      </c>
      <c r="BX230" s="36" t="n">
        <v>24</v>
      </c>
      <c r="BY230" s="34" t="n">
        <v>15</v>
      </c>
      <c r="BZ230" s="39" t="n">
        <f aca="false">AVERAGEA(BY230,CA230)</f>
        <v>37.5</v>
      </c>
      <c r="CA230" s="34" t="n">
        <v>60</v>
      </c>
      <c r="CB230" s="36" t="n">
        <v>55</v>
      </c>
      <c r="CC230" s="37" t="n">
        <f aca="false">AVERAGEA(CB230,CD230)</f>
        <v>60</v>
      </c>
      <c r="CD230" s="36" t="n">
        <v>65</v>
      </c>
      <c r="CE230" s="34" t="n">
        <v>0</v>
      </c>
      <c r="CF230" s="39" t="n">
        <f aca="false">AVERAGEA(CE230,CG230)</f>
        <v>0</v>
      </c>
      <c r="CG230" s="34" t="n">
        <v>0</v>
      </c>
    </row>
    <row r="231" s="18" customFormat="true" ht="28.35" hidden="false" customHeight="false" outlineLevel="0" collapsed="false">
      <c r="B231" s="140"/>
      <c r="C231" s="129" t="s">
        <v>213</v>
      </c>
      <c r="D231" s="129" t="s">
        <v>73</v>
      </c>
      <c r="E231" s="131"/>
      <c r="F231" s="129" t="s">
        <v>212</v>
      </c>
      <c r="G231" s="131"/>
      <c r="H231" s="36"/>
      <c r="I231" s="37"/>
      <c r="J231" s="36"/>
      <c r="K231" s="34"/>
      <c r="L231" s="54" t="e">
        <f aca="false">AVERAGEA(K231,M231)</f>
        <v>#DIV/0!</v>
      </c>
      <c r="M231" s="34"/>
      <c r="N231" s="36" t="s">
        <v>55</v>
      </c>
      <c r="O231" s="37"/>
      <c r="P231" s="36" t="s">
        <v>55</v>
      </c>
      <c r="Q231" s="34" t="n">
        <v>15</v>
      </c>
      <c r="R231" s="54" t="n">
        <f aca="false">AVERAGEA(Q231,S231)</f>
        <v>25</v>
      </c>
      <c r="S231" s="34" t="n">
        <v>35</v>
      </c>
      <c r="T231" s="36" t="n">
        <v>5</v>
      </c>
      <c r="U231" s="38" t="n">
        <f aca="false">AVERAGEA(T231,V231)</f>
        <v>10</v>
      </c>
      <c r="V231" s="36" t="n">
        <v>15</v>
      </c>
      <c r="W231" s="34" t="n">
        <v>80</v>
      </c>
      <c r="X231" s="54" t="n">
        <f aca="false">AVERAGEA(W231,Y231)</f>
        <v>100</v>
      </c>
      <c r="Y231" s="34" t="n">
        <v>120</v>
      </c>
      <c r="Z231" s="36" t="s">
        <v>55</v>
      </c>
      <c r="AA231" s="36"/>
      <c r="AB231" s="36" t="s">
        <v>55</v>
      </c>
      <c r="AC231" s="34" t="s">
        <v>55</v>
      </c>
      <c r="AD231" s="35"/>
      <c r="AE231" s="34" t="s">
        <v>55</v>
      </c>
      <c r="AF231" s="43" t="n">
        <v>50</v>
      </c>
      <c r="AG231" s="38" t="n">
        <f aca="false">AVERAGEA(AF231,AH231)</f>
        <v>60</v>
      </c>
      <c r="AH231" s="43" t="n">
        <v>70</v>
      </c>
      <c r="AI231" s="34" t="n">
        <v>0.2</v>
      </c>
      <c r="AJ231" s="39" t="n">
        <f aca="false">AVERAGEA(AI231,AK231)</f>
        <v>0.6</v>
      </c>
      <c r="AK231" s="34" t="n">
        <v>1</v>
      </c>
      <c r="AL231" s="43" t="n">
        <v>0.2</v>
      </c>
      <c r="AM231" s="37" t="n">
        <f aca="false">AVERAGEA(AL231,AN231)</f>
        <v>0.6</v>
      </c>
      <c r="AN231" s="43" t="n">
        <v>1</v>
      </c>
      <c r="AO231" s="34" t="n">
        <v>24</v>
      </c>
      <c r="AP231" s="39" t="n">
        <f aca="false">AVERAGEA(AO231,AQ231)</f>
        <v>36</v>
      </c>
      <c r="AQ231" s="34" t="n">
        <v>48</v>
      </c>
      <c r="AR231" s="36" t="n">
        <v>12</v>
      </c>
      <c r="AS231" s="37" t="n">
        <f aca="false">AVERAGEA(AR231,AT231)</f>
        <v>18</v>
      </c>
      <c r="AT231" s="36" t="n">
        <v>24</v>
      </c>
      <c r="AU231" s="34" t="s">
        <v>55</v>
      </c>
      <c r="AV231" s="34"/>
      <c r="AW231" s="34" t="s">
        <v>55</v>
      </c>
      <c r="AX231" s="43" t="s">
        <v>55</v>
      </c>
      <c r="AY231" s="37"/>
      <c r="AZ231" s="43" t="s">
        <v>55</v>
      </c>
      <c r="BA231" s="34" t="s">
        <v>55</v>
      </c>
      <c r="BB231" s="34"/>
      <c r="BC231" s="34" t="s">
        <v>55</v>
      </c>
      <c r="BD231" s="36" t="n">
        <v>2000</v>
      </c>
      <c r="BE231" s="37" t="n">
        <f aca="false">AVERAGEA(BD231,BF231)</f>
        <v>2000</v>
      </c>
      <c r="BF231" s="36" t="n">
        <v>2000</v>
      </c>
      <c r="BG231" s="34" t="n">
        <v>4000</v>
      </c>
      <c r="BH231" s="39" t="n">
        <f aca="false">AVERAGEA(BG231,BI231)</f>
        <v>4000</v>
      </c>
      <c r="BI231" s="34" t="n">
        <v>4000</v>
      </c>
      <c r="BJ231" s="36" t="n">
        <v>8000</v>
      </c>
      <c r="BK231" s="37" t="n">
        <f aca="false">AVERAGEA(BJ231,BL231)</f>
        <v>8000</v>
      </c>
      <c r="BL231" s="36" t="n">
        <v>8000</v>
      </c>
      <c r="BM231" s="34" t="n">
        <v>10</v>
      </c>
      <c r="BN231" s="39" t="n">
        <f aca="false">AVERAGEA(BM231,BO231)</f>
        <v>30</v>
      </c>
      <c r="BO231" s="34" t="n">
        <v>50</v>
      </c>
      <c r="BP231" s="36" t="n">
        <v>360</v>
      </c>
      <c r="BQ231" s="37" t="n">
        <f aca="false">AVERAGEA(BP231,BR231)</f>
        <v>360</v>
      </c>
      <c r="BR231" s="36" t="n">
        <v>360</v>
      </c>
      <c r="BS231" s="34" t="n">
        <v>12</v>
      </c>
      <c r="BT231" s="39" t="n">
        <f aca="false">AVERAGEA(BS231,BU231)</f>
        <v>12</v>
      </c>
      <c r="BU231" s="34" t="n">
        <v>12</v>
      </c>
      <c r="BV231" s="36" t="n">
        <v>24</v>
      </c>
      <c r="BW231" s="37" t="n">
        <f aca="false">AVERAGEA(BV231,BX231)</f>
        <v>24</v>
      </c>
      <c r="BX231" s="36" t="n">
        <v>24</v>
      </c>
      <c r="BY231" s="34" t="n">
        <v>15</v>
      </c>
      <c r="BZ231" s="39" t="n">
        <f aca="false">AVERAGEA(BY231,CA231)</f>
        <v>37.5</v>
      </c>
      <c r="CA231" s="34" t="n">
        <v>60</v>
      </c>
      <c r="CB231" s="36" t="n">
        <v>55</v>
      </c>
      <c r="CC231" s="37" t="n">
        <f aca="false">AVERAGEA(CB231,CD231)</f>
        <v>60</v>
      </c>
      <c r="CD231" s="36" t="n">
        <v>65</v>
      </c>
      <c r="CE231" s="34" t="n">
        <v>0</v>
      </c>
      <c r="CF231" s="39" t="n">
        <f aca="false">AVERAGEA(CE231,CG231)</f>
        <v>0</v>
      </c>
      <c r="CG231" s="34" t="n">
        <v>0</v>
      </c>
    </row>
    <row r="232" s="18" customFormat="true" ht="28.35" hidden="false" customHeight="true" outlineLevel="0" collapsed="false">
      <c r="B232" s="150" t="s">
        <v>214</v>
      </c>
      <c r="C232" s="154" t="s">
        <v>215</v>
      </c>
      <c r="D232" s="160"/>
      <c r="E232" s="153"/>
      <c r="F232" s="154" t="s">
        <v>216</v>
      </c>
      <c r="G232" s="155"/>
      <c r="H232" s="144"/>
      <c r="I232" s="30" t="e">
        <f aca="false">AVERAGEA(H232,J232)</f>
        <v>#DIV/0!</v>
      </c>
      <c r="J232" s="144"/>
      <c r="K232" s="146"/>
      <c r="L232" s="147"/>
      <c r="M232" s="146"/>
      <c r="N232" s="144" t="n">
        <v>50</v>
      </c>
      <c r="O232" s="30" t="n">
        <f aca="false">AVERAGEA(N232,P232)</f>
        <v>60</v>
      </c>
      <c r="P232" s="144" t="n">
        <v>70</v>
      </c>
      <c r="Q232" s="146" t="s">
        <v>55</v>
      </c>
      <c r="R232" s="147"/>
      <c r="S232" s="146" t="s">
        <v>55</v>
      </c>
      <c r="T232" s="144" t="s">
        <v>55</v>
      </c>
      <c r="U232" s="144"/>
      <c r="V232" s="144" t="s">
        <v>55</v>
      </c>
      <c r="W232" s="146" t="s">
        <v>55</v>
      </c>
      <c r="X232" s="147"/>
      <c r="Y232" s="146" t="s">
        <v>55</v>
      </c>
      <c r="Z232" s="144" t="s">
        <v>55</v>
      </c>
      <c r="AA232" s="144"/>
      <c r="AB232" s="144" t="s">
        <v>55</v>
      </c>
      <c r="AC232" s="146" t="s">
        <v>55</v>
      </c>
      <c r="AD232" s="27"/>
      <c r="AE232" s="146" t="s">
        <v>55</v>
      </c>
      <c r="AF232" s="148" t="n">
        <v>35</v>
      </c>
      <c r="AG232" s="30" t="n">
        <f aca="false">AVERAGEA(AF232,AH232)</f>
        <v>45</v>
      </c>
      <c r="AH232" s="148" t="n">
        <v>55</v>
      </c>
      <c r="AI232" s="146" t="n">
        <v>2</v>
      </c>
      <c r="AJ232" s="27" t="n">
        <f aca="false">AVERAGEA(AI232,AK232)</f>
        <v>5</v>
      </c>
      <c r="AK232" s="146" t="n">
        <v>8</v>
      </c>
      <c r="AL232" s="148" t="n">
        <v>2</v>
      </c>
      <c r="AM232" s="30" t="n">
        <f aca="false">AVERAGEA(AL232,AN232)</f>
        <v>5</v>
      </c>
      <c r="AN232" s="148" t="n">
        <v>8</v>
      </c>
      <c r="AO232" s="146" t="n">
        <v>6</v>
      </c>
      <c r="AP232" s="27" t="n">
        <f aca="false">AVERAGEA(AO232,AQ232)</f>
        <v>24</v>
      </c>
      <c r="AQ232" s="146" t="n">
        <v>42</v>
      </c>
      <c r="AR232" s="144" t="n">
        <v>3</v>
      </c>
      <c r="AS232" s="30" t="n">
        <f aca="false">AVERAGEA(AR232,AT232)</f>
        <v>19.5</v>
      </c>
      <c r="AT232" s="144" t="n">
        <v>36</v>
      </c>
      <c r="AU232" s="146" t="s">
        <v>55</v>
      </c>
      <c r="AV232" s="156"/>
      <c r="AW232" s="146" t="s">
        <v>55</v>
      </c>
      <c r="AX232" s="148" t="s">
        <v>55</v>
      </c>
      <c r="AY232" s="30"/>
      <c r="AZ232" s="148" t="s">
        <v>55</v>
      </c>
      <c r="BA232" s="146" t="s">
        <v>55</v>
      </c>
      <c r="BB232" s="146"/>
      <c r="BC232" s="146" t="s">
        <v>55</v>
      </c>
      <c r="BD232" s="144" t="n">
        <v>400</v>
      </c>
      <c r="BE232" s="30" t="n">
        <f aca="false">AVERAGEA(BD232,BF232)</f>
        <v>400</v>
      </c>
      <c r="BF232" s="144" t="n">
        <v>400</v>
      </c>
      <c r="BG232" s="146" t="n">
        <v>800</v>
      </c>
      <c r="BH232" s="27" t="n">
        <f aca="false">AVERAGEA(BG232,BI232)</f>
        <v>800</v>
      </c>
      <c r="BI232" s="146" t="n">
        <v>800</v>
      </c>
      <c r="BJ232" s="144" t="n">
        <v>1600</v>
      </c>
      <c r="BK232" s="30" t="n">
        <f aca="false">AVERAGEA(BJ232,BL232)</f>
        <v>1600</v>
      </c>
      <c r="BL232" s="144" t="n">
        <v>1600</v>
      </c>
      <c r="BM232" s="146" t="n">
        <v>4</v>
      </c>
      <c r="BN232" s="27" t="n">
        <f aca="false">AVERAGEA(BM232,BO232)</f>
        <v>14.5</v>
      </c>
      <c r="BO232" s="146" t="n">
        <v>25</v>
      </c>
      <c r="BP232" s="144" t="n">
        <v>90</v>
      </c>
      <c r="BQ232" s="30" t="n">
        <f aca="false">AVERAGEA(BP232,BR232)</f>
        <v>90</v>
      </c>
      <c r="BR232" s="144" t="n">
        <v>90</v>
      </c>
      <c r="BS232" s="146" t="n">
        <v>3</v>
      </c>
      <c r="BT232" s="27" t="n">
        <f aca="false">AVERAGEA(BS232,BU232)</f>
        <v>3</v>
      </c>
      <c r="BU232" s="146" t="n">
        <v>3</v>
      </c>
      <c r="BV232" s="144" t="n">
        <v>6</v>
      </c>
      <c r="BW232" s="30" t="n">
        <f aca="false">AVERAGEA(BV232,BX232)</f>
        <v>6</v>
      </c>
      <c r="BX232" s="144" t="n">
        <v>6</v>
      </c>
      <c r="BY232" s="146" t="n">
        <v>4</v>
      </c>
      <c r="BZ232" s="27" t="n">
        <f aca="false">AVERAGEA(BY232,CA232)</f>
        <v>12</v>
      </c>
      <c r="CA232" s="146" t="n">
        <v>20</v>
      </c>
      <c r="CB232" s="144" t="n">
        <v>40</v>
      </c>
      <c r="CC232" s="30" t="n">
        <f aca="false">AVERAGEA(CB232,CD232)</f>
        <v>45</v>
      </c>
      <c r="CD232" s="144" t="n">
        <v>50</v>
      </c>
      <c r="CE232" s="146" t="n">
        <v>0</v>
      </c>
      <c r="CF232" s="27" t="n">
        <f aca="false">AVERAGEA(CE232,CG232)</f>
        <v>0</v>
      </c>
      <c r="CG232" s="146" t="n">
        <v>0</v>
      </c>
    </row>
    <row r="233" s="18" customFormat="true" ht="28.35" hidden="false" customHeight="false" outlineLevel="0" collapsed="false">
      <c r="B233" s="150"/>
      <c r="C233" s="157" t="s">
        <v>217</v>
      </c>
      <c r="D233" s="158"/>
      <c r="E233" s="153"/>
      <c r="F233" s="157" t="s">
        <v>218</v>
      </c>
      <c r="G233" s="155"/>
      <c r="H233" s="36"/>
      <c r="I233" s="37" t="e">
        <f aca="false">AVERAGEA(H233,J233)</f>
        <v>#DIV/0!</v>
      </c>
      <c r="J233" s="36"/>
      <c r="K233" s="34"/>
      <c r="L233" s="35"/>
      <c r="M233" s="34"/>
      <c r="N233" s="36" t="n">
        <v>60</v>
      </c>
      <c r="O233" s="37" t="n">
        <f aca="false">AVERAGEA(N233,P233)</f>
        <v>70</v>
      </c>
      <c r="P233" s="36" t="n">
        <v>80</v>
      </c>
      <c r="Q233" s="34" t="s">
        <v>55</v>
      </c>
      <c r="R233" s="35"/>
      <c r="S233" s="34" t="s">
        <v>55</v>
      </c>
      <c r="T233" s="36" t="s">
        <v>55</v>
      </c>
      <c r="U233" s="36"/>
      <c r="V233" s="36" t="s">
        <v>55</v>
      </c>
      <c r="W233" s="34" t="s">
        <v>55</v>
      </c>
      <c r="X233" s="35"/>
      <c r="Y233" s="34" t="s">
        <v>55</v>
      </c>
      <c r="Z233" s="36" t="s">
        <v>55</v>
      </c>
      <c r="AA233" s="36"/>
      <c r="AB233" s="36" t="s">
        <v>55</v>
      </c>
      <c r="AC233" s="34" t="s">
        <v>55</v>
      </c>
      <c r="AD233" s="35"/>
      <c r="AE233" s="34" t="s">
        <v>55</v>
      </c>
      <c r="AF233" s="43" t="n">
        <v>10</v>
      </c>
      <c r="AG233" s="37" t="n">
        <f aca="false">AVERAGEA(AF233,AH233)</f>
        <v>20</v>
      </c>
      <c r="AH233" s="43" t="n">
        <v>30</v>
      </c>
      <c r="AI233" s="34" t="n">
        <v>20</v>
      </c>
      <c r="AJ233" s="39" t="n">
        <f aca="false">AVERAGEA(AI233,AK233)</f>
        <v>60</v>
      </c>
      <c r="AK233" s="34" t="n">
        <v>100</v>
      </c>
      <c r="AL233" s="43" t="n">
        <v>20</v>
      </c>
      <c r="AM233" s="38" t="n">
        <f aca="false">AVERAGEA(AL233,AN233)</f>
        <v>60</v>
      </c>
      <c r="AN233" s="43" t="n">
        <v>100</v>
      </c>
      <c r="AO233" s="34" t="n">
        <v>0.5</v>
      </c>
      <c r="AP233" s="39" t="n">
        <f aca="false">AVERAGEA(AO233,AQ233)</f>
        <v>2.25</v>
      </c>
      <c r="AQ233" s="34" t="n">
        <v>4</v>
      </c>
      <c r="AR233" s="36" t="n">
        <v>0</v>
      </c>
      <c r="AS233" s="38" t="n">
        <f aca="false">AVERAGEA(AR233,AT233)</f>
        <v>1</v>
      </c>
      <c r="AT233" s="36" t="n">
        <v>2</v>
      </c>
      <c r="AU233" s="34" t="s">
        <v>55</v>
      </c>
      <c r="AV233" s="34"/>
      <c r="AW233" s="34" t="s">
        <v>55</v>
      </c>
      <c r="AX233" s="43" t="s">
        <v>55</v>
      </c>
      <c r="AY233" s="37"/>
      <c r="AZ233" s="43" t="s">
        <v>55</v>
      </c>
      <c r="BA233" s="34" t="s">
        <v>55</v>
      </c>
      <c r="BB233" s="34"/>
      <c r="BC233" s="34" t="s">
        <v>55</v>
      </c>
      <c r="BD233" s="36" t="n">
        <v>10</v>
      </c>
      <c r="BE233" s="38" t="n">
        <f aca="false">AVERAGEA(BD233,BF233)</f>
        <v>10</v>
      </c>
      <c r="BF233" s="36" t="n">
        <v>10</v>
      </c>
      <c r="BG233" s="34" t="n">
        <v>20</v>
      </c>
      <c r="BH233" s="39" t="n">
        <f aca="false">AVERAGEA(BG233,BI233)</f>
        <v>20</v>
      </c>
      <c r="BI233" s="34" t="n">
        <v>20</v>
      </c>
      <c r="BJ233" s="36" t="n">
        <v>40</v>
      </c>
      <c r="BK233" s="38" t="n">
        <f aca="false">AVERAGEA(BJ233,BL233)</f>
        <v>40</v>
      </c>
      <c r="BL233" s="36" t="n">
        <v>40</v>
      </c>
      <c r="BM233" s="34" t="n">
        <v>1</v>
      </c>
      <c r="BN233" s="39" t="n">
        <f aca="false">AVERAGEA(BM233,BO233)</f>
        <v>3.5</v>
      </c>
      <c r="BO233" s="34" t="n">
        <v>6</v>
      </c>
      <c r="BP233" s="36" t="n">
        <v>1</v>
      </c>
      <c r="BQ233" s="38" t="n">
        <f aca="false">AVERAGEA(BP233,BR233)</f>
        <v>1</v>
      </c>
      <c r="BR233" s="36" t="n">
        <v>1</v>
      </c>
      <c r="BS233" s="34" t="n">
        <v>0.083333333</v>
      </c>
      <c r="BT233" s="39" t="n">
        <f aca="false">AVERAGEA(BS233,BU233)</f>
        <v>0.083333333</v>
      </c>
      <c r="BU233" s="34" t="n">
        <v>0.083333333</v>
      </c>
      <c r="BV233" s="36" t="n">
        <v>0.25</v>
      </c>
      <c r="BW233" s="38" t="n">
        <f aca="false">AVERAGEA(BV233,BX233)</f>
        <v>0.25</v>
      </c>
      <c r="BX233" s="36" t="n">
        <v>0.25</v>
      </c>
      <c r="BY233" s="34" t="n">
        <v>2</v>
      </c>
      <c r="BZ233" s="39" t="n">
        <f aca="false">AVERAGEA(BY233,CA233)</f>
        <v>6</v>
      </c>
      <c r="CA233" s="34" t="n">
        <v>10</v>
      </c>
      <c r="CB233" s="36" t="n">
        <v>50</v>
      </c>
      <c r="CC233" s="38" t="n">
        <f aca="false">AVERAGEA(CB233,CD233)</f>
        <v>55</v>
      </c>
      <c r="CD233" s="36" t="n">
        <v>60</v>
      </c>
      <c r="CE233" s="34" t="n">
        <v>0</v>
      </c>
      <c r="CF233" s="39" t="n">
        <f aca="false">AVERAGEA(CE233,CG233)</f>
        <v>0</v>
      </c>
      <c r="CG233" s="34" t="n">
        <v>0</v>
      </c>
    </row>
    <row r="234" s="18" customFormat="true" ht="28.35" hidden="false" customHeight="false" outlineLevel="0" collapsed="false">
      <c r="B234" s="150"/>
      <c r="C234" s="157" t="s">
        <v>219</v>
      </c>
      <c r="D234" s="158"/>
      <c r="E234" s="153"/>
      <c r="F234" s="157" t="s">
        <v>216</v>
      </c>
      <c r="G234" s="155"/>
      <c r="H234" s="36"/>
      <c r="I234" s="37" t="e">
        <f aca="false">AVERAGEA(H234,J234)</f>
        <v>#DIV/0!</v>
      </c>
      <c r="J234" s="36"/>
      <c r="K234" s="34"/>
      <c r="L234" s="35"/>
      <c r="M234" s="34"/>
      <c r="N234" s="36" t="n">
        <v>60</v>
      </c>
      <c r="O234" s="37" t="n">
        <f aca="false">AVERAGEA(N234,P234)</f>
        <v>65</v>
      </c>
      <c r="P234" s="36" t="n">
        <v>70</v>
      </c>
      <c r="Q234" s="34" t="s">
        <v>55</v>
      </c>
      <c r="R234" s="35"/>
      <c r="S234" s="34" t="s">
        <v>55</v>
      </c>
      <c r="T234" s="36" t="s">
        <v>55</v>
      </c>
      <c r="U234" s="36"/>
      <c r="V234" s="36" t="s">
        <v>55</v>
      </c>
      <c r="W234" s="34" t="s">
        <v>55</v>
      </c>
      <c r="X234" s="35"/>
      <c r="Y234" s="34" t="s">
        <v>55</v>
      </c>
      <c r="Z234" s="36" t="s">
        <v>55</v>
      </c>
      <c r="AA234" s="36"/>
      <c r="AB234" s="36" t="s">
        <v>55</v>
      </c>
      <c r="AC234" s="34" t="s">
        <v>55</v>
      </c>
      <c r="AD234" s="35"/>
      <c r="AE234" s="34" t="s">
        <v>55</v>
      </c>
      <c r="AF234" s="43" t="n">
        <v>20</v>
      </c>
      <c r="AG234" s="37" t="n">
        <f aca="false">AVERAGEA(AF234,AH234)</f>
        <v>30</v>
      </c>
      <c r="AH234" s="43" t="n">
        <v>40</v>
      </c>
      <c r="AI234" s="34" t="n">
        <v>5</v>
      </c>
      <c r="AJ234" s="39" t="n">
        <f aca="false">AVERAGEA(AI234,AK234)</f>
        <v>17.5</v>
      </c>
      <c r="AK234" s="34" t="n">
        <v>30</v>
      </c>
      <c r="AL234" s="43" t="n">
        <v>5</v>
      </c>
      <c r="AM234" s="38" t="n">
        <f aca="false">AVERAGEA(AL234,AN234)</f>
        <v>17.5</v>
      </c>
      <c r="AN234" s="43" t="n">
        <v>30</v>
      </c>
      <c r="AO234" s="34" t="n">
        <v>2</v>
      </c>
      <c r="AP234" s="39" t="n">
        <f aca="false">AVERAGEA(AO234,AQ234)</f>
        <v>7</v>
      </c>
      <c r="AQ234" s="34" t="n">
        <v>12</v>
      </c>
      <c r="AR234" s="36" t="n">
        <v>1</v>
      </c>
      <c r="AS234" s="38" t="n">
        <f aca="false">AVERAGEA(AR234,AT234)</f>
        <v>4.5</v>
      </c>
      <c r="AT234" s="36" t="n">
        <v>8</v>
      </c>
      <c r="AU234" s="34" t="s">
        <v>55</v>
      </c>
      <c r="AV234" s="34"/>
      <c r="AW234" s="34" t="s">
        <v>55</v>
      </c>
      <c r="AX234" s="43" t="s">
        <v>55</v>
      </c>
      <c r="AY234" s="37"/>
      <c r="AZ234" s="43" t="s">
        <v>55</v>
      </c>
      <c r="BA234" s="34" t="s">
        <v>55</v>
      </c>
      <c r="BB234" s="34"/>
      <c r="BC234" s="34" t="s">
        <v>55</v>
      </c>
      <c r="BD234" s="36" t="n">
        <v>50</v>
      </c>
      <c r="BE234" s="38" t="n">
        <f aca="false">AVERAGEA(BD234,BF234)</f>
        <v>50</v>
      </c>
      <c r="BF234" s="36" t="n">
        <v>50</v>
      </c>
      <c r="BG234" s="34" t="n">
        <v>100</v>
      </c>
      <c r="BH234" s="39" t="n">
        <f aca="false">AVERAGEA(BG234,BI234)</f>
        <v>100</v>
      </c>
      <c r="BI234" s="34" t="n">
        <v>100</v>
      </c>
      <c r="BJ234" s="36" t="n">
        <v>200</v>
      </c>
      <c r="BK234" s="38" t="n">
        <f aca="false">AVERAGEA(BJ234,BL234)</f>
        <v>200</v>
      </c>
      <c r="BL234" s="36" t="n">
        <v>200</v>
      </c>
      <c r="BM234" s="34" t="n">
        <v>3</v>
      </c>
      <c r="BN234" s="39" t="n">
        <f aca="false">AVERAGEA(BM234,BO234)</f>
        <v>9</v>
      </c>
      <c r="BO234" s="34" t="n">
        <v>15</v>
      </c>
      <c r="BP234" s="36" t="n">
        <v>30</v>
      </c>
      <c r="BQ234" s="38" t="n">
        <f aca="false">AVERAGEA(BP234,BR234)</f>
        <v>30</v>
      </c>
      <c r="BR234" s="36" t="n">
        <v>30</v>
      </c>
      <c r="BS234" s="34" t="n">
        <v>1</v>
      </c>
      <c r="BT234" s="39" t="n">
        <f aca="false">AVERAGEA(BS234,BU234)</f>
        <v>1</v>
      </c>
      <c r="BU234" s="34" t="n">
        <v>1</v>
      </c>
      <c r="BV234" s="36" t="n">
        <v>2</v>
      </c>
      <c r="BW234" s="38" t="n">
        <f aca="false">AVERAGEA(BV234,BX234)</f>
        <v>2</v>
      </c>
      <c r="BX234" s="36" t="n">
        <v>2</v>
      </c>
      <c r="BY234" s="34" t="n">
        <v>5</v>
      </c>
      <c r="BZ234" s="39" t="n">
        <f aca="false">AVERAGEA(BY234,CA234)</f>
        <v>12.5</v>
      </c>
      <c r="CA234" s="34" t="n">
        <v>20</v>
      </c>
      <c r="CB234" s="36" t="n">
        <v>55</v>
      </c>
      <c r="CC234" s="38" t="n">
        <f aca="false">AVERAGEA(CB234,CD234)</f>
        <v>57.5</v>
      </c>
      <c r="CD234" s="36" t="n">
        <v>60</v>
      </c>
      <c r="CE234" s="34" t="n">
        <v>0</v>
      </c>
      <c r="CF234" s="39" t="n">
        <v>0</v>
      </c>
      <c r="CG234" s="34" t="n">
        <v>0</v>
      </c>
    </row>
    <row r="235" s="18" customFormat="true" ht="28.35" hidden="false" customHeight="false" outlineLevel="0" collapsed="false">
      <c r="B235" s="150"/>
      <c r="C235" s="157" t="s">
        <v>220</v>
      </c>
      <c r="D235" s="158"/>
      <c r="E235" s="153"/>
      <c r="F235" s="157" t="s">
        <v>221</v>
      </c>
      <c r="G235" s="155"/>
      <c r="H235" s="36"/>
      <c r="I235" s="37" t="e">
        <f aca="false">AVERAGEA(H235,J235)</f>
        <v>#DIV/0!</v>
      </c>
      <c r="J235" s="36"/>
      <c r="K235" s="34"/>
      <c r="L235" s="35"/>
      <c r="M235" s="34"/>
      <c r="N235" s="36" t="n">
        <v>75</v>
      </c>
      <c r="O235" s="37" t="n">
        <f aca="false">AVERAGEA(N235,P235)</f>
        <v>85</v>
      </c>
      <c r="P235" s="36" t="n">
        <v>95</v>
      </c>
      <c r="Q235" s="34" t="s">
        <v>55</v>
      </c>
      <c r="R235" s="35"/>
      <c r="S235" s="34" t="s">
        <v>55</v>
      </c>
      <c r="T235" s="36" t="s">
        <v>55</v>
      </c>
      <c r="U235" s="36"/>
      <c r="V235" s="36" t="s">
        <v>55</v>
      </c>
      <c r="W235" s="34" t="s">
        <v>55</v>
      </c>
      <c r="X235" s="35"/>
      <c r="Y235" s="34" t="s">
        <v>55</v>
      </c>
      <c r="Z235" s="36" t="s">
        <v>55</v>
      </c>
      <c r="AA235" s="36"/>
      <c r="AB235" s="36" t="s">
        <v>55</v>
      </c>
      <c r="AC235" s="34" t="s">
        <v>55</v>
      </c>
      <c r="AD235" s="35"/>
      <c r="AE235" s="34" t="s">
        <v>55</v>
      </c>
      <c r="AF235" s="43" t="n">
        <v>30</v>
      </c>
      <c r="AG235" s="37" t="n">
        <f aca="false">AVERAGEA(AF235,AH235)</f>
        <v>40</v>
      </c>
      <c r="AH235" s="43" t="n">
        <v>50</v>
      </c>
      <c r="AI235" s="34" t="n">
        <v>2</v>
      </c>
      <c r="AJ235" s="39" t="n">
        <f aca="false">AVERAGEA(AI235,AK235)</f>
        <v>6</v>
      </c>
      <c r="AK235" s="34" t="n">
        <v>10</v>
      </c>
      <c r="AL235" s="43" t="n">
        <v>2</v>
      </c>
      <c r="AM235" s="38" t="n">
        <f aca="false">AVERAGEA(AL235,AN235)</f>
        <v>6</v>
      </c>
      <c r="AN235" s="43" t="n">
        <v>10</v>
      </c>
      <c r="AO235" s="34" t="n">
        <v>4</v>
      </c>
      <c r="AP235" s="39" t="n">
        <f aca="false">AVERAGEA(AO235,AQ235)</f>
        <v>14</v>
      </c>
      <c r="AQ235" s="34" t="n">
        <v>24</v>
      </c>
      <c r="AR235" s="36" t="n">
        <v>2</v>
      </c>
      <c r="AS235" s="38" t="n">
        <f aca="false">AVERAGEA(AR235,AT235)</f>
        <v>7</v>
      </c>
      <c r="AT235" s="36" t="n">
        <v>12</v>
      </c>
      <c r="AU235" s="34" t="s">
        <v>55</v>
      </c>
      <c r="AV235" s="34"/>
      <c r="AW235" s="34" t="s">
        <v>55</v>
      </c>
      <c r="AX235" s="43" t="s">
        <v>55</v>
      </c>
      <c r="AY235" s="37"/>
      <c r="AZ235" s="43" t="s">
        <v>55</v>
      </c>
      <c r="BA235" s="34" t="s">
        <v>55</v>
      </c>
      <c r="BB235" s="34"/>
      <c r="BC235" s="34" t="s">
        <v>55</v>
      </c>
      <c r="BD235" s="36" t="n">
        <v>200</v>
      </c>
      <c r="BE235" s="38" t="n">
        <f aca="false">AVERAGEA(BD235,BF235)</f>
        <v>200</v>
      </c>
      <c r="BF235" s="36" t="n">
        <v>200</v>
      </c>
      <c r="BG235" s="34" t="n">
        <v>400</v>
      </c>
      <c r="BH235" s="39" t="n">
        <f aca="false">AVERAGEA(BG235,BI235)</f>
        <v>400</v>
      </c>
      <c r="BI235" s="34" t="n">
        <v>400</v>
      </c>
      <c r="BJ235" s="36" t="n">
        <v>800</v>
      </c>
      <c r="BK235" s="38" t="n">
        <f aca="false">AVERAGEA(BJ235,BL235)</f>
        <v>800</v>
      </c>
      <c r="BL235" s="36" t="n">
        <v>800</v>
      </c>
      <c r="BM235" s="34" t="n">
        <v>5</v>
      </c>
      <c r="BN235" s="39" t="n">
        <f aca="false">AVERAGEA(BM235,BO235)</f>
        <v>15</v>
      </c>
      <c r="BO235" s="34" t="n">
        <v>25</v>
      </c>
      <c r="BP235" s="36" t="n">
        <v>60</v>
      </c>
      <c r="BQ235" s="38" t="n">
        <f aca="false">AVERAGEA(BP235,BR235)</f>
        <v>60</v>
      </c>
      <c r="BR235" s="36" t="n">
        <v>60</v>
      </c>
      <c r="BS235" s="34" t="n">
        <v>2</v>
      </c>
      <c r="BT235" s="39" t="n">
        <f aca="false">AVERAGEA(BS235,BU235)</f>
        <v>2</v>
      </c>
      <c r="BU235" s="34" t="n">
        <v>2</v>
      </c>
      <c r="BV235" s="36" t="n">
        <v>4</v>
      </c>
      <c r="BW235" s="38" t="n">
        <f aca="false">AVERAGEA(BV235,BX235)</f>
        <v>4</v>
      </c>
      <c r="BX235" s="36" t="n">
        <v>4</v>
      </c>
      <c r="BY235" s="34" t="n">
        <v>10</v>
      </c>
      <c r="BZ235" s="39" t="n">
        <f aca="false">AVERAGEA(BY235,CA235)</f>
        <v>25</v>
      </c>
      <c r="CA235" s="34" t="n">
        <v>40</v>
      </c>
      <c r="CB235" s="36" t="n">
        <v>65</v>
      </c>
      <c r="CC235" s="38" t="n">
        <f aca="false">AVERAGEA(CB235,CD235)</f>
        <v>70</v>
      </c>
      <c r="CD235" s="36" t="n">
        <v>75</v>
      </c>
      <c r="CE235" s="34" t="n">
        <v>0</v>
      </c>
      <c r="CF235" s="39" t="n">
        <v>0</v>
      </c>
      <c r="CG235" s="34" t="n">
        <v>0</v>
      </c>
    </row>
    <row r="236" s="18" customFormat="true" ht="28.35" hidden="false" customHeight="false" outlineLevel="0" collapsed="false">
      <c r="B236" s="150"/>
      <c r="C236" s="157" t="s">
        <v>222</v>
      </c>
      <c r="D236" s="158"/>
      <c r="E236" s="153"/>
      <c r="F236" s="157" t="s">
        <v>223</v>
      </c>
      <c r="G236" s="155"/>
      <c r="H236" s="36"/>
      <c r="I236" s="37" t="e">
        <f aca="false">AVERAGEA(H236,J236)</f>
        <v>#DIV/0!</v>
      </c>
      <c r="J236" s="36"/>
      <c r="K236" s="34"/>
      <c r="L236" s="35"/>
      <c r="M236" s="34"/>
      <c r="N236" s="36" t="n">
        <v>45</v>
      </c>
      <c r="O236" s="37" t="n">
        <f aca="false">AVERAGEA(N236,P236)</f>
        <v>50</v>
      </c>
      <c r="P236" s="36" t="n">
        <v>55</v>
      </c>
      <c r="Q236" s="34" t="s">
        <v>55</v>
      </c>
      <c r="R236" s="35"/>
      <c r="S236" s="34" t="s">
        <v>55</v>
      </c>
      <c r="T236" s="36" t="s">
        <v>55</v>
      </c>
      <c r="U236" s="36"/>
      <c r="V236" s="36" t="s">
        <v>55</v>
      </c>
      <c r="W236" s="34" t="s">
        <v>55</v>
      </c>
      <c r="X236" s="35"/>
      <c r="Y236" s="34" t="s">
        <v>55</v>
      </c>
      <c r="Z236" s="36" t="s">
        <v>55</v>
      </c>
      <c r="AA236" s="36"/>
      <c r="AB236" s="36" t="s">
        <v>55</v>
      </c>
      <c r="AC236" s="34" t="s">
        <v>55</v>
      </c>
      <c r="AD236" s="35"/>
      <c r="AE236" s="34" t="s">
        <v>55</v>
      </c>
      <c r="AF236" s="43" t="n">
        <v>10</v>
      </c>
      <c r="AG236" s="37" t="n">
        <f aca="false">AVERAGEA(AF236,AH236)</f>
        <v>20</v>
      </c>
      <c r="AH236" s="43" t="n">
        <v>30</v>
      </c>
      <c r="AI236" s="34" t="n">
        <v>20</v>
      </c>
      <c r="AJ236" s="39" t="n">
        <f aca="false">AVERAGEA(AI236,AK236)</f>
        <v>60</v>
      </c>
      <c r="AK236" s="34" t="n">
        <v>100</v>
      </c>
      <c r="AL236" s="43" t="n">
        <v>20</v>
      </c>
      <c r="AM236" s="38" t="n">
        <f aca="false">AVERAGEA(AL236,AN236)</f>
        <v>60</v>
      </c>
      <c r="AN236" s="43" t="n">
        <v>100</v>
      </c>
      <c r="AO236" s="34" t="n">
        <v>0.5</v>
      </c>
      <c r="AP236" s="39" t="n">
        <f aca="false">AVERAGEA(AO236,AQ236)</f>
        <v>0.5</v>
      </c>
      <c r="AQ236" s="34" t="n">
        <v>0.5</v>
      </c>
      <c r="AR236" s="36" t="n">
        <v>0.1</v>
      </c>
      <c r="AS236" s="38" t="n">
        <f aca="false">AVERAGEA(AR236,AT236)</f>
        <v>1.05</v>
      </c>
      <c r="AT236" s="36" t="n">
        <v>2</v>
      </c>
      <c r="AU236" s="34" t="s">
        <v>55</v>
      </c>
      <c r="AV236" s="34"/>
      <c r="AW236" s="34" t="s">
        <v>55</v>
      </c>
      <c r="AX236" s="43" t="s">
        <v>55</v>
      </c>
      <c r="AY236" s="37"/>
      <c r="AZ236" s="43" t="s">
        <v>55</v>
      </c>
      <c r="BA236" s="34" t="s">
        <v>55</v>
      </c>
      <c r="BB236" s="34"/>
      <c r="BC236" s="34" t="s">
        <v>55</v>
      </c>
      <c r="BD236" s="36" t="n">
        <v>15</v>
      </c>
      <c r="BE236" s="38" t="n">
        <f aca="false">AVERAGEA(BD236,BF236)</f>
        <v>15</v>
      </c>
      <c r="BF236" s="36" t="n">
        <v>15</v>
      </c>
      <c r="BG236" s="34" t="n">
        <v>30</v>
      </c>
      <c r="BH236" s="39" t="n">
        <f aca="false">AVERAGEA(BG236,BI236)</f>
        <v>30</v>
      </c>
      <c r="BI236" s="34" t="n">
        <v>30</v>
      </c>
      <c r="BJ236" s="36" t="n">
        <v>60</v>
      </c>
      <c r="BK236" s="38" t="n">
        <f aca="false">AVERAGEA(BJ236,BL236)</f>
        <v>60</v>
      </c>
      <c r="BL236" s="36" t="n">
        <v>60</v>
      </c>
      <c r="BM236" s="34" t="n">
        <v>2</v>
      </c>
      <c r="BN236" s="39" t="n">
        <f aca="false">AVERAGEA(BM236,BO236)</f>
        <v>6</v>
      </c>
      <c r="BO236" s="34" t="n">
        <v>10</v>
      </c>
      <c r="BP236" s="36" t="n">
        <v>2</v>
      </c>
      <c r="BQ236" s="38" t="n">
        <v>2</v>
      </c>
      <c r="BR236" s="36" t="n">
        <v>2</v>
      </c>
      <c r="BS236" s="34" t="n">
        <v>0.083333333</v>
      </c>
      <c r="BT236" s="39" t="n">
        <f aca="false">AVERAGEA(BS236,BU236)</f>
        <v>0.083333333</v>
      </c>
      <c r="BU236" s="34" t="n">
        <v>0.083333333</v>
      </c>
      <c r="BV236" s="36" t="n">
        <v>0.25</v>
      </c>
      <c r="BW236" s="38" t="n">
        <f aca="false">AVERAGEA(BV236,BX236)</f>
        <v>0.25</v>
      </c>
      <c r="BX236" s="36" t="n">
        <v>0.25</v>
      </c>
      <c r="BY236" s="34" t="n">
        <v>3</v>
      </c>
      <c r="BZ236" s="39" t="n">
        <f aca="false">AVERAGEA(BY236,CA236)</f>
        <v>7.5</v>
      </c>
      <c r="CA236" s="34" t="n">
        <v>12</v>
      </c>
      <c r="CB236" s="36" t="n">
        <v>40</v>
      </c>
      <c r="CC236" s="38" t="n">
        <f aca="false">AVERAGEA(CB236,CD236)</f>
        <v>44</v>
      </c>
      <c r="CD236" s="36" t="n">
        <v>48</v>
      </c>
      <c r="CE236" s="34" t="n">
        <v>0</v>
      </c>
      <c r="CF236" s="39" t="n">
        <v>0</v>
      </c>
      <c r="CG236" s="34" t="n">
        <v>0</v>
      </c>
    </row>
    <row r="237" s="18" customFormat="true" ht="28.35" hidden="false" customHeight="false" outlineLevel="0" collapsed="false">
      <c r="B237" s="150"/>
      <c r="C237" s="157" t="s">
        <v>224</v>
      </c>
      <c r="D237" s="158"/>
      <c r="E237" s="153"/>
      <c r="F237" s="157" t="s">
        <v>225</v>
      </c>
      <c r="G237" s="155"/>
      <c r="H237" s="36"/>
      <c r="I237" s="37" t="e">
        <f aca="false">AVERAGEA(H237,J237)</f>
        <v>#DIV/0!</v>
      </c>
      <c r="J237" s="36"/>
      <c r="K237" s="34"/>
      <c r="L237" s="35"/>
      <c r="M237" s="34"/>
      <c r="N237" s="36" t="n">
        <v>55</v>
      </c>
      <c r="O237" s="37" t="n">
        <f aca="false">AVERAGEA(N237,P237)</f>
        <v>60</v>
      </c>
      <c r="P237" s="36" t="n">
        <v>65</v>
      </c>
      <c r="Q237" s="34" t="s">
        <v>55</v>
      </c>
      <c r="R237" s="35"/>
      <c r="S237" s="34" t="s">
        <v>55</v>
      </c>
      <c r="T237" s="36" t="s">
        <v>55</v>
      </c>
      <c r="U237" s="36"/>
      <c r="V237" s="36" t="s">
        <v>55</v>
      </c>
      <c r="W237" s="34" t="s">
        <v>55</v>
      </c>
      <c r="X237" s="35"/>
      <c r="Y237" s="34" t="s">
        <v>55</v>
      </c>
      <c r="Z237" s="36" t="s">
        <v>55</v>
      </c>
      <c r="AA237" s="36"/>
      <c r="AB237" s="36" t="s">
        <v>55</v>
      </c>
      <c r="AC237" s="34" t="s">
        <v>55</v>
      </c>
      <c r="AD237" s="35"/>
      <c r="AE237" s="34" t="s">
        <v>55</v>
      </c>
      <c r="AF237" s="43" t="n">
        <v>20</v>
      </c>
      <c r="AG237" s="37" t="n">
        <f aca="false">AVERAGEA(AF237,AH237)</f>
        <v>30</v>
      </c>
      <c r="AH237" s="43" t="n">
        <v>40</v>
      </c>
      <c r="AI237" s="34" t="n">
        <v>5</v>
      </c>
      <c r="AJ237" s="39" t="n">
        <f aca="false">AVERAGEA(AI237,AK237)</f>
        <v>7.5</v>
      </c>
      <c r="AK237" s="34" t="n">
        <v>10</v>
      </c>
      <c r="AL237" s="43" t="n">
        <v>5</v>
      </c>
      <c r="AM237" s="38" t="n">
        <f aca="false">AVERAGEA(AL237,AN237)</f>
        <v>7.5</v>
      </c>
      <c r="AN237" s="43" t="n">
        <v>10</v>
      </c>
      <c r="AO237" s="34" t="n">
        <v>4</v>
      </c>
      <c r="AP237" s="39" t="n">
        <f aca="false">AVERAGEA(AO237,AQ237)</f>
        <v>14</v>
      </c>
      <c r="AQ237" s="34" t="n">
        <v>24</v>
      </c>
      <c r="AR237" s="36" t="n">
        <v>2</v>
      </c>
      <c r="AS237" s="38" t="n">
        <f aca="false">AVERAGEA(AR237,AT237)</f>
        <v>7</v>
      </c>
      <c r="AT237" s="36" t="n">
        <v>12</v>
      </c>
      <c r="AU237" s="34" t="s">
        <v>55</v>
      </c>
      <c r="AV237" s="34"/>
      <c r="AW237" s="34" t="s">
        <v>55</v>
      </c>
      <c r="AX237" s="43" t="s">
        <v>55</v>
      </c>
      <c r="AY237" s="37"/>
      <c r="AZ237" s="43" t="s">
        <v>55</v>
      </c>
      <c r="BA237" s="34" t="s">
        <v>55</v>
      </c>
      <c r="BB237" s="34"/>
      <c r="BC237" s="34" t="s">
        <v>55</v>
      </c>
      <c r="BD237" s="36" t="n">
        <v>150</v>
      </c>
      <c r="BE237" s="38" t="n">
        <f aca="false">AVERAGEA(BD237,BF237)</f>
        <v>150</v>
      </c>
      <c r="BF237" s="36" t="n">
        <v>150</v>
      </c>
      <c r="BG237" s="34" t="n">
        <v>300</v>
      </c>
      <c r="BH237" s="39" t="n">
        <f aca="false">AVERAGEA(BG237,BI237)</f>
        <v>300</v>
      </c>
      <c r="BI237" s="34" t="n">
        <v>300</v>
      </c>
      <c r="BJ237" s="36" t="n">
        <v>600</v>
      </c>
      <c r="BK237" s="38" t="n">
        <f aca="false">AVERAGEA(BJ237,BL237)</f>
        <v>600</v>
      </c>
      <c r="BL237" s="36" t="n">
        <v>600</v>
      </c>
      <c r="BM237" s="34" t="n">
        <v>4</v>
      </c>
      <c r="BN237" s="39" t="n">
        <f aca="false">AVERAGEA(BM237,BO237)</f>
        <v>12</v>
      </c>
      <c r="BO237" s="34" t="n">
        <v>20</v>
      </c>
      <c r="BP237" s="36" t="n">
        <v>30</v>
      </c>
      <c r="BQ237" s="38" t="n">
        <v>2</v>
      </c>
      <c r="BR237" s="36" t="n">
        <v>30</v>
      </c>
      <c r="BS237" s="34" t="n">
        <v>1</v>
      </c>
      <c r="BT237" s="39" t="n">
        <f aca="false">AVERAGEA(BS237,BU237)</f>
        <v>1</v>
      </c>
      <c r="BU237" s="34" t="n">
        <v>1</v>
      </c>
      <c r="BV237" s="36" t="n">
        <v>2</v>
      </c>
      <c r="BW237" s="38" t="n">
        <f aca="false">AVERAGEA(BV237,BX237)</f>
        <v>2</v>
      </c>
      <c r="BX237" s="36" t="n">
        <v>2</v>
      </c>
      <c r="BY237" s="34" t="n">
        <v>8</v>
      </c>
      <c r="BZ237" s="39" t="n">
        <f aca="false">AVERAGEA(BY237,CA237)</f>
        <v>19</v>
      </c>
      <c r="CA237" s="34" t="n">
        <v>30</v>
      </c>
      <c r="CB237" s="36" t="n">
        <v>50</v>
      </c>
      <c r="CC237" s="38" t="n">
        <f aca="false">AVERAGEA(CB237,CD237)</f>
        <v>54</v>
      </c>
      <c r="CD237" s="36" t="n">
        <v>58</v>
      </c>
      <c r="CE237" s="34" t="n">
        <v>0</v>
      </c>
      <c r="CF237" s="39" t="n">
        <v>0</v>
      </c>
      <c r="CG237" s="34" t="n">
        <v>0</v>
      </c>
    </row>
    <row r="238" s="18" customFormat="true" ht="28.35" hidden="false" customHeight="false" outlineLevel="0" collapsed="false">
      <c r="B238" s="150"/>
      <c r="C238" s="157" t="s">
        <v>226</v>
      </c>
      <c r="D238" s="158"/>
      <c r="E238" s="153"/>
      <c r="F238" s="157" t="s">
        <v>227</v>
      </c>
      <c r="G238" s="155"/>
      <c r="H238" s="36"/>
      <c r="I238" s="37" t="e">
        <f aca="false">AVERAGEA(H238,J238)</f>
        <v>#DIV/0!</v>
      </c>
      <c r="J238" s="36"/>
      <c r="K238" s="34"/>
      <c r="L238" s="35"/>
      <c r="M238" s="34"/>
      <c r="N238" s="36" t="n">
        <v>50</v>
      </c>
      <c r="O238" s="37" t="n">
        <f aca="false">AVERAGEA(N238,P238)</f>
        <v>55</v>
      </c>
      <c r="P238" s="36" t="n">
        <v>60</v>
      </c>
      <c r="Q238" s="34" t="s">
        <v>55</v>
      </c>
      <c r="R238" s="35"/>
      <c r="S238" s="34" t="s">
        <v>55</v>
      </c>
      <c r="T238" s="36" t="s">
        <v>55</v>
      </c>
      <c r="U238" s="36"/>
      <c r="V238" s="36" t="s">
        <v>55</v>
      </c>
      <c r="W238" s="34" t="s">
        <v>55</v>
      </c>
      <c r="X238" s="35"/>
      <c r="Y238" s="34" t="s">
        <v>55</v>
      </c>
      <c r="Z238" s="36" t="s">
        <v>55</v>
      </c>
      <c r="AA238" s="36"/>
      <c r="AB238" s="36" t="s">
        <v>55</v>
      </c>
      <c r="AC238" s="34" t="s">
        <v>55</v>
      </c>
      <c r="AD238" s="35"/>
      <c r="AE238" s="34" t="s">
        <v>55</v>
      </c>
      <c r="AF238" s="43" t="n">
        <v>25</v>
      </c>
      <c r="AG238" s="37" t="n">
        <f aca="false">AVERAGEA(AF238,AH238)</f>
        <v>35</v>
      </c>
      <c r="AH238" s="43" t="n">
        <v>45</v>
      </c>
      <c r="AI238" s="34" t="n">
        <v>3</v>
      </c>
      <c r="AJ238" s="39" t="n">
        <f aca="false">AVERAGEA(AI238,AK238)</f>
        <v>6.5</v>
      </c>
      <c r="AK238" s="34" t="n">
        <v>10</v>
      </c>
      <c r="AL238" s="43" t="n">
        <v>3</v>
      </c>
      <c r="AM238" s="38" t="n">
        <f aca="false">AVERAGEA(AL238,AN238)</f>
        <v>6.5</v>
      </c>
      <c r="AN238" s="43" t="n">
        <v>10</v>
      </c>
      <c r="AO238" s="34" t="n">
        <v>0</v>
      </c>
      <c r="AP238" s="39" t="n">
        <f aca="false">AVERAGEA(AO238,AQ238)</f>
        <v>24</v>
      </c>
      <c r="AQ238" s="34" t="n">
        <v>48</v>
      </c>
      <c r="AR238" s="36" t="n">
        <v>4</v>
      </c>
      <c r="AS238" s="38" t="n">
        <f aca="false">AVERAGEA(AR238,AT238)</f>
        <v>14</v>
      </c>
      <c r="AT238" s="36" t="n">
        <v>24</v>
      </c>
      <c r="AU238" s="34" t="s">
        <v>55</v>
      </c>
      <c r="AV238" s="34"/>
      <c r="AW238" s="34" t="s">
        <v>55</v>
      </c>
      <c r="AX238" s="43" t="s">
        <v>55</v>
      </c>
      <c r="AY238" s="37"/>
      <c r="AZ238" s="43" t="s">
        <v>55</v>
      </c>
      <c r="BA238" s="34" t="s">
        <v>55</v>
      </c>
      <c r="BB238" s="34"/>
      <c r="BC238" s="34" t="s">
        <v>55</v>
      </c>
      <c r="BD238" s="36" t="n">
        <v>300</v>
      </c>
      <c r="BE238" s="38" t="n">
        <f aca="false">AVERAGEA(BD238,BF238)</f>
        <v>300</v>
      </c>
      <c r="BF238" s="36" t="n">
        <v>300</v>
      </c>
      <c r="BG238" s="34" t="n">
        <v>600</v>
      </c>
      <c r="BH238" s="39" t="n">
        <f aca="false">AVERAGEA(BG238,BI238)</f>
        <v>600</v>
      </c>
      <c r="BI238" s="34" t="n">
        <v>600</v>
      </c>
      <c r="BJ238" s="36" t="n">
        <v>1200</v>
      </c>
      <c r="BK238" s="38" t="n">
        <f aca="false">AVERAGEA(BJ238,BL238)</f>
        <v>1200</v>
      </c>
      <c r="BL238" s="36" t="n">
        <v>1200</v>
      </c>
      <c r="BM238" s="34" t="n">
        <v>6</v>
      </c>
      <c r="BN238" s="39" t="n">
        <f aca="false">AVERAGEA(BM238,BO238)</f>
        <v>18</v>
      </c>
      <c r="BO238" s="34" t="n">
        <v>30</v>
      </c>
      <c r="BP238" s="36" t="n">
        <v>120</v>
      </c>
      <c r="BQ238" s="38" t="n">
        <v>2</v>
      </c>
      <c r="BR238" s="36" t="n">
        <v>120</v>
      </c>
      <c r="BS238" s="34" t="n">
        <v>4</v>
      </c>
      <c r="BT238" s="39" t="n">
        <f aca="false">AVERAGEA(BS238,BU238)</f>
        <v>4</v>
      </c>
      <c r="BU238" s="34" t="n">
        <v>4</v>
      </c>
      <c r="BV238" s="36" t="n">
        <v>8</v>
      </c>
      <c r="BW238" s="38" t="n">
        <f aca="false">AVERAGEA(BV238,BX238)</f>
        <v>8</v>
      </c>
      <c r="BX238" s="36" t="n">
        <v>8</v>
      </c>
      <c r="BY238" s="34" t="n">
        <v>12</v>
      </c>
      <c r="BZ238" s="39" t="n">
        <f aca="false">AVERAGEA(BY238,CA238)</f>
        <v>31</v>
      </c>
      <c r="CA238" s="34" t="n">
        <v>50</v>
      </c>
      <c r="CB238" s="36" t="n">
        <v>45</v>
      </c>
      <c r="CC238" s="38" t="n">
        <f aca="false">AVERAGEA(CB238,CD238)</f>
        <v>49</v>
      </c>
      <c r="CD238" s="36" t="n">
        <v>53</v>
      </c>
      <c r="CE238" s="34" t="n">
        <v>0</v>
      </c>
      <c r="CF238" s="39" t="n">
        <v>0</v>
      </c>
      <c r="CG238" s="34" t="n">
        <v>0</v>
      </c>
    </row>
    <row r="239" s="18" customFormat="true" ht="28.35" hidden="false" customHeight="false" outlineLevel="0" collapsed="false">
      <c r="B239" s="150"/>
      <c r="C239" s="157" t="s">
        <v>228</v>
      </c>
      <c r="D239" s="158"/>
      <c r="E239" s="153"/>
      <c r="F239" s="157" t="s">
        <v>229</v>
      </c>
      <c r="G239" s="155"/>
      <c r="H239" s="36"/>
      <c r="I239" s="38" t="e">
        <f aca="false">AVERAGEA(H239,J239)</f>
        <v>#DIV/0!</v>
      </c>
      <c r="J239" s="36"/>
      <c r="K239" s="34"/>
      <c r="L239" s="35"/>
      <c r="M239" s="34"/>
      <c r="N239" s="36" t="n">
        <v>40</v>
      </c>
      <c r="O239" s="38" t="n">
        <f aca="false">AVERAGEA(N239,P239)</f>
        <v>45</v>
      </c>
      <c r="P239" s="36" t="n">
        <v>50</v>
      </c>
      <c r="Q239" s="34" t="s">
        <v>55</v>
      </c>
      <c r="R239" s="35"/>
      <c r="S239" s="34" t="s">
        <v>55</v>
      </c>
      <c r="T239" s="36" t="s">
        <v>55</v>
      </c>
      <c r="U239" s="36"/>
      <c r="V239" s="36" t="s">
        <v>55</v>
      </c>
      <c r="W239" s="34" t="s">
        <v>55</v>
      </c>
      <c r="X239" s="35"/>
      <c r="Y239" s="34" t="s">
        <v>55</v>
      </c>
      <c r="Z239" s="36" t="s">
        <v>55</v>
      </c>
      <c r="AA239" s="36"/>
      <c r="AB239" s="36" t="s">
        <v>55</v>
      </c>
      <c r="AC239" s="34" t="s">
        <v>55</v>
      </c>
      <c r="AD239" s="35"/>
      <c r="AE239" s="34" t="s">
        <v>55</v>
      </c>
      <c r="AF239" s="43" t="n">
        <v>15</v>
      </c>
      <c r="AG239" s="38" t="n">
        <f aca="false">AVERAGEA(AF239,AH239)</f>
        <v>25</v>
      </c>
      <c r="AH239" s="43" t="n">
        <v>35</v>
      </c>
      <c r="AI239" s="34" t="n">
        <v>10</v>
      </c>
      <c r="AJ239" s="39" t="n">
        <f aca="false">AVERAGEA(AI239,AK239)</f>
        <v>25</v>
      </c>
      <c r="AK239" s="34" t="n">
        <v>40</v>
      </c>
      <c r="AL239" s="43" t="n">
        <v>10</v>
      </c>
      <c r="AM239" s="38" t="n">
        <f aca="false">AVERAGEA(AL239,AN239)</f>
        <v>25</v>
      </c>
      <c r="AN239" s="43" t="n">
        <v>40</v>
      </c>
      <c r="AO239" s="34" t="n">
        <v>2</v>
      </c>
      <c r="AP239" s="39" t="n">
        <f aca="false">AVERAGEA(AO239,AQ239)</f>
        <v>7</v>
      </c>
      <c r="AQ239" s="34" t="n">
        <v>12</v>
      </c>
      <c r="AR239" s="36" t="n">
        <v>1</v>
      </c>
      <c r="AS239" s="38" t="n">
        <f aca="false">AVERAGEA(AR239,AT239)</f>
        <v>3.5</v>
      </c>
      <c r="AT239" s="36" t="n">
        <v>6</v>
      </c>
      <c r="AU239" s="34" t="s">
        <v>55</v>
      </c>
      <c r="AV239" s="39"/>
      <c r="AW239" s="34" t="s">
        <v>55</v>
      </c>
      <c r="AX239" s="43" t="s">
        <v>55</v>
      </c>
      <c r="AY239" s="38"/>
      <c r="AZ239" s="43" t="s">
        <v>55</v>
      </c>
      <c r="BA239" s="34" t="s">
        <v>55</v>
      </c>
      <c r="BB239" s="39"/>
      <c r="BC239" s="34" t="s">
        <v>55</v>
      </c>
      <c r="BD239" s="36" t="n">
        <v>100</v>
      </c>
      <c r="BE239" s="38" t="n">
        <f aca="false">AVERAGEA(BD239,BF239)</f>
        <v>100</v>
      </c>
      <c r="BF239" s="36" t="n">
        <v>100</v>
      </c>
      <c r="BG239" s="34" t="n">
        <v>200</v>
      </c>
      <c r="BH239" s="39" t="n">
        <f aca="false">AVERAGEA(BG239,BI239)</f>
        <v>200</v>
      </c>
      <c r="BI239" s="34" t="n">
        <v>200</v>
      </c>
      <c r="BJ239" s="36" t="n">
        <v>400</v>
      </c>
      <c r="BK239" s="38" t="n">
        <f aca="false">AVERAGEA(BJ239,BL239)</f>
        <v>400</v>
      </c>
      <c r="BL239" s="36" t="n">
        <v>400</v>
      </c>
      <c r="BM239" s="34" t="n">
        <v>3</v>
      </c>
      <c r="BN239" s="39" t="n">
        <f aca="false">AVERAGEA(BM239,BO239)</f>
        <v>9</v>
      </c>
      <c r="BO239" s="34" t="n">
        <v>15</v>
      </c>
      <c r="BP239" s="36" t="n">
        <v>15</v>
      </c>
      <c r="BQ239" s="38" t="n">
        <f aca="false">AVERAGEA(BP239,BR239)</f>
        <v>15</v>
      </c>
      <c r="BR239" s="36" t="n">
        <v>15</v>
      </c>
      <c r="BS239" s="34" t="n">
        <v>0.5</v>
      </c>
      <c r="BT239" s="39" t="n">
        <f aca="false">AVERAGEA(BS239,BU239)</f>
        <v>0.5</v>
      </c>
      <c r="BU239" s="34" t="n">
        <v>0.5</v>
      </c>
      <c r="BV239" s="36" t="n">
        <v>1</v>
      </c>
      <c r="BW239" s="38" t="n">
        <f aca="false">AVERAGEA(BV239,BX239)</f>
        <v>1</v>
      </c>
      <c r="BX239" s="36" t="n">
        <v>1</v>
      </c>
      <c r="BY239" s="34" t="n">
        <v>6</v>
      </c>
      <c r="BZ239" s="39" t="n">
        <f aca="false">AVERAGEA(BY239,CA239)</f>
        <v>15.5</v>
      </c>
      <c r="CA239" s="34" t="n">
        <v>25</v>
      </c>
      <c r="CB239" s="36" t="n">
        <v>35</v>
      </c>
      <c r="CC239" s="38" t="n">
        <f aca="false">AVERAGEA(CB239,CD239)</f>
        <v>39</v>
      </c>
      <c r="CD239" s="36" t="n">
        <v>43</v>
      </c>
      <c r="CE239" s="34" t="n">
        <v>0</v>
      </c>
      <c r="CF239" s="39" t="n">
        <v>0</v>
      </c>
      <c r="CG239" s="34" t="n">
        <v>0</v>
      </c>
    </row>
    <row r="240" s="18" customFormat="true" ht="28.35" hidden="false" customHeight="false" outlineLevel="0" collapsed="false">
      <c r="B240" s="150"/>
      <c r="C240" s="157" t="s">
        <v>230</v>
      </c>
      <c r="D240" s="158" t="s">
        <v>231</v>
      </c>
      <c r="E240" s="153"/>
      <c r="F240" s="157" t="s">
        <v>232</v>
      </c>
      <c r="G240" s="155"/>
      <c r="H240" s="36"/>
      <c r="I240" s="38" t="e">
        <f aca="false">AVERAGEA(H240,J240)</f>
        <v>#DIV/0!</v>
      </c>
      <c r="J240" s="36"/>
      <c r="K240" s="34"/>
      <c r="L240" s="35"/>
      <c r="M240" s="34"/>
      <c r="N240" s="36" t="n">
        <v>50</v>
      </c>
      <c r="O240" s="38" t="n">
        <f aca="false">AVERAGEA(N240,P240)</f>
        <v>55</v>
      </c>
      <c r="P240" s="36" t="n">
        <v>60</v>
      </c>
      <c r="Q240" s="34" t="s">
        <v>55</v>
      </c>
      <c r="R240" s="35"/>
      <c r="S240" s="34" t="s">
        <v>55</v>
      </c>
      <c r="T240" s="36" t="s">
        <v>55</v>
      </c>
      <c r="U240" s="36"/>
      <c r="V240" s="36" t="s">
        <v>55</v>
      </c>
      <c r="W240" s="34" t="s">
        <v>55</v>
      </c>
      <c r="X240" s="35"/>
      <c r="Y240" s="34" t="s">
        <v>55</v>
      </c>
      <c r="Z240" s="36" t="s">
        <v>55</v>
      </c>
      <c r="AA240" s="36"/>
      <c r="AB240" s="36" t="s">
        <v>55</v>
      </c>
      <c r="AC240" s="34" t="s">
        <v>55</v>
      </c>
      <c r="AD240" s="35"/>
      <c r="AE240" s="34" t="s">
        <v>55</v>
      </c>
      <c r="AF240" s="43" t="n">
        <v>20</v>
      </c>
      <c r="AG240" s="38" t="n">
        <f aca="false">AVERAGEA(AF240,AH240)</f>
        <v>30</v>
      </c>
      <c r="AH240" s="43" t="n">
        <v>40</v>
      </c>
      <c r="AI240" s="34" t="n">
        <v>15</v>
      </c>
      <c r="AJ240" s="39" t="n">
        <f aca="false">AVERAGEA(AI240,AK240)</f>
        <v>37.5</v>
      </c>
      <c r="AK240" s="34" t="n">
        <v>60</v>
      </c>
      <c r="AL240" s="43" t="n">
        <v>15</v>
      </c>
      <c r="AM240" s="38" t="n">
        <f aca="false">AVERAGEA(AL240,AN240)</f>
        <v>37.5</v>
      </c>
      <c r="AN240" s="43" t="n">
        <v>60</v>
      </c>
      <c r="AO240" s="34" t="n">
        <v>1</v>
      </c>
      <c r="AP240" s="39" t="n">
        <f aca="false">AVERAGEA(AO240,AQ240)</f>
        <v>4.5</v>
      </c>
      <c r="AQ240" s="34" t="n">
        <v>8</v>
      </c>
      <c r="AR240" s="36" t="n">
        <v>0.5</v>
      </c>
      <c r="AS240" s="38" t="n">
        <f aca="false">AVERAGEA(AR240,AT240)</f>
        <v>2.25</v>
      </c>
      <c r="AT240" s="36" t="n">
        <v>4</v>
      </c>
      <c r="AU240" s="34" t="s">
        <v>55</v>
      </c>
      <c r="AV240" s="39"/>
      <c r="AW240" s="34" t="s">
        <v>55</v>
      </c>
      <c r="AX240" s="43" t="s">
        <v>55</v>
      </c>
      <c r="AY240" s="38"/>
      <c r="AZ240" s="43" t="s">
        <v>55</v>
      </c>
      <c r="BA240" s="34" t="s">
        <v>55</v>
      </c>
      <c r="BB240" s="39"/>
      <c r="BC240" s="34" t="s">
        <v>55</v>
      </c>
      <c r="BD240" s="36" t="n">
        <v>50</v>
      </c>
      <c r="BE240" s="38" t="n">
        <f aca="false">AVERAGEA(BD240,BF240)</f>
        <v>50</v>
      </c>
      <c r="BF240" s="36" t="n">
        <v>50</v>
      </c>
      <c r="BG240" s="34" t="n">
        <v>100</v>
      </c>
      <c r="BH240" s="39" t="n">
        <f aca="false">AVERAGEA(BG240,BI240)</f>
        <v>100</v>
      </c>
      <c r="BI240" s="34" t="n">
        <v>100</v>
      </c>
      <c r="BJ240" s="36" t="n">
        <v>200</v>
      </c>
      <c r="BK240" s="38" t="n">
        <f aca="false">AVERAGEA(BJ240,BL240)</f>
        <v>200</v>
      </c>
      <c r="BL240" s="36" t="n">
        <v>200</v>
      </c>
      <c r="BM240" s="34" t="n">
        <v>2</v>
      </c>
      <c r="BN240" s="39" t="n">
        <f aca="false">AVERAGEA(BM240,BO240)</f>
        <v>6</v>
      </c>
      <c r="BO240" s="34" t="n">
        <v>10</v>
      </c>
      <c r="BP240" s="36" t="n">
        <v>50</v>
      </c>
      <c r="BQ240" s="38" t="n">
        <f aca="false">AVERAGEA(BP240,BR240)</f>
        <v>50</v>
      </c>
      <c r="BR240" s="36" t="n">
        <v>50</v>
      </c>
      <c r="BS240" s="34" t="n">
        <v>100</v>
      </c>
      <c r="BT240" s="39" t="n">
        <f aca="false">AVERAGEA(BS240,BU240)</f>
        <v>100</v>
      </c>
      <c r="BU240" s="34" t="n">
        <v>100</v>
      </c>
      <c r="BV240" s="36" t="n">
        <v>200</v>
      </c>
      <c r="BW240" s="38" t="n">
        <f aca="false">AVERAGEA(BV240,BX240)</f>
        <v>200</v>
      </c>
      <c r="BX240" s="36" t="n">
        <v>200</v>
      </c>
      <c r="BY240" s="34" t="n">
        <v>4</v>
      </c>
      <c r="BZ240" s="39" t="n">
        <f aca="false">AVERAGEA(BY240,CA240)</f>
        <v>10</v>
      </c>
      <c r="CA240" s="34" t="n">
        <v>16</v>
      </c>
      <c r="CB240" s="36" t="n">
        <v>45</v>
      </c>
      <c r="CC240" s="38" t="n">
        <f aca="false">AVERAGEA(CB240,CD240)</f>
        <v>49</v>
      </c>
      <c r="CD240" s="36" t="n">
        <v>53</v>
      </c>
      <c r="CE240" s="34" t="n">
        <v>0</v>
      </c>
      <c r="CF240" s="39" t="n">
        <v>0</v>
      </c>
      <c r="CG240" s="34" t="n">
        <v>0</v>
      </c>
    </row>
    <row r="241" s="18" customFormat="true" ht="28.35" hidden="false" customHeight="false" outlineLevel="0" collapsed="false">
      <c r="B241" s="150"/>
      <c r="C241" s="157" t="s">
        <v>233</v>
      </c>
      <c r="D241" s="158"/>
      <c r="E241" s="153"/>
      <c r="F241" s="157" t="s">
        <v>234</v>
      </c>
      <c r="G241" s="155"/>
      <c r="H241" s="36"/>
      <c r="I241" s="38" t="e">
        <f aca="false">AVERAGEA(H241,J241)</f>
        <v>#DIV/0!</v>
      </c>
      <c r="J241" s="36"/>
      <c r="K241" s="34"/>
      <c r="L241" s="35"/>
      <c r="M241" s="34"/>
      <c r="N241" s="36" t="n">
        <v>35</v>
      </c>
      <c r="O241" s="38" t="n">
        <f aca="false">AVERAGEA(N241,P241)</f>
        <v>45</v>
      </c>
      <c r="P241" s="36" t="n">
        <v>55</v>
      </c>
      <c r="Q241" s="34" t="s">
        <v>55</v>
      </c>
      <c r="R241" s="35"/>
      <c r="S241" s="34" t="s">
        <v>55</v>
      </c>
      <c r="T241" s="36" t="s">
        <v>55</v>
      </c>
      <c r="U241" s="36"/>
      <c r="V241" s="36" t="s">
        <v>55</v>
      </c>
      <c r="W241" s="34" t="s">
        <v>55</v>
      </c>
      <c r="X241" s="35"/>
      <c r="Y241" s="34" t="s">
        <v>55</v>
      </c>
      <c r="Z241" s="36" t="s">
        <v>55</v>
      </c>
      <c r="AA241" s="36"/>
      <c r="AB241" s="36" t="s">
        <v>55</v>
      </c>
      <c r="AC241" s="34" t="s">
        <v>55</v>
      </c>
      <c r="AD241" s="35"/>
      <c r="AE241" s="34" t="s">
        <v>55</v>
      </c>
      <c r="AF241" s="43" t="n">
        <v>15</v>
      </c>
      <c r="AG241" s="38" t="n">
        <f aca="false">AVERAGEA(AF241,AH241)</f>
        <v>25</v>
      </c>
      <c r="AH241" s="43" t="n">
        <v>35</v>
      </c>
      <c r="AI241" s="34" t="n">
        <v>10</v>
      </c>
      <c r="AJ241" s="39" t="n">
        <f aca="false">AVERAGEA(AI241,AK241)</f>
        <v>25</v>
      </c>
      <c r="AK241" s="34" t="n">
        <v>40</v>
      </c>
      <c r="AL241" s="43" t="n">
        <v>10</v>
      </c>
      <c r="AM241" s="38" t="n">
        <f aca="false">AVERAGEA(AL241,AN241)</f>
        <v>25</v>
      </c>
      <c r="AN241" s="43" t="n">
        <v>40</v>
      </c>
      <c r="AO241" s="34" t="n">
        <v>0.5</v>
      </c>
      <c r="AP241" s="39" t="n">
        <f aca="false">AVERAGEA(AO241,AQ241)</f>
        <v>2.25</v>
      </c>
      <c r="AQ241" s="34" t="n">
        <v>4</v>
      </c>
      <c r="AR241" s="36" t="n">
        <v>0.2</v>
      </c>
      <c r="AS241" s="38" t="n">
        <f aca="false">AVERAGEA(AR241,AT241)</f>
        <v>1.1</v>
      </c>
      <c r="AT241" s="36" t="n">
        <v>2</v>
      </c>
      <c r="AU241" s="34" t="s">
        <v>55</v>
      </c>
      <c r="AV241" s="39"/>
      <c r="AW241" s="34" t="s">
        <v>55</v>
      </c>
      <c r="AX241" s="43" t="s">
        <v>55</v>
      </c>
      <c r="AY241" s="38"/>
      <c r="AZ241" s="43" t="s">
        <v>55</v>
      </c>
      <c r="BA241" s="34" t="s">
        <v>55</v>
      </c>
      <c r="BB241" s="39"/>
      <c r="BC241" s="34" t="s">
        <v>55</v>
      </c>
      <c r="BD241" s="36" t="n">
        <v>30</v>
      </c>
      <c r="BE241" s="38" t="n">
        <f aca="false">AVERAGEA(BD241,BF241)</f>
        <v>30</v>
      </c>
      <c r="BF241" s="36" t="n">
        <v>30</v>
      </c>
      <c r="BG241" s="34" t="n">
        <v>60</v>
      </c>
      <c r="BH241" s="39" t="n">
        <f aca="false">AVERAGEA(BG241,BI241)</f>
        <v>60</v>
      </c>
      <c r="BI241" s="34" t="n">
        <v>60</v>
      </c>
      <c r="BJ241" s="36" t="n">
        <v>120</v>
      </c>
      <c r="BK241" s="38" t="n">
        <f aca="false">AVERAGEA(BJ241,BL241)</f>
        <v>120</v>
      </c>
      <c r="BL241" s="36" t="n">
        <v>120</v>
      </c>
      <c r="BM241" s="34" t="n">
        <v>2</v>
      </c>
      <c r="BN241" s="39" t="n">
        <f aca="false">AVERAGEA(BM241,BO241)</f>
        <v>6</v>
      </c>
      <c r="BO241" s="34" t="n">
        <v>10</v>
      </c>
      <c r="BP241" s="36" t="n">
        <v>5</v>
      </c>
      <c r="BQ241" s="38" t="n">
        <f aca="false">AVERAGEA(BP241,BR241)</f>
        <v>5</v>
      </c>
      <c r="BR241" s="36" t="n">
        <v>5</v>
      </c>
      <c r="BS241" s="34" t="n">
        <v>0.166666667</v>
      </c>
      <c r="BT241" s="39" t="n">
        <f aca="false">AVERAGEA(BS241,BU241)</f>
        <v>0.166666667</v>
      </c>
      <c r="BU241" s="34" t="n">
        <v>0.166666667</v>
      </c>
      <c r="BV241" s="36" t="n">
        <v>0.333333333</v>
      </c>
      <c r="BW241" s="38" t="n">
        <f aca="false">AVERAGEA(BV241,BX241)</f>
        <v>0.333333333</v>
      </c>
      <c r="BX241" s="36" t="n">
        <v>0.333333333</v>
      </c>
      <c r="BY241" s="34" t="n">
        <v>3</v>
      </c>
      <c r="BZ241" s="39" t="n">
        <f aca="false">AVERAGEA(BY241,CA241)</f>
        <v>7.5</v>
      </c>
      <c r="CA241" s="34" t="n">
        <v>12</v>
      </c>
      <c r="CB241" s="36" t="n">
        <v>40</v>
      </c>
      <c r="CC241" s="38" t="n">
        <f aca="false">AVERAGEA(CB241,CD241)</f>
        <v>44</v>
      </c>
      <c r="CD241" s="36" t="n">
        <v>48</v>
      </c>
      <c r="CE241" s="34" t="n">
        <v>0</v>
      </c>
      <c r="CF241" s="39" t="n">
        <f aca="false">AVERAGEA(CE241,CG241)</f>
        <v>0</v>
      </c>
      <c r="CG241" s="34" t="n">
        <v>0</v>
      </c>
    </row>
    <row r="242" s="18" customFormat="true" ht="27.1" hidden="false" customHeight="false" outlineLevel="0" collapsed="false">
      <c r="B242" s="150"/>
      <c r="C242" s="157" t="s">
        <v>235</v>
      </c>
      <c r="D242" s="157" t="s">
        <v>71</v>
      </c>
      <c r="E242" s="153"/>
      <c r="F242" s="157" t="s">
        <v>218</v>
      </c>
      <c r="G242" s="155"/>
      <c r="H242" s="36" t="s">
        <v>55</v>
      </c>
      <c r="I242" s="37"/>
      <c r="J242" s="36" t="s">
        <v>55</v>
      </c>
      <c r="K242" s="34"/>
      <c r="L242" s="39" t="e">
        <f aca="false">AVERAGEA(K242,M242)</f>
        <v>#DIV/0!</v>
      </c>
      <c r="M242" s="34"/>
      <c r="N242" s="36" t="s">
        <v>55</v>
      </c>
      <c r="O242" s="37"/>
      <c r="P242" s="36" t="s">
        <v>55</v>
      </c>
      <c r="Q242" s="34" t="n">
        <v>15</v>
      </c>
      <c r="R242" s="39" t="n">
        <f aca="false">AVERAGEA(Q242,S242)</f>
        <v>22.5</v>
      </c>
      <c r="S242" s="34" t="n">
        <v>30</v>
      </c>
      <c r="T242" s="36" t="n">
        <v>60</v>
      </c>
      <c r="U242" s="38" t="n">
        <f aca="false">AVERAGEA(V242, T242)</f>
        <v>70</v>
      </c>
      <c r="V242" s="36" t="n">
        <v>80</v>
      </c>
      <c r="W242" s="34" t="n">
        <v>60</v>
      </c>
      <c r="X242" s="39" t="n">
        <f aca="false">AVERAGEA(W242,Y242)</f>
        <v>70</v>
      </c>
      <c r="Y242" s="34" t="n">
        <v>80</v>
      </c>
      <c r="Z242" s="36" t="s">
        <v>55</v>
      </c>
      <c r="AA242" s="36"/>
      <c r="AB242" s="36" t="s">
        <v>55</v>
      </c>
      <c r="AC242" s="34" t="s">
        <v>55</v>
      </c>
      <c r="AD242" s="35"/>
      <c r="AE242" s="34" t="s">
        <v>55</v>
      </c>
      <c r="AF242" s="43" t="n">
        <v>10</v>
      </c>
      <c r="AG242" s="37" t="n">
        <f aca="false">AVERAGEA(AF242,AH242)</f>
        <v>20</v>
      </c>
      <c r="AH242" s="43" t="n">
        <v>30</v>
      </c>
      <c r="AI242" s="34" t="n">
        <v>20</v>
      </c>
      <c r="AJ242" s="39" t="n">
        <f aca="false">AVERAGEA(AI242,AK242)</f>
        <v>60</v>
      </c>
      <c r="AK242" s="34" t="n">
        <v>100</v>
      </c>
      <c r="AL242" s="43" t="n">
        <v>20</v>
      </c>
      <c r="AM242" s="38" t="n">
        <f aca="false">AVERAGEA(AL242,AN242)</f>
        <v>60</v>
      </c>
      <c r="AN242" s="43" t="n">
        <v>100</v>
      </c>
      <c r="AO242" s="34" t="n">
        <v>0.5</v>
      </c>
      <c r="AP242" s="39" t="n">
        <f aca="false">AVERAGEA(AO242,AQ242)</f>
        <v>2.25</v>
      </c>
      <c r="AQ242" s="34" t="n">
        <v>4</v>
      </c>
      <c r="AR242" s="36" t="n">
        <v>0</v>
      </c>
      <c r="AS242" s="38" t="n">
        <f aca="false">AVERAGEA(AR242,AT242)</f>
        <v>1</v>
      </c>
      <c r="AT242" s="36" t="n">
        <v>2</v>
      </c>
      <c r="AU242" s="34" t="s">
        <v>55</v>
      </c>
      <c r="AV242" s="34"/>
      <c r="AW242" s="34" t="s">
        <v>55</v>
      </c>
      <c r="AX242" s="43" t="s">
        <v>55</v>
      </c>
      <c r="AY242" s="37"/>
      <c r="AZ242" s="43" t="s">
        <v>55</v>
      </c>
      <c r="BA242" s="34" t="s">
        <v>55</v>
      </c>
      <c r="BB242" s="34"/>
      <c r="BC242" s="34" t="s">
        <v>55</v>
      </c>
      <c r="BD242" s="36" t="n">
        <v>10</v>
      </c>
      <c r="BE242" s="38" t="n">
        <f aca="false">AVERAGEA(BD242,BF242)</f>
        <v>10</v>
      </c>
      <c r="BF242" s="36" t="n">
        <v>10</v>
      </c>
      <c r="BG242" s="34" t="n">
        <v>20</v>
      </c>
      <c r="BH242" s="39" t="n">
        <f aca="false">AVERAGEA(BG242,BI242)</f>
        <v>20</v>
      </c>
      <c r="BI242" s="34" t="n">
        <v>20</v>
      </c>
      <c r="BJ242" s="36" t="n">
        <v>40</v>
      </c>
      <c r="BK242" s="38" t="n">
        <f aca="false">AVERAGEA(BJ242,BL242)</f>
        <v>40</v>
      </c>
      <c r="BL242" s="36" t="n">
        <v>40</v>
      </c>
      <c r="BM242" s="34" t="n">
        <v>1</v>
      </c>
      <c r="BN242" s="39" t="n">
        <f aca="false">AVERAGEA(BM242,BO242)</f>
        <v>3.5</v>
      </c>
      <c r="BO242" s="34" t="n">
        <v>6</v>
      </c>
      <c r="BP242" s="36" t="n">
        <v>1</v>
      </c>
      <c r="BQ242" s="38" t="n">
        <f aca="false">AVERAGEA(BP242,BR242)</f>
        <v>1</v>
      </c>
      <c r="BR242" s="36" t="n">
        <v>1</v>
      </c>
      <c r="BS242" s="34" t="n">
        <v>0.083333333</v>
      </c>
      <c r="BT242" s="39" t="n">
        <f aca="false">AVERAGEA(BS242,BU242)</f>
        <v>0.083333333</v>
      </c>
      <c r="BU242" s="34" t="n">
        <v>0.083333333</v>
      </c>
      <c r="BV242" s="36" t="n">
        <v>0.25</v>
      </c>
      <c r="BW242" s="38" t="n">
        <f aca="false">AVERAGEA(BV242,BX242)</f>
        <v>0.25</v>
      </c>
      <c r="BX242" s="36" t="n">
        <v>0.25</v>
      </c>
      <c r="BY242" s="34" t="n">
        <v>2</v>
      </c>
      <c r="BZ242" s="39" t="n">
        <f aca="false">AVERAGEA(BY242,CA242)</f>
        <v>6</v>
      </c>
      <c r="CA242" s="34" t="n">
        <v>10</v>
      </c>
      <c r="CB242" s="36" t="n">
        <v>50</v>
      </c>
      <c r="CC242" s="38" t="n">
        <f aca="false">AVERAGEA(CB242,CD242)</f>
        <v>55</v>
      </c>
      <c r="CD242" s="36" t="n">
        <v>60</v>
      </c>
      <c r="CE242" s="34" t="n">
        <v>0</v>
      </c>
      <c r="CF242" s="39" t="n">
        <f aca="false">AVERAGEA(CE242,CG242)</f>
        <v>0</v>
      </c>
      <c r="CG242" s="34" t="n">
        <v>0</v>
      </c>
    </row>
    <row r="243" s="18" customFormat="true" ht="27.1" hidden="false" customHeight="false" outlineLevel="0" collapsed="false">
      <c r="B243" s="150"/>
      <c r="C243" s="157" t="s">
        <v>236</v>
      </c>
      <c r="D243" s="157" t="s">
        <v>71</v>
      </c>
      <c r="E243" s="153"/>
      <c r="F243" s="157" t="s">
        <v>216</v>
      </c>
      <c r="G243" s="155"/>
      <c r="H243" s="36" t="s">
        <v>55</v>
      </c>
      <c r="I243" s="37"/>
      <c r="J243" s="36" t="s">
        <v>55</v>
      </c>
      <c r="K243" s="34"/>
      <c r="L243" s="39" t="e">
        <f aca="false">AVERAGEA(K243,M243)</f>
        <v>#DIV/0!</v>
      </c>
      <c r="M243" s="34"/>
      <c r="N243" s="36" t="s">
        <v>55</v>
      </c>
      <c r="O243" s="37"/>
      <c r="P243" s="36" t="s">
        <v>55</v>
      </c>
      <c r="Q243" s="34" t="n">
        <v>20</v>
      </c>
      <c r="R243" s="39" t="n">
        <f aca="false">AVERAGEA(Q243,S243)</f>
        <v>27.5</v>
      </c>
      <c r="S243" s="34" t="n">
        <v>35</v>
      </c>
      <c r="T243" s="36" t="n">
        <v>60</v>
      </c>
      <c r="U243" s="38" t="n">
        <f aca="false">AVERAGEA(V243, T243)</f>
        <v>65</v>
      </c>
      <c r="V243" s="36" t="n">
        <v>70</v>
      </c>
      <c r="W243" s="34" t="n">
        <v>80</v>
      </c>
      <c r="X243" s="39" t="n">
        <f aca="false">AVERAGEA(W243,Y243)</f>
        <v>92.5</v>
      </c>
      <c r="Y243" s="34" t="n">
        <v>105</v>
      </c>
      <c r="Z243" s="36" t="s">
        <v>55</v>
      </c>
      <c r="AA243" s="36"/>
      <c r="AB243" s="36" t="s">
        <v>55</v>
      </c>
      <c r="AC243" s="34" t="s">
        <v>55</v>
      </c>
      <c r="AD243" s="35"/>
      <c r="AE243" s="34" t="s">
        <v>55</v>
      </c>
      <c r="AF243" s="43" t="n">
        <v>20</v>
      </c>
      <c r="AG243" s="37" t="n">
        <f aca="false">AVERAGEA(AF243,AH243)</f>
        <v>30</v>
      </c>
      <c r="AH243" s="43" t="n">
        <v>40</v>
      </c>
      <c r="AI243" s="34" t="n">
        <v>5</v>
      </c>
      <c r="AJ243" s="39" t="n">
        <f aca="false">AVERAGEA(AI243,AK243)</f>
        <v>17.5</v>
      </c>
      <c r="AK243" s="34" t="n">
        <v>30</v>
      </c>
      <c r="AL243" s="43" t="n">
        <v>5</v>
      </c>
      <c r="AM243" s="38" t="n">
        <f aca="false">AVERAGEA(AL243,AN243)</f>
        <v>17.5</v>
      </c>
      <c r="AN243" s="43" t="n">
        <v>30</v>
      </c>
      <c r="AO243" s="34" t="n">
        <v>2</v>
      </c>
      <c r="AP243" s="39" t="n">
        <f aca="false">AVERAGEA(AO243,AQ243)</f>
        <v>7</v>
      </c>
      <c r="AQ243" s="34" t="n">
        <v>12</v>
      </c>
      <c r="AR243" s="36" t="n">
        <v>1</v>
      </c>
      <c r="AS243" s="38" t="n">
        <f aca="false">AVERAGEA(AR243,AT243)</f>
        <v>4.5</v>
      </c>
      <c r="AT243" s="36" t="n">
        <v>8</v>
      </c>
      <c r="AU243" s="34" t="s">
        <v>55</v>
      </c>
      <c r="AV243" s="34"/>
      <c r="AW243" s="34" t="s">
        <v>55</v>
      </c>
      <c r="AX243" s="43" t="s">
        <v>55</v>
      </c>
      <c r="AY243" s="37"/>
      <c r="AZ243" s="43" t="s">
        <v>55</v>
      </c>
      <c r="BA243" s="34" t="s">
        <v>55</v>
      </c>
      <c r="BB243" s="34"/>
      <c r="BC243" s="34" t="s">
        <v>55</v>
      </c>
      <c r="BD243" s="36" t="n">
        <v>50</v>
      </c>
      <c r="BE243" s="38" t="n">
        <f aca="false">AVERAGEA(BD243,BF243)</f>
        <v>50</v>
      </c>
      <c r="BF243" s="36" t="n">
        <v>50</v>
      </c>
      <c r="BG243" s="34" t="n">
        <v>100</v>
      </c>
      <c r="BH243" s="39" t="n">
        <f aca="false">AVERAGEA(BG243,BI243)</f>
        <v>100</v>
      </c>
      <c r="BI243" s="34" t="n">
        <v>100</v>
      </c>
      <c r="BJ243" s="36" t="n">
        <v>200</v>
      </c>
      <c r="BK243" s="38" t="n">
        <f aca="false">AVERAGEA(BJ243,BL243)</f>
        <v>200</v>
      </c>
      <c r="BL243" s="36" t="n">
        <v>200</v>
      </c>
      <c r="BM243" s="34" t="n">
        <v>3</v>
      </c>
      <c r="BN243" s="39" t="n">
        <f aca="false">AVERAGEA(BM243,BO243)</f>
        <v>9</v>
      </c>
      <c r="BO243" s="34" t="n">
        <v>15</v>
      </c>
      <c r="BP243" s="36" t="n">
        <v>30</v>
      </c>
      <c r="BQ243" s="38" t="n">
        <f aca="false">AVERAGEA(BP243,BR243)</f>
        <v>30</v>
      </c>
      <c r="BR243" s="36" t="n">
        <v>30</v>
      </c>
      <c r="BS243" s="34" t="n">
        <v>1</v>
      </c>
      <c r="BT243" s="39" t="n">
        <f aca="false">AVERAGEA(BS243,BU243)</f>
        <v>1</v>
      </c>
      <c r="BU243" s="34" t="n">
        <v>1</v>
      </c>
      <c r="BV243" s="36" t="n">
        <v>2</v>
      </c>
      <c r="BW243" s="38" t="n">
        <f aca="false">AVERAGEA(BV243,BX243)</f>
        <v>2</v>
      </c>
      <c r="BX243" s="36" t="n">
        <v>2</v>
      </c>
      <c r="BY243" s="34" t="n">
        <v>5</v>
      </c>
      <c r="BZ243" s="39" t="n">
        <f aca="false">AVERAGEA(BY243,CA243)</f>
        <v>12.5</v>
      </c>
      <c r="CA243" s="34" t="n">
        <v>20</v>
      </c>
      <c r="CB243" s="36" t="n">
        <v>55</v>
      </c>
      <c r="CC243" s="38" t="n">
        <f aca="false">AVERAGEA(CB243,CD243)</f>
        <v>57.5</v>
      </c>
      <c r="CD243" s="36" t="n">
        <v>60</v>
      </c>
      <c r="CE243" s="34" t="n">
        <v>0</v>
      </c>
      <c r="CF243" s="39" t="n">
        <v>0</v>
      </c>
      <c r="CG243" s="34" t="n">
        <v>0</v>
      </c>
    </row>
    <row r="244" s="18" customFormat="true" ht="27.1" hidden="false" customHeight="false" outlineLevel="0" collapsed="false">
      <c r="B244" s="150"/>
      <c r="C244" s="157" t="s">
        <v>237</v>
      </c>
      <c r="D244" s="157" t="s">
        <v>73</v>
      </c>
      <c r="E244" s="153"/>
      <c r="F244" s="157" t="s">
        <v>221</v>
      </c>
      <c r="G244" s="155"/>
      <c r="H244" s="36" t="s">
        <v>55</v>
      </c>
      <c r="I244" s="37"/>
      <c r="J244" s="36" t="s">
        <v>55</v>
      </c>
      <c r="K244" s="34"/>
      <c r="L244" s="39" t="e">
        <f aca="false">AVERAGEA(K244,M244)</f>
        <v>#DIV/0!</v>
      </c>
      <c r="M244" s="34"/>
      <c r="N244" s="36" t="s">
        <v>55</v>
      </c>
      <c r="O244" s="37"/>
      <c r="P244" s="36" t="s">
        <v>55</v>
      </c>
      <c r="Q244" s="34" t="n">
        <v>15</v>
      </c>
      <c r="R244" s="39" t="n">
        <f aca="false">AVERAGEA(Q244,S244)</f>
        <v>22.5</v>
      </c>
      <c r="S244" s="34" t="n">
        <v>30</v>
      </c>
      <c r="T244" s="36" t="n">
        <v>75</v>
      </c>
      <c r="U244" s="38" t="n">
        <f aca="false">AVERAGEA(V244, T244)</f>
        <v>85</v>
      </c>
      <c r="V244" s="36" t="n">
        <v>95</v>
      </c>
      <c r="W244" s="34" t="n">
        <v>90</v>
      </c>
      <c r="X244" s="39" t="n">
        <f aca="false">AVERAGEA(W244,Y244)</f>
        <v>107.5</v>
      </c>
      <c r="Y244" s="34" t="n">
        <v>125</v>
      </c>
      <c r="Z244" s="36" t="s">
        <v>55</v>
      </c>
      <c r="AA244" s="36"/>
      <c r="AB244" s="36" t="s">
        <v>55</v>
      </c>
      <c r="AC244" s="34" t="s">
        <v>55</v>
      </c>
      <c r="AD244" s="35"/>
      <c r="AE244" s="34" t="s">
        <v>55</v>
      </c>
      <c r="AF244" s="43" t="n">
        <v>30</v>
      </c>
      <c r="AG244" s="37" t="n">
        <f aca="false">AVERAGEA(AF244,AH244)</f>
        <v>40</v>
      </c>
      <c r="AH244" s="43" t="n">
        <v>50</v>
      </c>
      <c r="AI244" s="34" t="n">
        <v>2</v>
      </c>
      <c r="AJ244" s="39" t="n">
        <f aca="false">AVERAGEA(AI244,AK244)</f>
        <v>6</v>
      </c>
      <c r="AK244" s="34" t="n">
        <v>10</v>
      </c>
      <c r="AL244" s="43" t="n">
        <v>2</v>
      </c>
      <c r="AM244" s="38" t="n">
        <f aca="false">AVERAGEA(AL244,AN244)</f>
        <v>6</v>
      </c>
      <c r="AN244" s="43" t="n">
        <v>10</v>
      </c>
      <c r="AO244" s="34" t="n">
        <v>4</v>
      </c>
      <c r="AP244" s="39" t="n">
        <f aca="false">AVERAGEA(AO244,AQ244)</f>
        <v>14</v>
      </c>
      <c r="AQ244" s="34" t="n">
        <v>24</v>
      </c>
      <c r="AR244" s="36" t="n">
        <v>2</v>
      </c>
      <c r="AS244" s="38" t="n">
        <f aca="false">AVERAGEA(AR244,AT244)</f>
        <v>7</v>
      </c>
      <c r="AT244" s="36" t="n">
        <v>12</v>
      </c>
      <c r="AU244" s="34" t="s">
        <v>55</v>
      </c>
      <c r="AV244" s="34"/>
      <c r="AW244" s="34" t="s">
        <v>55</v>
      </c>
      <c r="AX244" s="43" t="s">
        <v>55</v>
      </c>
      <c r="AY244" s="37"/>
      <c r="AZ244" s="43" t="s">
        <v>55</v>
      </c>
      <c r="BA244" s="34" t="s">
        <v>55</v>
      </c>
      <c r="BB244" s="34"/>
      <c r="BC244" s="34" t="s">
        <v>55</v>
      </c>
      <c r="BD244" s="36" t="n">
        <v>200</v>
      </c>
      <c r="BE244" s="38" t="n">
        <f aca="false">AVERAGEA(BD244,BF244)</f>
        <v>200</v>
      </c>
      <c r="BF244" s="36" t="n">
        <v>200</v>
      </c>
      <c r="BG244" s="34" t="n">
        <v>400</v>
      </c>
      <c r="BH244" s="39" t="n">
        <f aca="false">AVERAGEA(BG244,BI244)</f>
        <v>400</v>
      </c>
      <c r="BI244" s="34" t="n">
        <v>400</v>
      </c>
      <c r="BJ244" s="36" t="n">
        <v>800</v>
      </c>
      <c r="BK244" s="38" t="n">
        <f aca="false">AVERAGEA(BJ244,BL244)</f>
        <v>800</v>
      </c>
      <c r="BL244" s="36" t="n">
        <v>800</v>
      </c>
      <c r="BM244" s="34" t="n">
        <v>5</v>
      </c>
      <c r="BN244" s="39" t="n">
        <f aca="false">AVERAGEA(BM244,BO244)</f>
        <v>15</v>
      </c>
      <c r="BO244" s="34" t="n">
        <v>25</v>
      </c>
      <c r="BP244" s="36" t="n">
        <v>60</v>
      </c>
      <c r="BQ244" s="38" t="n">
        <f aca="false">AVERAGEA(BP244,BR244)</f>
        <v>60</v>
      </c>
      <c r="BR244" s="36" t="n">
        <v>60</v>
      </c>
      <c r="BS244" s="34" t="n">
        <v>2</v>
      </c>
      <c r="BT244" s="39" t="n">
        <f aca="false">AVERAGEA(BS244,BU244)</f>
        <v>2</v>
      </c>
      <c r="BU244" s="34" t="n">
        <v>2</v>
      </c>
      <c r="BV244" s="36" t="n">
        <v>4</v>
      </c>
      <c r="BW244" s="38" t="n">
        <f aca="false">AVERAGEA(BV244,BX244)</f>
        <v>4</v>
      </c>
      <c r="BX244" s="36" t="n">
        <v>4</v>
      </c>
      <c r="BY244" s="34" t="n">
        <v>10</v>
      </c>
      <c r="BZ244" s="39" t="n">
        <f aca="false">AVERAGEA(BY244,CA244)</f>
        <v>25</v>
      </c>
      <c r="CA244" s="34" t="n">
        <v>40</v>
      </c>
      <c r="CB244" s="36" t="n">
        <v>65</v>
      </c>
      <c r="CC244" s="38" t="n">
        <f aca="false">AVERAGEA(CB244,CD244)</f>
        <v>70</v>
      </c>
      <c r="CD244" s="36" t="n">
        <v>75</v>
      </c>
      <c r="CE244" s="34" t="n">
        <v>0</v>
      </c>
      <c r="CF244" s="39" t="n">
        <v>0</v>
      </c>
      <c r="CG244" s="34" t="n">
        <v>0</v>
      </c>
    </row>
    <row r="245" s="18" customFormat="true" ht="27.1" hidden="false" customHeight="false" outlineLevel="0" collapsed="false">
      <c r="B245" s="150"/>
      <c r="C245" s="157" t="s">
        <v>238</v>
      </c>
      <c r="D245" s="157" t="s">
        <v>71</v>
      </c>
      <c r="E245" s="153"/>
      <c r="F245" s="157" t="s">
        <v>223</v>
      </c>
      <c r="G245" s="155"/>
      <c r="H245" s="36" t="s">
        <v>55</v>
      </c>
      <c r="I245" s="37"/>
      <c r="J245" s="36" t="s">
        <v>55</v>
      </c>
      <c r="K245" s="34"/>
      <c r="L245" s="39" t="e">
        <f aca="false">AVERAGEA(K245,M245)</f>
        <v>#DIV/0!</v>
      </c>
      <c r="M245" s="34"/>
      <c r="N245" s="36" t="s">
        <v>55</v>
      </c>
      <c r="O245" s="37"/>
      <c r="P245" s="36" t="s">
        <v>55</v>
      </c>
      <c r="Q245" s="34" t="n">
        <v>35</v>
      </c>
      <c r="R245" s="39" t="n">
        <f aca="false">AVERAGEA(Q245,S245)</f>
        <v>40</v>
      </c>
      <c r="S245" s="34" t="n">
        <v>45</v>
      </c>
      <c r="T245" s="36" t="n">
        <v>45</v>
      </c>
      <c r="U245" s="38" t="n">
        <f aca="false">AVERAGEA(V245, T245)</f>
        <v>50</v>
      </c>
      <c r="V245" s="36" t="n">
        <v>55</v>
      </c>
      <c r="W245" s="34" t="n">
        <v>80</v>
      </c>
      <c r="X245" s="39" t="n">
        <f aca="false">AVERAGEA(W245,Y245)</f>
        <v>90</v>
      </c>
      <c r="Y245" s="34" t="n">
        <v>100</v>
      </c>
      <c r="Z245" s="36" t="s">
        <v>55</v>
      </c>
      <c r="AA245" s="36"/>
      <c r="AB245" s="36" t="s">
        <v>55</v>
      </c>
      <c r="AC245" s="34" t="s">
        <v>55</v>
      </c>
      <c r="AD245" s="35"/>
      <c r="AE245" s="34" t="s">
        <v>55</v>
      </c>
      <c r="AF245" s="43" t="n">
        <v>10</v>
      </c>
      <c r="AG245" s="37" t="n">
        <f aca="false">AVERAGEA(AF245,AH245)</f>
        <v>20</v>
      </c>
      <c r="AH245" s="43" t="n">
        <v>30</v>
      </c>
      <c r="AI245" s="34" t="n">
        <v>20</v>
      </c>
      <c r="AJ245" s="39" t="n">
        <f aca="false">AVERAGEA(AI245,AK245)</f>
        <v>60</v>
      </c>
      <c r="AK245" s="34" t="n">
        <v>100</v>
      </c>
      <c r="AL245" s="43" t="n">
        <v>20</v>
      </c>
      <c r="AM245" s="38" t="n">
        <f aca="false">AVERAGEA(AL245,AN245)</f>
        <v>60</v>
      </c>
      <c r="AN245" s="43" t="n">
        <v>100</v>
      </c>
      <c r="AO245" s="34" t="n">
        <v>0.5</v>
      </c>
      <c r="AP245" s="39" t="n">
        <f aca="false">AVERAGEA(AO245,AQ245)</f>
        <v>0.5</v>
      </c>
      <c r="AQ245" s="34" t="n">
        <v>0.5</v>
      </c>
      <c r="AR245" s="36" t="n">
        <v>0.1</v>
      </c>
      <c r="AS245" s="38" t="n">
        <f aca="false">AVERAGEA(AR245,AT245)</f>
        <v>1.05</v>
      </c>
      <c r="AT245" s="36" t="n">
        <v>2</v>
      </c>
      <c r="AU245" s="34" t="s">
        <v>55</v>
      </c>
      <c r="AV245" s="34"/>
      <c r="AW245" s="34" t="s">
        <v>55</v>
      </c>
      <c r="AX245" s="43" t="s">
        <v>55</v>
      </c>
      <c r="AY245" s="37"/>
      <c r="AZ245" s="43" t="s">
        <v>55</v>
      </c>
      <c r="BA245" s="34" t="s">
        <v>55</v>
      </c>
      <c r="BB245" s="34"/>
      <c r="BC245" s="34" t="s">
        <v>55</v>
      </c>
      <c r="BD245" s="36" t="n">
        <v>15</v>
      </c>
      <c r="BE245" s="38" t="n">
        <f aca="false">AVERAGEA(BD245,BF245)</f>
        <v>15</v>
      </c>
      <c r="BF245" s="36" t="n">
        <v>15</v>
      </c>
      <c r="BG245" s="34" t="n">
        <v>30</v>
      </c>
      <c r="BH245" s="39" t="n">
        <f aca="false">AVERAGEA(BG245,BI245)</f>
        <v>30</v>
      </c>
      <c r="BI245" s="34" t="n">
        <v>30</v>
      </c>
      <c r="BJ245" s="36" t="n">
        <v>60</v>
      </c>
      <c r="BK245" s="36" t="n">
        <v>60</v>
      </c>
      <c r="BL245" s="36" t="n">
        <v>60</v>
      </c>
      <c r="BM245" s="34" t="n">
        <v>2</v>
      </c>
      <c r="BN245" s="39" t="n">
        <f aca="false">AVERAGEA(BM245,BO245)</f>
        <v>6</v>
      </c>
      <c r="BO245" s="34" t="n">
        <v>10</v>
      </c>
      <c r="BP245" s="36" t="n">
        <v>2</v>
      </c>
      <c r="BQ245" s="38" t="n">
        <v>2</v>
      </c>
      <c r="BR245" s="36" t="n">
        <v>2</v>
      </c>
      <c r="BS245" s="34" t="n">
        <v>0.083333333</v>
      </c>
      <c r="BT245" s="39" t="n">
        <f aca="false">AVERAGEA(BS245,BU245)</f>
        <v>0.083333333</v>
      </c>
      <c r="BU245" s="34" t="n">
        <v>0.083333333</v>
      </c>
      <c r="BV245" s="36" t="n">
        <v>0.25</v>
      </c>
      <c r="BW245" s="38" t="n">
        <f aca="false">AVERAGEA(BV245,BX245)</f>
        <v>0.25</v>
      </c>
      <c r="BX245" s="36" t="n">
        <v>0.25</v>
      </c>
      <c r="BY245" s="34" t="n">
        <v>3</v>
      </c>
      <c r="BZ245" s="39" t="n">
        <f aca="false">AVERAGEA(BY245,CA245)</f>
        <v>7.5</v>
      </c>
      <c r="CA245" s="34" t="n">
        <v>12</v>
      </c>
      <c r="CB245" s="36" t="n">
        <v>40</v>
      </c>
      <c r="CC245" s="38" t="n">
        <f aca="false">AVERAGEA(CB245,CD245)</f>
        <v>44</v>
      </c>
      <c r="CD245" s="36" t="n">
        <v>48</v>
      </c>
      <c r="CE245" s="34" t="n">
        <v>0</v>
      </c>
      <c r="CF245" s="39" t="n">
        <v>0</v>
      </c>
      <c r="CG245" s="34" t="n">
        <v>0</v>
      </c>
    </row>
    <row r="246" s="18" customFormat="true" ht="27.1" hidden="false" customHeight="false" outlineLevel="0" collapsed="false">
      <c r="B246" s="150"/>
      <c r="C246" s="157" t="s">
        <v>239</v>
      </c>
      <c r="D246" s="157" t="s">
        <v>73</v>
      </c>
      <c r="E246" s="153"/>
      <c r="F246" s="157" t="s">
        <v>225</v>
      </c>
      <c r="G246" s="155"/>
      <c r="H246" s="36" t="s">
        <v>55</v>
      </c>
      <c r="I246" s="37"/>
      <c r="J246" s="36" t="s">
        <v>55</v>
      </c>
      <c r="K246" s="34"/>
      <c r="L246" s="39" t="e">
        <f aca="false">AVERAGEA(K246,M246)</f>
        <v>#DIV/0!</v>
      </c>
      <c r="M246" s="34"/>
      <c r="N246" s="36" t="s">
        <v>55</v>
      </c>
      <c r="O246" s="37"/>
      <c r="P246" s="36" t="s">
        <v>55</v>
      </c>
      <c r="Q246" s="34" t="n">
        <v>25</v>
      </c>
      <c r="R246" s="39" t="n">
        <f aca="false">AVERAGEA(Q246,S246)</f>
        <v>30</v>
      </c>
      <c r="S246" s="34" t="n">
        <v>35</v>
      </c>
      <c r="T246" s="36" t="n">
        <v>55</v>
      </c>
      <c r="U246" s="38" t="n">
        <f aca="false">AVERAGEA(V246, T246)</f>
        <v>60</v>
      </c>
      <c r="V246" s="36" t="n">
        <v>65</v>
      </c>
      <c r="W246" s="34" t="n">
        <v>80</v>
      </c>
      <c r="X246" s="39" t="n">
        <f aca="false">AVERAGEA(W246,Y246)</f>
        <v>90</v>
      </c>
      <c r="Y246" s="34" t="n">
        <v>100</v>
      </c>
      <c r="Z246" s="36" t="s">
        <v>55</v>
      </c>
      <c r="AA246" s="36"/>
      <c r="AB246" s="36" t="s">
        <v>55</v>
      </c>
      <c r="AC246" s="34" t="s">
        <v>55</v>
      </c>
      <c r="AD246" s="35"/>
      <c r="AE246" s="34" t="s">
        <v>55</v>
      </c>
      <c r="AF246" s="43" t="n">
        <v>20</v>
      </c>
      <c r="AG246" s="37" t="n">
        <f aca="false">AVERAGEA(AF246,AH246)</f>
        <v>30</v>
      </c>
      <c r="AH246" s="43" t="n">
        <v>40</v>
      </c>
      <c r="AI246" s="34" t="n">
        <v>5</v>
      </c>
      <c r="AJ246" s="39" t="n">
        <f aca="false">AVERAGEA(AI246,AK246)</f>
        <v>7.5</v>
      </c>
      <c r="AK246" s="34" t="n">
        <v>10</v>
      </c>
      <c r="AL246" s="43" t="n">
        <v>5</v>
      </c>
      <c r="AM246" s="38" t="n">
        <f aca="false">AVERAGEA(AL246,AN246)</f>
        <v>7.5</v>
      </c>
      <c r="AN246" s="43" t="n">
        <v>10</v>
      </c>
      <c r="AO246" s="34" t="n">
        <v>4</v>
      </c>
      <c r="AP246" s="39" t="n">
        <f aca="false">AVERAGEA(AO246,AQ246)</f>
        <v>14</v>
      </c>
      <c r="AQ246" s="34" t="n">
        <v>24</v>
      </c>
      <c r="AR246" s="36" t="n">
        <v>2</v>
      </c>
      <c r="AS246" s="38" t="n">
        <f aca="false">AVERAGEA(AR246,AT246)</f>
        <v>7</v>
      </c>
      <c r="AT246" s="36" t="n">
        <v>12</v>
      </c>
      <c r="AU246" s="34" t="s">
        <v>55</v>
      </c>
      <c r="AV246" s="34"/>
      <c r="AW246" s="34" t="s">
        <v>55</v>
      </c>
      <c r="AX246" s="43" t="s">
        <v>55</v>
      </c>
      <c r="AY246" s="37"/>
      <c r="AZ246" s="43" t="s">
        <v>55</v>
      </c>
      <c r="BA246" s="34" t="s">
        <v>55</v>
      </c>
      <c r="BB246" s="34"/>
      <c r="BC246" s="34" t="s">
        <v>55</v>
      </c>
      <c r="BD246" s="36" t="n">
        <v>150</v>
      </c>
      <c r="BE246" s="38" t="n">
        <f aca="false">AVERAGEA(BD246,BF246)</f>
        <v>150</v>
      </c>
      <c r="BF246" s="36" t="n">
        <v>150</v>
      </c>
      <c r="BG246" s="34" t="n">
        <v>300</v>
      </c>
      <c r="BH246" s="39" t="n">
        <f aca="false">AVERAGEA(BG246,BI246)</f>
        <v>300</v>
      </c>
      <c r="BI246" s="34" t="n">
        <v>300</v>
      </c>
      <c r="BJ246" s="36" t="n">
        <v>600</v>
      </c>
      <c r="BK246" s="38" t="n">
        <f aca="false">AVERAGEA(BJ246,BL246)</f>
        <v>600</v>
      </c>
      <c r="BL246" s="36" t="n">
        <v>600</v>
      </c>
      <c r="BM246" s="34" t="n">
        <v>4</v>
      </c>
      <c r="BN246" s="39" t="n">
        <f aca="false">AVERAGEA(BM246,BO246)</f>
        <v>12</v>
      </c>
      <c r="BO246" s="34" t="n">
        <v>20</v>
      </c>
      <c r="BP246" s="36" t="n">
        <v>30</v>
      </c>
      <c r="BQ246" s="38" t="n">
        <v>2</v>
      </c>
      <c r="BR246" s="36" t="n">
        <v>30</v>
      </c>
      <c r="BS246" s="34" t="n">
        <v>1</v>
      </c>
      <c r="BT246" s="39" t="n">
        <f aca="false">AVERAGEA(BS246,BU246)</f>
        <v>1</v>
      </c>
      <c r="BU246" s="34" t="n">
        <v>1</v>
      </c>
      <c r="BV246" s="36" t="n">
        <v>2</v>
      </c>
      <c r="BW246" s="38" t="n">
        <f aca="false">AVERAGEA(BV246,BX246)</f>
        <v>2</v>
      </c>
      <c r="BX246" s="36" t="n">
        <v>2</v>
      </c>
      <c r="BY246" s="34" t="n">
        <v>8</v>
      </c>
      <c r="BZ246" s="39" t="n">
        <f aca="false">AVERAGEA(BY246,CA246)</f>
        <v>19</v>
      </c>
      <c r="CA246" s="34" t="n">
        <v>30</v>
      </c>
      <c r="CB246" s="36" t="n">
        <v>50</v>
      </c>
      <c r="CC246" s="38" t="n">
        <f aca="false">AVERAGEA(CB246,CD246)</f>
        <v>54</v>
      </c>
      <c r="CD246" s="36" t="n">
        <v>58</v>
      </c>
      <c r="CE246" s="34" t="n">
        <v>0</v>
      </c>
      <c r="CF246" s="39" t="n">
        <v>0</v>
      </c>
      <c r="CG246" s="34" t="n">
        <v>0</v>
      </c>
    </row>
    <row r="247" s="18" customFormat="true" ht="27.1" hidden="false" customHeight="false" outlineLevel="0" collapsed="false">
      <c r="B247" s="150"/>
      <c r="C247" s="157" t="s">
        <v>240</v>
      </c>
      <c r="D247" s="157" t="s">
        <v>73</v>
      </c>
      <c r="E247" s="153"/>
      <c r="F247" s="157" t="s">
        <v>227</v>
      </c>
      <c r="G247" s="155"/>
      <c r="H247" s="36" t="s">
        <v>55</v>
      </c>
      <c r="I247" s="37"/>
      <c r="J247" s="36" t="s">
        <v>55</v>
      </c>
      <c r="K247" s="34"/>
      <c r="L247" s="39" t="e">
        <f aca="false">AVERAGEA(K247,M247)</f>
        <v>#DIV/0!</v>
      </c>
      <c r="M247" s="34"/>
      <c r="N247" s="36" t="s">
        <v>55</v>
      </c>
      <c r="O247" s="37"/>
      <c r="P247" s="36" t="s">
        <v>55</v>
      </c>
      <c r="Q247" s="34" t="n">
        <v>30</v>
      </c>
      <c r="R247" s="39" t="n">
        <f aca="false">AVERAGEA(Q247,S247)</f>
        <v>35</v>
      </c>
      <c r="S247" s="34" t="n">
        <v>40</v>
      </c>
      <c r="T247" s="36" t="n">
        <v>50</v>
      </c>
      <c r="U247" s="38" t="n">
        <f aca="false">AVERAGEA(V247, T247)</f>
        <v>55</v>
      </c>
      <c r="V247" s="36" t="n">
        <v>60</v>
      </c>
      <c r="W247" s="34" t="n">
        <v>80</v>
      </c>
      <c r="X247" s="39" t="n">
        <f aca="false">AVERAGEA(W247,Y247)</f>
        <v>90</v>
      </c>
      <c r="Y247" s="34" t="n">
        <v>100</v>
      </c>
      <c r="Z247" s="36" t="s">
        <v>55</v>
      </c>
      <c r="AA247" s="36"/>
      <c r="AB247" s="36" t="s">
        <v>55</v>
      </c>
      <c r="AC247" s="34" t="s">
        <v>55</v>
      </c>
      <c r="AD247" s="35"/>
      <c r="AE247" s="34" t="s">
        <v>55</v>
      </c>
      <c r="AF247" s="43" t="n">
        <v>25</v>
      </c>
      <c r="AG247" s="37" t="n">
        <f aca="false">AVERAGEA(AF247,AH247)</f>
        <v>35</v>
      </c>
      <c r="AH247" s="43" t="n">
        <v>45</v>
      </c>
      <c r="AI247" s="34" t="n">
        <v>3</v>
      </c>
      <c r="AJ247" s="39" t="n">
        <f aca="false">AVERAGEA(AI247,AK247)</f>
        <v>6.5</v>
      </c>
      <c r="AK247" s="34" t="n">
        <v>10</v>
      </c>
      <c r="AL247" s="43" t="n">
        <v>3</v>
      </c>
      <c r="AM247" s="38" t="n">
        <f aca="false">AVERAGEA(AL247,AN247)</f>
        <v>6.5</v>
      </c>
      <c r="AN247" s="43" t="n">
        <v>10</v>
      </c>
      <c r="AO247" s="34" t="n">
        <v>0</v>
      </c>
      <c r="AP247" s="39" t="n">
        <f aca="false">AVERAGEA(AO247,AQ247)</f>
        <v>24</v>
      </c>
      <c r="AQ247" s="34" t="n">
        <v>48</v>
      </c>
      <c r="AR247" s="36" t="n">
        <v>4</v>
      </c>
      <c r="AS247" s="38" t="n">
        <f aca="false">AVERAGEA(AR247,AT247)</f>
        <v>14</v>
      </c>
      <c r="AT247" s="36" t="n">
        <v>24</v>
      </c>
      <c r="AU247" s="34" t="s">
        <v>55</v>
      </c>
      <c r="AV247" s="34"/>
      <c r="AW247" s="34" t="s">
        <v>55</v>
      </c>
      <c r="AX247" s="43" t="s">
        <v>55</v>
      </c>
      <c r="AY247" s="37"/>
      <c r="AZ247" s="43" t="s">
        <v>55</v>
      </c>
      <c r="BA247" s="34" t="s">
        <v>55</v>
      </c>
      <c r="BB247" s="34"/>
      <c r="BC247" s="34" t="s">
        <v>55</v>
      </c>
      <c r="BD247" s="36" t="n">
        <v>300</v>
      </c>
      <c r="BE247" s="38" t="n">
        <f aca="false">AVERAGEA(BD247,BF247)</f>
        <v>300</v>
      </c>
      <c r="BF247" s="36" t="n">
        <v>300</v>
      </c>
      <c r="BG247" s="34" t="n">
        <v>600</v>
      </c>
      <c r="BH247" s="39" t="n">
        <f aca="false">AVERAGEA(BG247,BI247)</f>
        <v>600</v>
      </c>
      <c r="BI247" s="34" t="n">
        <v>600</v>
      </c>
      <c r="BJ247" s="36" t="n">
        <v>1200</v>
      </c>
      <c r="BK247" s="38" t="n">
        <f aca="false">AVERAGEA(BJ247,BL247)</f>
        <v>1200</v>
      </c>
      <c r="BL247" s="36" t="n">
        <v>1200</v>
      </c>
      <c r="BM247" s="34" t="n">
        <v>6</v>
      </c>
      <c r="BN247" s="39" t="n">
        <f aca="false">AVERAGEA(BM247,BO247)</f>
        <v>18</v>
      </c>
      <c r="BO247" s="34" t="n">
        <v>30</v>
      </c>
      <c r="BP247" s="36" t="n">
        <v>120</v>
      </c>
      <c r="BQ247" s="38" t="n">
        <v>2</v>
      </c>
      <c r="BR247" s="36" t="n">
        <v>120</v>
      </c>
      <c r="BS247" s="34" t="n">
        <v>4</v>
      </c>
      <c r="BT247" s="39" t="n">
        <f aca="false">AVERAGEA(BS247,BU247)</f>
        <v>4</v>
      </c>
      <c r="BU247" s="34" t="n">
        <v>4</v>
      </c>
      <c r="BV247" s="36" t="n">
        <v>8</v>
      </c>
      <c r="BW247" s="38" t="n">
        <f aca="false">AVERAGEA(BV247,BX247)</f>
        <v>8</v>
      </c>
      <c r="BX247" s="36" t="n">
        <v>8</v>
      </c>
      <c r="BY247" s="34" t="n">
        <v>12</v>
      </c>
      <c r="BZ247" s="39" t="n">
        <f aca="false">AVERAGEA(BY247,CA247)</f>
        <v>31</v>
      </c>
      <c r="CA247" s="34" t="n">
        <v>50</v>
      </c>
      <c r="CB247" s="36" t="n">
        <v>45</v>
      </c>
      <c r="CC247" s="38" t="n">
        <f aca="false">AVERAGEA(CB247,CD247)</f>
        <v>49</v>
      </c>
      <c r="CD247" s="36" t="n">
        <v>53</v>
      </c>
      <c r="CE247" s="34" t="n">
        <v>0</v>
      </c>
      <c r="CF247" s="39" t="n">
        <v>0</v>
      </c>
      <c r="CG247" s="34" t="n">
        <v>0</v>
      </c>
    </row>
    <row r="248" s="18" customFormat="true" ht="27.1" hidden="false" customHeight="false" outlineLevel="0" collapsed="false">
      <c r="B248" s="150"/>
      <c r="C248" s="157" t="s">
        <v>241</v>
      </c>
      <c r="D248" s="157" t="s">
        <v>71</v>
      </c>
      <c r="E248" s="153"/>
      <c r="F248" s="157" t="s">
        <v>229</v>
      </c>
      <c r="G248" s="155"/>
      <c r="H248" s="36" t="s">
        <v>55</v>
      </c>
      <c r="I248" s="38"/>
      <c r="J248" s="36" t="s">
        <v>55</v>
      </c>
      <c r="K248" s="34"/>
      <c r="L248" s="39" t="e">
        <f aca="false">AVERAGEA(K248,M248)</f>
        <v>#DIV/0!</v>
      </c>
      <c r="M248" s="34"/>
      <c r="N248" s="36" t="s">
        <v>55</v>
      </c>
      <c r="O248" s="38"/>
      <c r="P248" s="36" t="s">
        <v>55</v>
      </c>
      <c r="Q248" s="34" t="n">
        <v>40</v>
      </c>
      <c r="R248" s="39" t="n">
        <f aca="false">AVERAGEA(Q248,S248)</f>
        <v>45</v>
      </c>
      <c r="S248" s="34" t="n">
        <v>50</v>
      </c>
      <c r="T248" s="36" t="n">
        <v>40</v>
      </c>
      <c r="U248" s="38" t="n">
        <f aca="false">AVERAGEA(T248,V248)</f>
        <v>45</v>
      </c>
      <c r="V248" s="36" t="n">
        <v>50</v>
      </c>
      <c r="W248" s="34" t="n">
        <v>80</v>
      </c>
      <c r="X248" s="39" t="n">
        <f aca="false">AVERAGEA(W248,Y248)</f>
        <v>90</v>
      </c>
      <c r="Y248" s="34" t="n">
        <v>100</v>
      </c>
      <c r="Z248" s="36" t="s">
        <v>55</v>
      </c>
      <c r="AA248" s="36"/>
      <c r="AB248" s="36" t="s">
        <v>55</v>
      </c>
      <c r="AC248" s="34" t="s">
        <v>55</v>
      </c>
      <c r="AD248" s="35"/>
      <c r="AE248" s="34" t="s">
        <v>55</v>
      </c>
      <c r="AF248" s="43" t="n">
        <v>15</v>
      </c>
      <c r="AG248" s="38" t="n">
        <f aca="false">AVERAGEA(AF248,AH248)</f>
        <v>25</v>
      </c>
      <c r="AH248" s="43" t="n">
        <v>35</v>
      </c>
      <c r="AI248" s="34" t="n">
        <v>10</v>
      </c>
      <c r="AJ248" s="39" t="n">
        <f aca="false">AVERAGEA(AI248,AK248)</f>
        <v>25</v>
      </c>
      <c r="AK248" s="34" t="n">
        <v>40</v>
      </c>
      <c r="AL248" s="43" t="n">
        <v>10</v>
      </c>
      <c r="AM248" s="38" t="n">
        <f aca="false">AVERAGEA(AL248,AN248)</f>
        <v>25</v>
      </c>
      <c r="AN248" s="43" t="n">
        <v>40</v>
      </c>
      <c r="AO248" s="34" t="n">
        <v>2</v>
      </c>
      <c r="AP248" s="39" t="n">
        <f aca="false">AVERAGEA(AO248,AQ248)</f>
        <v>7</v>
      </c>
      <c r="AQ248" s="34" t="n">
        <v>12</v>
      </c>
      <c r="AR248" s="36" t="n">
        <v>1</v>
      </c>
      <c r="AS248" s="38" t="n">
        <f aca="false">AVERAGEA(AR248,AT248)</f>
        <v>3.5</v>
      </c>
      <c r="AT248" s="36" t="n">
        <v>6</v>
      </c>
      <c r="AU248" s="34" t="s">
        <v>55</v>
      </c>
      <c r="AV248" s="39"/>
      <c r="AW248" s="34" t="s">
        <v>55</v>
      </c>
      <c r="AX248" s="43" t="s">
        <v>55</v>
      </c>
      <c r="AY248" s="38"/>
      <c r="AZ248" s="43" t="s">
        <v>55</v>
      </c>
      <c r="BA248" s="34" t="s">
        <v>55</v>
      </c>
      <c r="BB248" s="39"/>
      <c r="BC248" s="34" t="s">
        <v>55</v>
      </c>
      <c r="BD248" s="36" t="n">
        <v>100</v>
      </c>
      <c r="BE248" s="38" t="n">
        <f aca="false">AVERAGEA(BD248,BF248)</f>
        <v>100</v>
      </c>
      <c r="BF248" s="36" t="n">
        <v>100</v>
      </c>
      <c r="BG248" s="34" t="n">
        <v>200</v>
      </c>
      <c r="BH248" s="39" t="n">
        <f aca="false">AVERAGEA(BG248,BI248)</f>
        <v>200</v>
      </c>
      <c r="BI248" s="34" t="n">
        <v>200</v>
      </c>
      <c r="BJ248" s="36" t="n">
        <v>400</v>
      </c>
      <c r="BK248" s="38" t="n">
        <f aca="false">AVERAGEA(BJ248,BL248)</f>
        <v>400</v>
      </c>
      <c r="BL248" s="36" t="n">
        <v>400</v>
      </c>
      <c r="BM248" s="34" t="n">
        <v>3</v>
      </c>
      <c r="BN248" s="39" t="n">
        <f aca="false">AVERAGEA(BM248,BO248)</f>
        <v>9</v>
      </c>
      <c r="BO248" s="34" t="n">
        <v>15</v>
      </c>
      <c r="BP248" s="36" t="n">
        <v>15</v>
      </c>
      <c r="BQ248" s="38" t="n">
        <f aca="false">AVERAGEA(BP248,BR248)</f>
        <v>15</v>
      </c>
      <c r="BR248" s="36" t="n">
        <v>15</v>
      </c>
      <c r="BS248" s="34" t="n">
        <v>0.5</v>
      </c>
      <c r="BT248" s="39" t="n">
        <f aca="false">AVERAGEA(BS248,BU248)</f>
        <v>0.5</v>
      </c>
      <c r="BU248" s="34" t="n">
        <v>0.5</v>
      </c>
      <c r="BV248" s="36" t="n">
        <v>1</v>
      </c>
      <c r="BW248" s="38" t="n">
        <f aca="false">AVERAGEA(BV248,BX248)</f>
        <v>1</v>
      </c>
      <c r="BX248" s="36" t="n">
        <v>1</v>
      </c>
      <c r="BY248" s="34" t="n">
        <v>6</v>
      </c>
      <c r="BZ248" s="39" t="n">
        <f aca="false">AVERAGEA(BY248,CA248)</f>
        <v>15.5</v>
      </c>
      <c r="CA248" s="34" t="n">
        <v>25</v>
      </c>
      <c r="CB248" s="36" t="n">
        <v>35</v>
      </c>
      <c r="CC248" s="38" t="n">
        <f aca="false">AVERAGEA(CB248,CD248)</f>
        <v>39</v>
      </c>
      <c r="CD248" s="36" t="n">
        <v>43</v>
      </c>
      <c r="CE248" s="34" t="n">
        <v>0</v>
      </c>
      <c r="CF248" s="39" t="n">
        <v>0</v>
      </c>
      <c r="CG248" s="34" t="n">
        <v>0</v>
      </c>
    </row>
    <row r="249" s="18" customFormat="true" ht="27.1" hidden="false" customHeight="false" outlineLevel="0" collapsed="false">
      <c r="B249" s="150"/>
      <c r="C249" s="157" t="s">
        <v>242</v>
      </c>
      <c r="D249" s="157" t="s">
        <v>71</v>
      </c>
      <c r="E249" s="153"/>
      <c r="F249" s="157" t="s">
        <v>232</v>
      </c>
      <c r="G249" s="155"/>
      <c r="H249" s="36" t="s">
        <v>55</v>
      </c>
      <c r="I249" s="38"/>
      <c r="J249" s="36" t="s">
        <v>55</v>
      </c>
      <c r="K249" s="34"/>
      <c r="L249" s="39" t="e">
        <f aca="false">AVERAGEA(K249,M249)</f>
        <v>#DIV/0!</v>
      </c>
      <c r="M249" s="34"/>
      <c r="N249" s="36" t="s">
        <v>55</v>
      </c>
      <c r="O249" s="38"/>
      <c r="P249" s="36" t="s">
        <v>55</v>
      </c>
      <c r="Q249" s="34" t="n">
        <v>35</v>
      </c>
      <c r="R249" s="39" t="n">
        <f aca="false">AVERAGEA(Q249,S249)</f>
        <v>40</v>
      </c>
      <c r="S249" s="34" t="n">
        <v>45</v>
      </c>
      <c r="T249" s="36" t="n">
        <v>50</v>
      </c>
      <c r="U249" s="38" t="n">
        <f aca="false">AVERAGEA(T249,V249)</f>
        <v>55</v>
      </c>
      <c r="V249" s="36" t="n">
        <v>60</v>
      </c>
      <c r="W249" s="34" t="n">
        <v>85</v>
      </c>
      <c r="X249" s="39" t="n">
        <f aca="false">AVERAGEA(W249,Y249)</f>
        <v>95</v>
      </c>
      <c r="Y249" s="34" t="n">
        <v>105</v>
      </c>
      <c r="Z249" s="36" t="s">
        <v>55</v>
      </c>
      <c r="AA249" s="36"/>
      <c r="AB249" s="36" t="s">
        <v>55</v>
      </c>
      <c r="AC249" s="34" t="s">
        <v>55</v>
      </c>
      <c r="AD249" s="35"/>
      <c r="AE249" s="34" t="s">
        <v>55</v>
      </c>
      <c r="AF249" s="43" t="n">
        <v>20</v>
      </c>
      <c r="AG249" s="38" t="n">
        <f aca="false">AVERAGEA(AF249,AH249)</f>
        <v>30</v>
      </c>
      <c r="AH249" s="43" t="n">
        <v>40</v>
      </c>
      <c r="AI249" s="34" t="n">
        <v>15</v>
      </c>
      <c r="AJ249" s="39" t="n">
        <f aca="false">AVERAGEA(AI249,AK249)</f>
        <v>37.5</v>
      </c>
      <c r="AK249" s="34" t="n">
        <v>60</v>
      </c>
      <c r="AL249" s="43" t="n">
        <v>15</v>
      </c>
      <c r="AM249" s="38" t="n">
        <f aca="false">AVERAGEA(AL249,AN249)</f>
        <v>37.5</v>
      </c>
      <c r="AN249" s="43" t="n">
        <v>60</v>
      </c>
      <c r="AO249" s="34" t="n">
        <v>1</v>
      </c>
      <c r="AP249" s="39" t="n">
        <f aca="false">AVERAGEA(AO249,AQ249)</f>
        <v>4.5</v>
      </c>
      <c r="AQ249" s="34" t="n">
        <v>8</v>
      </c>
      <c r="AR249" s="36" t="n">
        <v>0.5</v>
      </c>
      <c r="AS249" s="38" t="n">
        <f aca="false">AVERAGEA(AR249,AT249)</f>
        <v>2.25</v>
      </c>
      <c r="AT249" s="36" t="n">
        <v>4</v>
      </c>
      <c r="AU249" s="34" t="s">
        <v>55</v>
      </c>
      <c r="AV249" s="39"/>
      <c r="AW249" s="34" t="s">
        <v>55</v>
      </c>
      <c r="AX249" s="43" t="s">
        <v>55</v>
      </c>
      <c r="AY249" s="38"/>
      <c r="AZ249" s="43" t="s">
        <v>55</v>
      </c>
      <c r="BA249" s="34" t="s">
        <v>55</v>
      </c>
      <c r="BB249" s="39"/>
      <c r="BC249" s="34" t="s">
        <v>55</v>
      </c>
      <c r="BD249" s="36" t="n">
        <v>50</v>
      </c>
      <c r="BE249" s="38" t="n">
        <f aca="false">AVERAGEA(BD249,BF249)</f>
        <v>50</v>
      </c>
      <c r="BF249" s="36" t="n">
        <v>50</v>
      </c>
      <c r="BG249" s="34" t="n">
        <v>100</v>
      </c>
      <c r="BH249" s="39" t="n">
        <f aca="false">AVERAGEA(BG249,BI249)</f>
        <v>100</v>
      </c>
      <c r="BI249" s="34" t="n">
        <v>100</v>
      </c>
      <c r="BJ249" s="36" t="n">
        <v>200</v>
      </c>
      <c r="BK249" s="38" t="n">
        <f aca="false">AVERAGEA(BJ249,BL249)</f>
        <v>200</v>
      </c>
      <c r="BL249" s="36" t="n">
        <v>200</v>
      </c>
      <c r="BM249" s="34" t="n">
        <v>2</v>
      </c>
      <c r="BN249" s="39" t="n">
        <f aca="false">AVERAGEA(BM249,BO249)</f>
        <v>6</v>
      </c>
      <c r="BO249" s="34" t="n">
        <v>10</v>
      </c>
      <c r="BP249" s="36" t="n">
        <v>50</v>
      </c>
      <c r="BQ249" s="38" t="n">
        <f aca="false">AVERAGEA(BP249,BR249)</f>
        <v>50</v>
      </c>
      <c r="BR249" s="36" t="n">
        <v>50</v>
      </c>
      <c r="BS249" s="34" t="n">
        <v>100</v>
      </c>
      <c r="BT249" s="39" t="n">
        <f aca="false">AVERAGEA(BS249,BU249)</f>
        <v>100</v>
      </c>
      <c r="BU249" s="34" t="n">
        <v>100</v>
      </c>
      <c r="BV249" s="36" t="n">
        <v>200</v>
      </c>
      <c r="BW249" s="38" t="n">
        <f aca="false">AVERAGEA(BV249,BX249)</f>
        <v>200</v>
      </c>
      <c r="BX249" s="36" t="n">
        <v>200</v>
      </c>
      <c r="BY249" s="34" t="n">
        <v>4</v>
      </c>
      <c r="BZ249" s="39" t="n">
        <f aca="false">AVERAGEA(BY249,CA249)</f>
        <v>10</v>
      </c>
      <c r="CA249" s="34" t="n">
        <v>16</v>
      </c>
      <c r="CB249" s="36" t="n">
        <v>45</v>
      </c>
      <c r="CC249" s="38" t="n">
        <f aca="false">AVERAGEA(CB249,CD249)</f>
        <v>49</v>
      </c>
      <c r="CD249" s="36" t="n">
        <v>53</v>
      </c>
      <c r="CE249" s="34" t="n">
        <v>0</v>
      </c>
      <c r="CF249" s="39" t="n">
        <v>0</v>
      </c>
      <c r="CG249" s="34" t="n">
        <v>0</v>
      </c>
    </row>
    <row r="250" s="18" customFormat="true" ht="27.1" hidden="false" customHeight="false" outlineLevel="0" collapsed="false">
      <c r="B250" s="150"/>
      <c r="C250" s="161" t="s">
        <v>243</v>
      </c>
      <c r="D250" s="161" t="s">
        <v>71</v>
      </c>
      <c r="E250" s="153"/>
      <c r="F250" s="161" t="s">
        <v>234</v>
      </c>
      <c r="G250" s="155"/>
      <c r="H250" s="52" t="s">
        <v>55</v>
      </c>
      <c r="I250" s="51"/>
      <c r="J250" s="52" t="s">
        <v>55</v>
      </c>
      <c r="K250" s="77"/>
      <c r="L250" s="54" t="e">
        <f aca="false">AVERAGEA(K250,M250)</f>
        <v>#DIV/0!</v>
      </c>
      <c r="M250" s="77"/>
      <c r="N250" s="52" t="s">
        <v>55</v>
      </c>
      <c r="O250" s="51"/>
      <c r="P250" s="52" t="s">
        <v>55</v>
      </c>
      <c r="Q250" s="77" t="n">
        <v>35</v>
      </c>
      <c r="R250" s="54" t="n">
        <f aca="false">AVERAGEA(Q250,S250)</f>
        <v>40</v>
      </c>
      <c r="S250" s="77" t="n">
        <v>45</v>
      </c>
      <c r="T250" s="52" t="n">
        <v>45</v>
      </c>
      <c r="U250" s="51" t="n">
        <f aca="false">AVERAGEA(T250,V250)</f>
        <v>50</v>
      </c>
      <c r="V250" s="52" t="n">
        <v>55</v>
      </c>
      <c r="W250" s="77" t="n">
        <v>80</v>
      </c>
      <c r="X250" s="54" t="n">
        <f aca="false">AVERAGEA(W250,Y250)</f>
        <v>90</v>
      </c>
      <c r="Y250" s="77" t="n">
        <v>100</v>
      </c>
      <c r="Z250" s="52" t="s">
        <v>55</v>
      </c>
      <c r="AA250" s="52"/>
      <c r="AB250" s="52" t="s">
        <v>55</v>
      </c>
      <c r="AC250" s="77" t="s">
        <v>55</v>
      </c>
      <c r="AD250" s="53"/>
      <c r="AE250" s="77" t="s">
        <v>55</v>
      </c>
      <c r="AF250" s="56" t="n">
        <v>15</v>
      </c>
      <c r="AG250" s="51" t="n">
        <f aca="false">AVERAGEA(AF250,AH250)</f>
        <v>25</v>
      </c>
      <c r="AH250" s="56" t="n">
        <v>35</v>
      </c>
      <c r="AI250" s="77" t="n">
        <v>10</v>
      </c>
      <c r="AJ250" s="54" t="n">
        <f aca="false">AVERAGEA(AI250,AK250)</f>
        <v>25</v>
      </c>
      <c r="AK250" s="77" t="n">
        <v>40</v>
      </c>
      <c r="AL250" s="56" t="n">
        <v>10</v>
      </c>
      <c r="AM250" s="51" t="n">
        <f aca="false">AVERAGEA(AL250,AN250)</f>
        <v>25</v>
      </c>
      <c r="AN250" s="56" t="n">
        <v>40</v>
      </c>
      <c r="AO250" s="77" t="n">
        <v>0.5</v>
      </c>
      <c r="AP250" s="54" t="n">
        <f aca="false">AVERAGEA(AO250,AQ250)</f>
        <v>2.25</v>
      </c>
      <c r="AQ250" s="77" t="n">
        <v>4</v>
      </c>
      <c r="AR250" s="52" t="n">
        <v>0.2</v>
      </c>
      <c r="AS250" s="51" t="n">
        <f aca="false">AVERAGEA(AR250,AT250)</f>
        <v>1.1</v>
      </c>
      <c r="AT250" s="52" t="n">
        <v>2</v>
      </c>
      <c r="AU250" s="77" t="s">
        <v>55</v>
      </c>
      <c r="AV250" s="54"/>
      <c r="AW250" s="77" t="s">
        <v>55</v>
      </c>
      <c r="AX250" s="56" t="s">
        <v>55</v>
      </c>
      <c r="AY250" s="51"/>
      <c r="AZ250" s="56" t="s">
        <v>55</v>
      </c>
      <c r="BA250" s="77" t="s">
        <v>55</v>
      </c>
      <c r="BB250" s="54"/>
      <c r="BC250" s="77" t="s">
        <v>55</v>
      </c>
      <c r="BD250" s="52" t="n">
        <v>30</v>
      </c>
      <c r="BE250" s="51" t="n">
        <f aca="false">AVERAGEA(BD250,BF250)</f>
        <v>30</v>
      </c>
      <c r="BF250" s="52" t="n">
        <v>30</v>
      </c>
      <c r="BG250" s="77" t="n">
        <v>60</v>
      </c>
      <c r="BH250" s="54" t="n">
        <f aca="false">AVERAGEA(BG250,BI250)</f>
        <v>60</v>
      </c>
      <c r="BI250" s="77" t="n">
        <v>60</v>
      </c>
      <c r="BJ250" s="52" t="n">
        <v>120</v>
      </c>
      <c r="BK250" s="51" t="n">
        <f aca="false">AVERAGEA(BJ250,BL250)</f>
        <v>120</v>
      </c>
      <c r="BL250" s="52" t="n">
        <v>120</v>
      </c>
      <c r="BM250" s="77" t="n">
        <v>2</v>
      </c>
      <c r="BN250" s="54" t="n">
        <f aca="false">AVERAGEA(BM250,BO250)</f>
        <v>6</v>
      </c>
      <c r="BO250" s="77" t="n">
        <v>10</v>
      </c>
      <c r="BP250" s="52" t="n">
        <v>5</v>
      </c>
      <c r="BQ250" s="51" t="n">
        <f aca="false">AVERAGEA(BP250,BR250)</f>
        <v>5</v>
      </c>
      <c r="BR250" s="52" t="n">
        <v>5</v>
      </c>
      <c r="BS250" s="77" t="n">
        <v>0.166666667</v>
      </c>
      <c r="BT250" s="54" t="n">
        <f aca="false">AVERAGEA(BS250,BU250)</f>
        <v>0.166666667</v>
      </c>
      <c r="BU250" s="77" t="n">
        <v>0.166666667</v>
      </c>
      <c r="BV250" s="52" t="n">
        <v>0.333333333</v>
      </c>
      <c r="BW250" s="51" t="n">
        <f aca="false">AVERAGEA(BV250,BX250)</f>
        <v>0.333333333</v>
      </c>
      <c r="BX250" s="52" t="n">
        <v>0.333333333</v>
      </c>
      <c r="BY250" s="77" t="n">
        <v>3</v>
      </c>
      <c r="BZ250" s="54" t="n">
        <f aca="false">AVERAGEA(BY250,CA250)</f>
        <v>7.5</v>
      </c>
      <c r="CA250" s="77" t="n">
        <v>12</v>
      </c>
      <c r="CB250" s="52" t="n">
        <v>40</v>
      </c>
      <c r="CC250" s="51" t="n">
        <f aca="false">AVERAGEA(CB250,CD250)</f>
        <v>44</v>
      </c>
      <c r="CD250" s="52" t="n">
        <v>48</v>
      </c>
      <c r="CE250" s="77" t="n">
        <v>0</v>
      </c>
      <c r="CF250" s="54" t="n">
        <f aca="false">AVERAGEA(CE250,CG250)</f>
        <v>0</v>
      </c>
      <c r="CG250" s="77" t="n">
        <v>0</v>
      </c>
    </row>
    <row r="251" s="18" customFormat="true" ht="28.35" hidden="false" customHeight="true" outlineLevel="0" collapsed="false">
      <c r="B251" s="140" t="s">
        <v>244</v>
      </c>
      <c r="C251" s="125" t="s">
        <v>245</v>
      </c>
      <c r="D251" s="162" t="s">
        <v>246</v>
      </c>
      <c r="E251" s="163"/>
      <c r="F251" s="164" t="s">
        <v>247</v>
      </c>
      <c r="G251" s="165"/>
      <c r="H251" s="144" t="n">
        <v>250</v>
      </c>
      <c r="I251" s="30" t="n">
        <f aca="false">AVERAGEA(H251,J251)</f>
        <v>300</v>
      </c>
      <c r="J251" s="144" t="n">
        <v>350</v>
      </c>
      <c r="K251" s="146" t="n">
        <v>70</v>
      </c>
      <c r="L251" s="27" t="n">
        <f aca="false">AVERAGEA(K251,M251)</f>
        <v>70</v>
      </c>
      <c r="M251" s="146" t="n">
        <v>70</v>
      </c>
      <c r="N251" s="144" t="s">
        <v>55</v>
      </c>
      <c r="O251" s="30" t="n">
        <f aca="false">AVERAGEA(N251,P251)</f>
        <v>0</v>
      </c>
      <c r="P251" s="144" t="s">
        <v>55</v>
      </c>
      <c r="Q251" s="146"/>
      <c r="R251" s="147"/>
      <c r="S251" s="146"/>
      <c r="T251" s="144" t="s">
        <v>55</v>
      </c>
      <c r="U251" s="30" t="n">
        <f aca="false">AVERAGEA(T251,V251)</f>
        <v>0</v>
      </c>
      <c r="V251" s="144" t="s">
        <v>55</v>
      </c>
      <c r="W251" s="146"/>
      <c r="X251" s="147"/>
      <c r="Y251" s="146"/>
      <c r="Z251" s="144" t="s">
        <v>55</v>
      </c>
      <c r="AA251" s="30" t="n">
        <f aca="false">AVERAGEA(Z251,AB251)</f>
        <v>0</v>
      </c>
      <c r="AB251" s="144" t="s">
        <v>55</v>
      </c>
      <c r="AC251" s="146" t="n">
        <v>95</v>
      </c>
      <c r="AD251" s="27" t="n">
        <f aca="false">AVERAGEA(AC251,AE251)</f>
        <v>95</v>
      </c>
      <c r="AE251" s="146" t="n">
        <v>95</v>
      </c>
      <c r="AF251" s="144" t="n">
        <v>10</v>
      </c>
      <c r="AG251" s="30" t="n">
        <f aca="false">AVERAGEA(AF251,AH251)</f>
        <v>15</v>
      </c>
      <c r="AH251" s="144" t="n">
        <v>20</v>
      </c>
      <c r="AI251" s="146" t="n">
        <v>100</v>
      </c>
      <c r="AJ251" s="27" t="n">
        <f aca="false">AVERAGEA(AI251,AK251)</f>
        <v>100</v>
      </c>
      <c r="AK251" s="146" t="n">
        <v>100</v>
      </c>
      <c r="AL251" s="144" t="n">
        <v>100</v>
      </c>
      <c r="AM251" s="30" t="n">
        <f aca="false">AVERAGEA(AL251,AN251)</f>
        <v>100</v>
      </c>
      <c r="AN251" s="144" t="n">
        <v>100</v>
      </c>
      <c r="AO251" s="146" t="n">
        <v>0</v>
      </c>
      <c r="AP251" s="27" t="n">
        <f aca="false">AVERAGEA(AO251,AQ251)</f>
        <v>0.125</v>
      </c>
      <c r="AQ251" s="146" t="n">
        <v>0.25</v>
      </c>
      <c r="AR251" s="144" t="n">
        <f aca="false">AO251</f>
        <v>0</v>
      </c>
      <c r="AS251" s="30" t="n">
        <f aca="false">AVERAGEA(AR251,AT251)</f>
        <v>0.125</v>
      </c>
      <c r="AT251" s="144" t="n">
        <f aca="false">AQ251</f>
        <v>0.25</v>
      </c>
      <c r="AU251" s="146" t="n">
        <v>700</v>
      </c>
      <c r="AV251" s="27" t="n">
        <f aca="false">AVERAGEA(AU251,AW251)</f>
        <v>950</v>
      </c>
      <c r="AW251" s="146" t="n">
        <v>1200</v>
      </c>
      <c r="AX251" s="144" t="n">
        <v>9.5</v>
      </c>
      <c r="AY251" s="30" t="n">
        <f aca="false">AVERAGEA(AX251,AZ251)</f>
        <v>14.75</v>
      </c>
      <c r="AZ251" s="144" t="n">
        <v>20</v>
      </c>
      <c r="BA251" s="146" t="n">
        <v>0</v>
      </c>
      <c r="BB251" s="27" t="n">
        <f aca="false">AVERAGEA(BA251,BC251)</f>
        <v>1</v>
      </c>
      <c r="BC251" s="146" t="n">
        <v>2</v>
      </c>
      <c r="BD251" s="144" t="n">
        <v>0</v>
      </c>
      <c r="BE251" s="30" t="n">
        <f aca="false">AVERAGEA(BD251,BF251)</f>
        <v>0</v>
      </c>
      <c r="BF251" s="144" t="n">
        <v>0</v>
      </c>
      <c r="BG251" s="146" t="n">
        <v>0</v>
      </c>
      <c r="BH251" s="27" t="n">
        <f aca="false">AVERAGEA(BG251,BI251)</f>
        <v>0</v>
      </c>
      <c r="BI251" s="146" t="n">
        <v>0</v>
      </c>
      <c r="BJ251" s="144" t="n">
        <v>0</v>
      </c>
      <c r="BK251" s="30" t="n">
        <f aca="false">AVERAGEA(BJ251,BL251)</f>
        <v>0</v>
      </c>
      <c r="BL251" s="144" t="n">
        <v>0</v>
      </c>
      <c r="BM251" s="146" t="s">
        <v>55</v>
      </c>
      <c r="BN251" s="27" t="n">
        <f aca="false">AVERAGEA(BM251,BO251)</f>
        <v>0</v>
      </c>
      <c r="BO251" s="146" t="s">
        <v>55</v>
      </c>
      <c r="BP251" s="144" t="n">
        <v>0</v>
      </c>
      <c r="BQ251" s="30" t="n">
        <f aca="false">AVERAGEA(BP251,BR251)</f>
        <v>2.5</v>
      </c>
      <c r="BR251" s="144" t="n">
        <v>5</v>
      </c>
      <c r="BS251" s="146" t="n">
        <f aca="false">BP251/60</f>
        <v>0</v>
      </c>
      <c r="BT251" s="27" t="n">
        <f aca="false">AVERAGEA(BS251,BU251)</f>
        <v>0.0416666666666667</v>
      </c>
      <c r="BU251" s="146" t="n">
        <f aca="false">BR251/60</f>
        <v>0.0833333333333333</v>
      </c>
      <c r="BV251" s="144" t="n">
        <f aca="false">BP251/60</f>
        <v>0</v>
      </c>
      <c r="BW251" s="30" t="n">
        <f aca="false">AVERAGEA(BV251,BX251)</f>
        <v>0.0416666666666667</v>
      </c>
      <c r="BX251" s="144" t="n">
        <f aca="false">BR251/60</f>
        <v>0.0833333333333333</v>
      </c>
      <c r="BY251" s="146"/>
      <c r="BZ251" s="27" t="e">
        <f aca="false">AVERAGEA(BY251,CA251)</f>
        <v>#DIV/0!</v>
      </c>
      <c r="CA251" s="146"/>
      <c r="CB251" s="144" t="s">
        <v>55</v>
      </c>
      <c r="CC251" s="30" t="n">
        <f aca="false">AVERAGEA(CB251,CD251)</f>
        <v>0</v>
      </c>
      <c r="CD251" s="144" t="s">
        <v>55</v>
      </c>
      <c r="CE251" s="146" t="n">
        <v>0</v>
      </c>
      <c r="CF251" s="27" t="n">
        <f aca="false">AVERAGEA(CE251,CG251)</f>
        <v>0</v>
      </c>
      <c r="CG251" s="146" t="n">
        <v>0</v>
      </c>
    </row>
    <row r="252" s="18" customFormat="true" ht="41.75" hidden="false" customHeight="false" outlineLevel="0" collapsed="false">
      <c r="B252" s="140"/>
      <c r="C252" s="125" t="s">
        <v>245</v>
      </c>
      <c r="D252" s="63" t="s">
        <v>248</v>
      </c>
      <c r="E252" s="163"/>
      <c r="F252" s="63" t="s">
        <v>249</v>
      </c>
      <c r="G252" s="165"/>
      <c r="H252" s="36" t="n">
        <v>250</v>
      </c>
      <c r="I252" s="37" t="n">
        <f aca="false">AVERAGEA(H252,J252)</f>
        <v>300</v>
      </c>
      <c r="J252" s="36" t="n">
        <v>350</v>
      </c>
      <c r="K252" s="34" t="n">
        <v>70</v>
      </c>
      <c r="L252" s="39" t="n">
        <f aca="false">AVERAGEA(K252,M252)</f>
        <v>72.5</v>
      </c>
      <c r="M252" s="34" t="n">
        <v>75</v>
      </c>
      <c r="N252" s="36" t="s">
        <v>55</v>
      </c>
      <c r="O252" s="38" t="n">
        <f aca="false">AVERAGEA(P252, N252)</f>
        <v>0</v>
      </c>
      <c r="P252" s="36" t="s">
        <v>55</v>
      </c>
      <c r="Q252" s="34"/>
      <c r="R252" s="34"/>
      <c r="S252" s="34"/>
      <c r="T252" s="36" t="s">
        <v>55</v>
      </c>
      <c r="U252" s="37"/>
      <c r="V252" s="36" t="s">
        <v>55</v>
      </c>
      <c r="W252" s="34"/>
      <c r="X252" s="34"/>
      <c r="Y252" s="34"/>
      <c r="Z252" s="36" t="s">
        <v>55</v>
      </c>
      <c r="AA252" s="37"/>
      <c r="AB252" s="36" t="s">
        <v>55</v>
      </c>
      <c r="AC252" s="34" t="n">
        <v>95</v>
      </c>
      <c r="AD252" s="39" t="n">
        <f aca="false">AVERAGEA(AC252,AE252)</f>
        <v>96</v>
      </c>
      <c r="AE252" s="34" t="n">
        <v>97</v>
      </c>
      <c r="AF252" s="36" t="n">
        <v>10</v>
      </c>
      <c r="AG252" s="37" t="n">
        <f aca="false">AVERAGEA(AF252,AH252)</f>
        <v>17.5</v>
      </c>
      <c r="AH252" s="36" t="n">
        <v>25</v>
      </c>
      <c r="AI252" s="34" t="n">
        <v>100</v>
      </c>
      <c r="AJ252" s="39" t="n">
        <f aca="false">AVERAGEA(AI252,AK252)</f>
        <v>100</v>
      </c>
      <c r="AK252" s="34" t="n">
        <v>100</v>
      </c>
      <c r="AL252" s="36" t="n">
        <v>100</v>
      </c>
      <c r="AM252" s="37" t="n">
        <f aca="false">AVERAGEA(AL252,AN252)</f>
        <v>100</v>
      </c>
      <c r="AN252" s="36" t="n">
        <v>100</v>
      </c>
      <c r="AO252" s="34" t="n">
        <v>0</v>
      </c>
      <c r="AP252" s="39" t="n">
        <f aca="false">AVERAGEA(AO252,AQ252)</f>
        <v>0.125</v>
      </c>
      <c r="AQ252" s="34" t="n">
        <v>0.25</v>
      </c>
      <c r="AR252" s="36" t="n">
        <f aca="false">AO252</f>
        <v>0</v>
      </c>
      <c r="AS252" s="37" t="n">
        <f aca="false">AVERAGEA(AR252,AT252)</f>
        <v>0.125</v>
      </c>
      <c r="AT252" s="36" t="n">
        <f aca="false">AQ252</f>
        <v>0.25</v>
      </c>
      <c r="AU252" s="34" t="n">
        <v>700</v>
      </c>
      <c r="AV252" s="39" t="n">
        <f aca="false">AVERAGEA(AU252,AW252)</f>
        <v>950</v>
      </c>
      <c r="AW252" s="34" t="n">
        <v>1200</v>
      </c>
      <c r="AX252" s="36" t="n">
        <v>9.5</v>
      </c>
      <c r="AY252" s="37" t="n">
        <f aca="false">AVERAGEA(AX252,AZ252)</f>
        <v>14.25</v>
      </c>
      <c r="AZ252" s="36" t="n">
        <v>19</v>
      </c>
      <c r="BA252" s="34" t="n">
        <v>0</v>
      </c>
      <c r="BB252" s="39" t="n">
        <f aca="false">AVERAGEA(BA252,BC252)</f>
        <v>1</v>
      </c>
      <c r="BC252" s="34" t="n">
        <v>2</v>
      </c>
      <c r="BD252" s="36" t="n">
        <v>0</v>
      </c>
      <c r="BE252" s="37" t="n">
        <f aca="false">AVERAGEA(BD252,BF252)</f>
        <v>0</v>
      </c>
      <c r="BF252" s="36" t="n">
        <v>0</v>
      </c>
      <c r="BG252" s="34" t="n">
        <v>0</v>
      </c>
      <c r="BH252" s="39" t="n">
        <f aca="false">AVERAGEA(BG252,BI252)</f>
        <v>0</v>
      </c>
      <c r="BI252" s="34" t="n">
        <v>0</v>
      </c>
      <c r="BJ252" s="36" t="n">
        <v>0</v>
      </c>
      <c r="BK252" s="37" t="n">
        <f aca="false">AVERAGEA(BJ252,BL252)</f>
        <v>0</v>
      </c>
      <c r="BL252" s="36" t="n">
        <v>0</v>
      </c>
      <c r="BM252" s="34" t="s">
        <v>55</v>
      </c>
      <c r="BN252" s="39" t="n">
        <f aca="false">AVERAGEA(BM252,BO252)</f>
        <v>0</v>
      </c>
      <c r="BO252" s="34" t="s">
        <v>55</v>
      </c>
      <c r="BP252" s="36" t="n">
        <v>0</v>
      </c>
      <c r="BQ252" s="37" t="n">
        <f aca="false">AVERAGEA(BP252,BR252)</f>
        <v>2.5</v>
      </c>
      <c r="BR252" s="36" t="n">
        <v>5</v>
      </c>
      <c r="BS252" s="34" t="n">
        <f aca="false">BP252/60</f>
        <v>0</v>
      </c>
      <c r="BT252" s="39" t="n">
        <f aca="false">AVERAGEA(BS252,BU252)</f>
        <v>0.0416666666666667</v>
      </c>
      <c r="BU252" s="34" t="n">
        <f aca="false">BR252/60</f>
        <v>0.0833333333333333</v>
      </c>
      <c r="BV252" s="36" t="n">
        <f aca="false">BP252/60</f>
        <v>0</v>
      </c>
      <c r="BW252" s="37" t="n">
        <f aca="false">AVERAGEA(BV252,BX252)</f>
        <v>0.0416666666666667</v>
      </c>
      <c r="BX252" s="36" t="n">
        <f aca="false">BR252/60</f>
        <v>0.0833333333333333</v>
      </c>
      <c r="BY252" s="34"/>
      <c r="BZ252" s="39" t="e">
        <f aca="false">AVERAGEA(BY252,CA252)</f>
        <v>#DIV/0!</v>
      </c>
      <c r="CA252" s="34"/>
      <c r="CB252" s="36" t="s">
        <v>55</v>
      </c>
      <c r="CC252" s="37" t="n">
        <f aca="false">AVERAGEA(CB252,CD252)</f>
        <v>0</v>
      </c>
      <c r="CD252" s="36" t="s">
        <v>55</v>
      </c>
      <c r="CE252" s="34" t="n">
        <v>0</v>
      </c>
      <c r="CF252" s="39" t="n">
        <f aca="false">AVERAGEA(CE252,CG252)</f>
        <v>0</v>
      </c>
      <c r="CG252" s="34" t="n">
        <v>0</v>
      </c>
    </row>
    <row r="253" s="18" customFormat="true" ht="28.35" hidden="false" customHeight="false" outlineLevel="0" collapsed="false">
      <c r="B253" s="140"/>
      <c r="C253" s="125" t="s">
        <v>245</v>
      </c>
      <c r="D253" s="63" t="s">
        <v>250</v>
      </c>
      <c r="E253" s="163"/>
      <c r="F253" s="63" t="s">
        <v>251</v>
      </c>
      <c r="G253" s="165"/>
      <c r="H253" s="36" t="n">
        <v>250</v>
      </c>
      <c r="I253" s="37" t="n">
        <f aca="false">AVERAGEA(H253,J253)</f>
        <v>300</v>
      </c>
      <c r="J253" s="36" t="n">
        <v>350</v>
      </c>
      <c r="K253" s="34" t="n">
        <v>60</v>
      </c>
      <c r="L253" s="39" t="n">
        <f aca="false">AVERAGEA(K253,M253)</f>
        <v>60</v>
      </c>
      <c r="M253" s="34" t="n">
        <v>60</v>
      </c>
      <c r="N253" s="36" t="s">
        <v>55</v>
      </c>
      <c r="O253" s="38" t="n">
        <f aca="false">AVERAGEA(P253, N253)</f>
        <v>0</v>
      </c>
      <c r="P253" s="36" t="s">
        <v>55</v>
      </c>
      <c r="Q253" s="34"/>
      <c r="R253" s="34"/>
      <c r="S253" s="34"/>
      <c r="T253" s="36" t="s">
        <v>55</v>
      </c>
      <c r="U253" s="37"/>
      <c r="V253" s="36" t="s">
        <v>55</v>
      </c>
      <c r="W253" s="34"/>
      <c r="X253" s="34"/>
      <c r="Y253" s="34"/>
      <c r="Z253" s="36" t="s">
        <v>55</v>
      </c>
      <c r="AA253" s="37"/>
      <c r="AB253" s="36" t="s">
        <v>55</v>
      </c>
      <c r="AC253" s="34" t="n">
        <v>95</v>
      </c>
      <c r="AD253" s="39" t="n">
        <f aca="false">AVERAGEA(AC253,AE253)</f>
        <v>95.5</v>
      </c>
      <c r="AE253" s="34" t="n">
        <v>96</v>
      </c>
      <c r="AF253" s="36" t="n">
        <v>10</v>
      </c>
      <c r="AG253" s="37" t="n">
        <f aca="false">AVERAGEA(AF253,AH253)</f>
        <v>20</v>
      </c>
      <c r="AH253" s="36" t="n">
        <v>30</v>
      </c>
      <c r="AI253" s="34" t="n">
        <v>80</v>
      </c>
      <c r="AJ253" s="39" t="n">
        <f aca="false">AVERAGEA(AI253,AK253)</f>
        <v>90</v>
      </c>
      <c r="AK253" s="34" t="n">
        <v>100</v>
      </c>
      <c r="AL253" s="36" t="n">
        <v>80</v>
      </c>
      <c r="AM253" s="37" t="n">
        <f aca="false">AVERAGEA(AL253,AN253)</f>
        <v>90</v>
      </c>
      <c r="AN253" s="36" t="n">
        <v>100</v>
      </c>
      <c r="AO253" s="34" t="n">
        <v>0.1</v>
      </c>
      <c r="AP253" s="39" t="n">
        <f aca="false">AVERAGEA(AO253,AQ253)</f>
        <v>0.175</v>
      </c>
      <c r="AQ253" s="34" t="n">
        <v>0.25</v>
      </c>
      <c r="AR253" s="36" t="n">
        <f aca="false">AO253</f>
        <v>0.1</v>
      </c>
      <c r="AS253" s="37" t="n">
        <f aca="false">AVERAGEA(AR253,AT253)</f>
        <v>0.175</v>
      </c>
      <c r="AT253" s="36" t="n">
        <f aca="false">AQ253</f>
        <v>0.25</v>
      </c>
      <c r="AU253" s="34" t="n">
        <v>700</v>
      </c>
      <c r="AV253" s="39" t="n">
        <f aca="false">AVERAGEA(AU253,AW253)</f>
        <v>950</v>
      </c>
      <c r="AW253" s="34" t="n">
        <v>1200</v>
      </c>
      <c r="AX253" s="36" t="n">
        <v>9.5</v>
      </c>
      <c r="AY253" s="37" t="n">
        <f aca="false">AVERAGEA(AX253,AZ253)</f>
        <v>14.75</v>
      </c>
      <c r="AZ253" s="36" t="n">
        <v>20</v>
      </c>
      <c r="BA253" s="34" t="n">
        <v>0</v>
      </c>
      <c r="BB253" s="39" t="n">
        <f aca="false">AVERAGEA(BA253,BC253)</f>
        <v>0.9</v>
      </c>
      <c r="BC253" s="34" t="n">
        <v>1.8</v>
      </c>
      <c r="BD253" s="36" t="n">
        <v>0</v>
      </c>
      <c r="BE253" s="37" t="n">
        <f aca="false">AVERAGEA(BD253,BF253)</f>
        <v>0</v>
      </c>
      <c r="BF253" s="36" t="n">
        <v>0</v>
      </c>
      <c r="BG253" s="34" t="n">
        <v>0</v>
      </c>
      <c r="BH253" s="39" t="n">
        <f aca="false">AVERAGEA(BG253,BI253)</f>
        <v>0</v>
      </c>
      <c r="BI253" s="34" t="n">
        <v>0</v>
      </c>
      <c r="BJ253" s="36" t="n">
        <v>0</v>
      </c>
      <c r="BK253" s="37" t="n">
        <f aca="false">AVERAGEA(BJ253,BL253)</f>
        <v>1</v>
      </c>
      <c r="BL253" s="36" t="n">
        <v>2</v>
      </c>
      <c r="BM253" s="34" t="s">
        <v>55</v>
      </c>
      <c r="BN253" s="39" t="n">
        <f aca="false">AVERAGEA(BM253,BO253)</f>
        <v>0</v>
      </c>
      <c r="BO253" s="34" t="s">
        <v>55</v>
      </c>
      <c r="BP253" s="36" t="n">
        <v>5</v>
      </c>
      <c r="BQ253" s="37" t="n">
        <f aca="false">AVERAGEA(BP253,BR253)</f>
        <v>10</v>
      </c>
      <c r="BR253" s="36" t="n">
        <v>15</v>
      </c>
      <c r="BS253" s="34" t="n">
        <f aca="false">BP253/60</f>
        <v>0.0833333333333333</v>
      </c>
      <c r="BT253" s="39" t="n">
        <f aca="false">AVERAGEA(BS253,BU253)</f>
        <v>0.166666666666667</v>
      </c>
      <c r="BU253" s="34" t="n">
        <f aca="false">BR253/60</f>
        <v>0.25</v>
      </c>
      <c r="BV253" s="36" t="n">
        <f aca="false">BP253/60</f>
        <v>0.0833333333333333</v>
      </c>
      <c r="BW253" s="37" t="n">
        <f aca="false">AVERAGEA(BV253,BX253)</f>
        <v>0.166666666666667</v>
      </c>
      <c r="BX253" s="36" t="n">
        <f aca="false">BR253/60</f>
        <v>0.25</v>
      </c>
      <c r="BY253" s="34"/>
      <c r="BZ253" s="39" t="e">
        <f aca="false">AVERAGEA(BY253,CA253)</f>
        <v>#DIV/0!</v>
      </c>
      <c r="CA253" s="34"/>
      <c r="CB253" s="36" t="s">
        <v>55</v>
      </c>
      <c r="CC253" s="37" t="n">
        <f aca="false">AVERAGEA(CB253,CD253)</f>
        <v>0</v>
      </c>
      <c r="CD253" s="36" t="s">
        <v>55</v>
      </c>
      <c r="CE253" s="34" t="n">
        <v>0</v>
      </c>
      <c r="CF253" s="39" t="n">
        <f aca="false">AVERAGEA(CE253,CG253)</f>
        <v>0</v>
      </c>
      <c r="CG253" s="34" t="n">
        <v>0</v>
      </c>
    </row>
    <row r="254" s="18" customFormat="true" ht="28.35" hidden="false" customHeight="false" outlineLevel="0" collapsed="false">
      <c r="B254" s="140"/>
      <c r="C254" s="125" t="s">
        <v>245</v>
      </c>
      <c r="D254" s="63" t="s">
        <v>252</v>
      </c>
      <c r="E254" s="163"/>
      <c r="F254" s="63" t="s">
        <v>253</v>
      </c>
      <c r="G254" s="165"/>
      <c r="H254" s="36" t="n">
        <v>250</v>
      </c>
      <c r="I254" s="37" t="n">
        <f aca="false">AVERAGEA(H254,J254)</f>
        <v>315</v>
      </c>
      <c r="J254" s="36" t="n">
        <v>380</v>
      </c>
      <c r="K254" s="34" t="n">
        <v>65</v>
      </c>
      <c r="L254" s="39" t="n">
        <f aca="false">AVERAGEA(K254,M254)</f>
        <v>65</v>
      </c>
      <c r="M254" s="34" t="n">
        <v>65</v>
      </c>
      <c r="N254" s="36" t="s">
        <v>55</v>
      </c>
      <c r="O254" s="38" t="n">
        <f aca="false">AVERAGEA(P254, N254)</f>
        <v>0</v>
      </c>
      <c r="P254" s="36" t="s">
        <v>55</v>
      </c>
      <c r="Q254" s="34"/>
      <c r="R254" s="34"/>
      <c r="S254" s="34"/>
      <c r="T254" s="36" t="s">
        <v>55</v>
      </c>
      <c r="U254" s="37"/>
      <c r="V254" s="36" t="s">
        <v>55</v>
      </c>
      <c r="W254" s="34"/>
      <c r="X254" s="34"/>
      <c r="Y254" s="34"/>
      <c r="Z254" s="36" t="s">
        <v>55</v>
      </c>
      <c r="AA254" s="37"/>
      <c r="AB254" s="36" t="s">
        <v>55</v>
      </c>
      <c r="AC254" s="34" t="n">
        <v>95</v>
      </c>
      <c r="AD254" s="39" t="n">
        <f aca="false">AVERAGEA(AC254,AE254)</f>
        <v>96.25</v>
      </c>
      <c r="AE254" s="34" t="n">
        <v>97.5</v>
      </c>
      <c r="AF254" s="36" t="n">
        <v>30</v>
      </c>
      <c r="AG254" s="37" t="n">
        <f aca="false">AVERAGEA(AF254,AH254)</f>
        <v>32.5</v>
      </c>
      <c r="AH254" s="36" t="n">
        <v>35</v>
      </c>
      <c r="AI254" s="34" t="n">
        <v>85</v>
      </c>
      <c r="AJ254" s="39" t="n">
        <f aca="false">AVERAGEA(AI254,AK254)</f>
        <v>92.5</v>
      </c>
      <c r="AK254" s="34" t="n">
        <v>100</v>
      </c>
      <c r="AL254" s="36" t="n">
        <v>58</v>
      </c>
      <c r="AM254" s="37" t="n">
        <f aca="false">AVERAGEA(AL254,AN254)</f>
        <v>79</v>
      </c>
      <c r="AN254" s="36" t="n">
        <v>100</v>
      </c>
      <c r="AO254" s="34" t="n">
        <v>0.1</v>
      </c>
      <c r="AP254" s="39" t="n">
        <f aca="false">AVERAGEA(AO254,AQ254)</f>
        <v>0.175</v>
      </c>
      <c r="AQ254" s="34" t="n">
        <v>0.25</v>
      </c>
      <c r="AR254" s="36" t="n">
        <f aca="false">AO254</f>
        <v>0.1</v>
      </c>
      <c r="AS254" s="37" t="n">
        <f aca="false">AVERAGEA(AR254,AT254)</f>
        <v>0.175</v>
      </c>
      <c r="AT254" s="36" t="n">
        <f aca="false">AQ254</f>
        <v>0.25</v>
      </c>
      <c r="AU254" s="34" t="n">
        <v>700</v>
      </c>
      <c r="AV254" s="39" t="n">
        <f aca="false">AVERAGEA(AU254,AW254)</f>
        <v>950</v>
      </c>
      <c r="AW254" s="34" t="n">
        <v>1200</v>
      </c>
      <c r="AX254" s="36" t="n">
        <v>9.5</v>
      </c>
      <c r="AY254" s="37" t="n">
        <f aca="false">AVERAGEA(AX254,AZ254)</f>
        <v>14.25</v>
      </c>
      <c r="AZ254" s="36" t="n">
        <v>19</v>
      </c>
      <c r="BA254" s="34" t="n">
        <v>0</v>
      </c>
      <c r="BB254" s="39" t="n">
        <f aca="false">AVERAGEA(BA254,BC254)</f>
        <v>0.85</v>
      </c>
      <c r="BC254" s="34" t="n">
        <v>1.7</v>
      </c>
      <c r="BD254" s="36" t="n">
        <v>0</v>
      </c>
      <c r="BE254" s="37" t="n">
        <f aca="false">AVERAGEA(BD254,BF254)</f>
        <v>2.5</v>
      </c>
      <c r="BF254" s="36" t="n">
        <v>5</v>
      </c>
      <c r="BG254" s="34" t="n">
        <v>0</v>
      </c>
      <c r="BH254" s="39" t="n">
        <f aca="false">AVERAGEA(BG254,BI254)</f>
        <v>2.5</v>
      </c>
      <c r="BI254" s="34" t="n">
        <v>5</v>
      </c>
      <c r="BJ254" s="36" t="n">
        <v>0</v>
      </c>
      <c r="BK254" s="37" t="n">
        <f aca="false">AVERAGEA(BJ254,BL254)</f>
        <v>1</v>
      </c>
      <c r="BL254" s="36" t="n">
        <v>2</v>
      </c>
      <c r="BM254" s="34" t="s">
        <v>55</v>
      </c>
      <c r="BN254" s="39" t="n">
        <f aca="false">AVERAGEA(BM254,BO254)</f>
        <v>0</v>
      </c>
      <c r="BO254" s="34" t="s">
        <v>55</v>
      </c>
      <c r="BP254" s="36" t="n">
        <v>5</v>
      </c>
      <c r="BQ254" s="37" t="n">
        <f aca="false">AVERAGEA(BP254,BR254)</f>
        <v>7.5</v>
      </c>
      <c r="BR254" s="36" t="n">
        <v>10</v>
      </c>
      <c r="BS254" s="34" t="n">
        <f aca="false">BP254/60</f>
        <v>0.0833333333333333</v>
      </c>
      <c r="BT254" s="39" t="n">
        <f aca="false">AVERAGEA(BS254,BU254)</f>
        <v>0.125</v>
      </c>
      <c r="BU254" s="34" t="n">
        <f aca="false">BR254/60</f>
        <v>0.166666666666667</v>
      </c>
      <c r="BV254" s="36" t="n">
        <f aca="false">BP254/60</f>
        <v>0.0833333333333333</v>
      </c>
      <c r="BW254" s="37" t="n">
        <f aca="false">AVERAGEA(BV254,BX254)</f>
        <v>0.125</v>
      </c>
      <c r="BX254" s="36" t="n">
        <f aca="false">BR254/60</f>
        <v>0.166666666666667</v>
      </c>
      <c r="BY254" s="34"/>
      <c r="BZ254" s="39" t="e">
        <f aca="false">AVERAGEA(BY254,CA254)</f>
        <v>#DIV/0!</v>
      </c>
      <c r="CA254" s="34"/>
      <c r="CB254" s="36" t="s">
        <v>55</v>
      </c>
      <c r="CC254" s="37" t="n">
        <f aca="false">AVERAGEA(CB254,CD254)</f>
        <v>0</v>
      </c>
      <c r="CD254" s="36" t="s">
        <v>55</v>
      </c>
      <c r="CE254" s="34" t="n">
        <v>0</v>
      </c>
      <c r="CF254" s="39" t="n">
        <f aca="false">AVERAGEA(CE254,CG254)</f>
        <v>0</v>
      </c>
      <c r="CG254" s="34" t="n">
        <v>0</v>
      </c>
    </row>
    <row r="255" s="18" customFormat="true" ht="28.35" hidden="false" customHeight="false" outlineLevel="0" collapsed="false">
      <c r="B255" s="140"/>
      <c r="C255" s="125" t="s">
        <v>245</v>
      </c>
      <c r="D255" s="63" t="s">
        <v>254</v>
      </c>
      <c r="E255" s="163"/>
      <c r="F255" s="63" t="s">
        <v>255</v>
      </c>
      <c r="G255" s="165"/>
      <c r="H255" s="52" t="n">
        <v>250</v>
      </c>
      <c r="I255" s="37" t="n">
        <f aca="false">AVERAGEA(H255,J255)</f>
        <v>300</v>
      </c>
      <c r="J255" s="52" t="n">
        <v>350</v>
      </c>
      <c r="K255" s="77" t="n">
        <v>50</v>
      </c>
      <c r="L255" s="39" t="n">
        <f aca="false">AVERAGEA(K255,M255)</f>
        <v>50</v>
      </c>
      <c r="M255" s="77" t="n">
        <v>50</v>
      </c>
      <c r="N255" s="52" t="s">
        <v>55</v>
      </c>
      <c r="O255" s="38" t="n">
        <f aca="false">AVERAGEA(P255, N255)</f>
        <v>0</v>
      </c>
      <c r="P255" s="52" t="s">
        <v>55</v>
      </c>
      <c r="Q255" s="77"/>
      <c r="R255" s="77"/>
      <c r="S255" s="77"/>
      <c r="T255" s="52" t="s">
        <v>55</v>
      </c>
      <c r="U255" s="51"/>
      <c r="V255" s="52" t="s">
        <v>55</v>
      </c>
      <c r="W255" s="77"/>
      <c r="X255" s="77"/>
      <c r="Y255" s="77"/>
      <c r="Z255" s="52" t="s">
        <v>55</v>
      </c>
      <c r="AA255" s="51"/>
      <c r="AB255" s="52" t="s">
        <v>55</v>
      </c>
      <c r="AC255" s="77" t="n">
        <v>95</v>
      </c>
      <c r="AD255" s="39" t="n">
        <f aca="false">AVERAGEA(AC255,AE255)</f>
        <v>95.25</v>
      </c>
      <c r="AE255" s="77" t="n">
        <v>95.5</v>
      </c>
      <c r="AF255" s="52" t="n">
        <v>10</v>
      </c>
      <c r="AG255" s="37" t="n">
        <f aca="false">AVERAGEA(AF255,AH255)</f>
        <v>30</v>
      </c>
      <c r="AH255" s="52" t="n">
        <v>50</v>
      </c>
      <c r="AI255" s="77" t="n">
        <v>20</v>
      </c>
      <c r="AJ255" s="39" t="n">
        <f aca="false">AVERAGEA(AI255,AK255)</f>
        <v>60</v>
      </c>
      <c r="AK255" s="77" t="n">
        <v>100</v>
      </c>
      <c r="AL255" s="52" t="n">
        <v>20</v>
      </c>
      <c r="AM255" s="37" t="n">
        <f aca="false">AVERAGEA(AL255,AN255)</f>
        <v>60</v>
      </c>
      <c r="AN255" s="52" t="n">
        <v>100</v>
      </c>
      <c r="AO255" s="77" t="n">
        <v>0.25</v>
      </c>
      <c r="AP255" s="39" t="n">
        <f aca="false">AVERAGEA(AO255,AQ255)</f>
        <v>0.375</v>
      </c>
      <c r="AQ255" s="77" t="n">
        <v>0.5</v>
      </c>
      <c r="AR255" s="36" t="n">
        <f aca="false">AO255</f>
        <v>0.25</v>
      </c>
      <c r="AS255" s="37" t="n">
        <f aca="false">AVERAGEA(AR255,AT255)</f>
        <v>0.375</v>
      </c>
      <c r="AT255" s="36" t="n">
        <f aca="false">AQ255</f>
        <v>0.5</v>
      </c>
      <c r="AU255" s="77" t="n">
        <v>700</v>
      </c>
      <c r="AV255" s="39" t="n">
        <f aca="false">AVERAGEA(AU255,AW255)</f>
        <v>950</v>
      </c>
      <c r="AW255" s="77" t="n">
        <v>1200</v>
      </c>
      <c r="AX255" s="52" t="n">
        <v>9.5</v>
      </c>
      <c r="AY255" s="37" t="n">
        <f aca="false">AVERAGEA(AX255,AZ255)</f>
        <v>14.25</v>
      </c>
      <c r="AZ255" s="52" t="n">
        <v>19</v>
      </c>
      <c r="BA255" s="77" t="n">
        <v>0</v>
      </c>
      <c r="BB255" s="39" t="n">
        <f aca="false">AVERAGEA(BA255,BC255)</f>
        <v>0.75</v>
      </c>
      <c r="BC255" s="77" t="n">
        <v>1.5</v>
      </c>
      <c r="BD255" s="52" t="n">
        <v>50</v>
      </c>
      <c r="BE255" s="37" t="n">
        <f aca="false">AVERAGEA(BD255,BF255)</f>
        <v>125</v>
      </c>
      <c r="BF255" s="52" t="n">
        <v>200</v>
      </c>
      <c r="BG255" s="77" t="n">
        <v>50</v>
      </c>
      <c r="BH255" s="39" t="n">
        <f aca="false">AVERAGEA(BG255,BI255)</f>
        <v>125</v>
      </c>
      <c r="BI255" s="77" t="n">
        <v>200</v>
      </c>
      <c r="BJ255" s="52" t="n">
        <v>50</v>
      </c>
      <c r="BK255" s="37" t="n">
        <f aca="false">AVERAGEA(BJ255,BL255)</f>
        <v>125</v>
      </c>
      <c r="BL255" s="52" t="n">
        <v>200</v>
      </c>
      <c r="BM255" s="77" t="s">
        <v>55</v>
      </c>
      <c r="BN255" s="39" t="n">
        <f aca="false">AVERAGEA(BM255,BO255)</f>
        <v>0</v>
      </c>
      <c r="BO255" s="77" t="s">
        <v>55</v>
      </c>
      <c r="BP255" s="52" t="n">
        <v>30</v>
      </c>
      <c r="BQ255" s="37" t="n">
        <f aca="false">AVERAGEA(BP255,BR255)</f>
        <v>45</v>
      </c>
      <c r="BR255" s="52" t="n">
        <v>60</v>
      </c>
      <c r="BS255" s="34" t="n">
        <f aca="false">BP255/60</f>
        <v>0.5</v>
      </c>
      <c r="BT255" s="39" t="n">
        <f aca="false">AVERAGEA(BS255,BU255)</f>
        <v>0.75</v>
      </c>
      <c r="BU255" s="34" t="n">
        <f aca="false">BR255/60</f>
        <v>1</v>
      </c>
      <c r="BV255" s="36" t="n">
        <f aca="false">BP255/60</f>
        <v>0.5</v>
      </c>
      <c r="BW255" s="37" t="n">
        <f aca="false">AVERAGEA(BV255,BX255)</f>
        <v>0.75</v>
      </c>
      <c r="BX255" s="36" t="n">
        <f aca="false">BR255/60</f>
        <v>1</v>
      </c>
      <c r="BY255" s="77"/>
      <c r="BZ255" s="39" t="e">
        <f aca="false">AVERAGEA(BY255,CA255)</f>
        <v>#DIV/0!</v>
      </c>
      <c r="CA255" s="77"/>
      <c r="CB255" s="52" t="s">
        <v>55</v>
      </c>
      <c r="CC255" s="37" t="n">
        <f aca="false">AVERAGEA(CB255,CD255)</f>
        <v>0</v>
      </c>
      <c r="CD255" s="52" t="s">
        <v>55</v>
      </c>
      <c r="CE255" s="77" t="n">
        <v>0</v>
      </c>
      <c r="CF255" s="39" t="n">
        <f aca="false">AVERAGEA(CE255,CG255)</f>
        <v>0</v>
      </c>
      <c r="CG255" s="77" t="n">
        <v>0</v>
      </c>
    </row>
    <row r="256" s="18" customFormat="true" ht="28.35" hidden="false" customHeight="true" outlineLevel="0" collapsed="false">
      <c r="B256" s="140"/>
      <c r="C256" s="164" t="s">
        <v>256</v>
      </c>
      <c r="D256" s="63" t="s">
        <v>246</v>
      </c>
      <c r="E256" s="163"/>
      <c r="F256" s="63" t="s">
        <v>247</v>
      </c>
      <c r="G256" s="165"/>
      <c r="H256" s="36" t="n">
        <v>350</v>
      </c>
      <c r="I256" s="37" t="n">
        <f aca="false">AVERAGEA(H256,J256)</f>
        <v>400</v>
      </c>
      <c r="J256" s="36" t="n">
        <v>450</v>
      </c>
      <c r="K256" s="34" t="n">
        <v>70</v>
      </c>
      <c r="L256" s="39" t="n">
        <f aca="false">AVERAGEA(K256,M256)</f>
        <v>70</v>
      </c>
      <c r="M256" s="34" t="n">
        <v>70</v>
      </c>
      <c r="N256" s="36" t="s">
        <v>55</v>
      </c>
      <c r="O256" s="38" t="n">
        <f aca="false">AVERAGEA(P256, N256)</f>
        <v>0</v>
      </c>
      <c r="P256" s="36" t="s">
        <v>55</v>
      </c>
      <c r="Q256" s="34"/>
      <c r="R256" s="34"/>
      <c r="S256" s="34"/>
      <c r="T256" s="36" t="s">
        <v>55</v>
      </c>
      <c r="U256" s="37"/>
      <c r="V256" s="36" t="s">
        <v>55</v>
      </c>
      <c r="W256" s="34"/>
      <c r="X256" s="34"/>
      <c r="Y256" s="34"/>
      <c r="Z256" s="36" t="s">
        <v>55</v>
      </c>
      <c r="AA256" s="37"/>
      <c r="AB256" s="36" t="s">
        <v>55</v>
      </c>
      <c r="AC256" s="34" t="n">
        <v>98</v>
      </c>
      <c r="AD256" s="39" t="n">
        <f aca="false">AVERAGEA(AC256,AE256)</f>
        <v>98</v>
      </c>
      <c r="AE256" s="34" t="n">
        <v>98</v>
      </c>
      <c r="AF256" s="36" t="n">
        <v>10</v>
      </c>
      <c r="AG256" s="37" t="n">
        <f aca="false">AVERAGEA(AF256,AH256)</f>
        <v>20</v>
      </c>
      <c r="AH256" s="36" t="n">
        <v>30</v>
      </c>
      <c r="AI256" s="34" t="n">
        <v>80</v>
      </c>
      <c r="AJ256" s="39" t="n">
        <f aca="false">AVERAGEA(AI256,AK256)</f>
        <v>80</v>
      </c>
      <c r="AK256" s="34" t="n">
        <v>80</v>
      </c>
      <c r="AL256" s="36" t="n">
        <v>80</v>
      </c>
      <c r="AM256" s="37" t="n">
        <f aca="false">AVERAGEA(AL256,AN256)</f>
        <v>80</v>
      </c>
      <c r="AN256" s="36" t="n">
        <v>80</v>
      </c>
      <c r="AO256" s="34" t="n">
        <v>0</v>
      </c>
      <c r="AP256" s="39" t="n">
        <f aca="false">AVERAGEA(AO256,AQ256)</f>
        <v>0.125</v>
      </c>
      <c r="AQ256" s="34" t="n">
        <v>0.25</v>
      </c>
      <c r="AR256" s="36" t="n">
        <v>0</v>
      </c>
      <c r="AS256" s="37" t="n">
        <f aca="false">AVERAGEA(AR256,AT256)</f>
        <v>0.125</v>
      </c>
      <c r="AT256" s="36" t="n">
        <v>0.25</v>
      </c>
      <c r="AU256" s="34" t="n">
        <v>400</v>
      </c>
      <c r="AV256" s="39" t="n">
        <f aca="false">AVERAGEA(AU256,AW256)</f>
        <v>1100</v>
      </c>
      <c r="AW256" s="34" t="n">
        <v>1800</v>
      </c>
      <c r="AX256" s="36" t="n">
        <f aca="false">AV256*0.01</f>
        <v>11</v>
      </c>
      <c r="AY256" s="37" t="n">
        <f aca="false">AVERAGEA(AX256,AZ256)</f>
        <v>16.5</v>
      </c>
      <c r="AZ256" s="52" t="n">
        <f aca="false">AV256*0.02</f>
        <v>22</v>
      </c>
      <c r="BA256" s="34" t="n">
        <v>1</v>
      </c>
      <c r="BB256" s="39" t="n">
        <f aca="false">AVERAGEA(BA256,BC256)</f>
        <v>2</v>
      </c>
      <c r="BC256" s="34" t="n">
        <v>3</v>
      </c>
      <c r="BD256" s="36" t="n">
        <v>0</v>
      </c>
      <c r="BE256" s="37" t="n">
        <f aca="false">AVERAGEA(BD256,BF256)</f>
        <v>0</v>
      </c>
      <c r="BF256" s="36" t="n">
        <v>0</v>
      </c>
      <c r="BG256" s="34" t="n">
        <v>0</v>
      </c>
      <c r="BH256" s="39" t="n">
        <f aca="false">AVERAGEA(BG256,BI256)</f>
        <v>0</v>
      </c>
      <c r="BI256" s="34" t="n">
        <v>0</v>
      </c>
      <c r="BJ256" s="36" t="n">
        <v>0</v>
      </c>
      <c r="BK256" s="37" t="n">
        <f aca="false">AVERAGEA(BJ256,BL256)</f>
        <v>0</v>
      </c>
      <c r="BL256" s="36" t="n">
        <v>0</v>
      </c>
      <c r="BM256" s="34" t="s">
        <v>55</v>
      </c>
      <c r="BN256" s="39" t="n">
        <f aca="false">AVERAGEA(BM256,BO256)</f>
        <v>0</v>
      </c>
      <c r="BO256" s="34" t="s">
        <v>55</v>
      </c>
      <c r="BP256" s="36" t="n">
        <v>10</v>
      </c>
      <c r="BQ256" s="37" t="n">
        <f aca="false">AVERAGEA(BP256,BR256)</f>
        <v>15</v>
      </c>
      <c r="BR256" s="36" t="n">
        <v>20</v>
      </c>
      <c r="BS256" s="34" t="n">
        <f aca="false">BP256/60</f>
        <v>0.166666666666667</v>
      </c>
      <c r="BT256" s="39" t="n">
        <f aca="false">AVERAGEA(BS256,BU256)</f>
        <v>0.25</v>
      </c>
      <c r="BU256" s="34" t="n">
        <f aca="false">BR256/60</f>
        <v>0.333333333333333</v>
      </c>
      <c r="BV256" s="36" t="n">
        <f aca="false">BP256/60</f>
        <v>0.166666666666667</v>
      </c>
      <c r="BW256" s="37" t="n">
        <f aca="false">AVERAGEA(BV256,BX256)</f>
        <v>0.25</v>
      </c>
      <c r="BX256" s="36" t="n">
        <f aca="false">BR256/60</f>
        <v>0.333333333333333</v>
      </c>
      <c r="BY256" s="34"/>
      <c r="BZ256" s="39" t="e">
        <f aca="false">AVERAGEA(BY256,CA256)</f>
        <v>#DIV/0!</v>
      </c>
      <c r="CA256" s="34"/>
      <c r="CB256" s="36" t="s">
        <v>55</v>
      </c>
      <c r="CC256" s="37" t="n">
        <f aca="false">AVERAGEA(CB256,CD256)</f>
        <v>0</v>
      </c>
      <c r="CD256" s="36" t="s">
        <v>55</v>
      </c>
      <c r="CE256" s="34" t="n">
        <v>0</v>
      </c>
      <c r="CF256" s="39" t="n">
        <f aca="false">AVERAGEA(CE256,CG256)</f>
        <v>0</v>
      </c>
      <c r="CG256" s="34" t="n">
        <v>0</v>
      </c>
    </row>
    <row r="257" s="18" customFormat="true" ht="28.35" hidden="false" customHeight="false" outlineLevel="0" collapsed="false">
      <c r="B257" s="140"/>
      <c r="C257" s="164"/>
      <c r="D257" s="73" t="s">
        <v>250</v>
      </c>
      <c r="E257" s="163"/>
      <c r="F257" s="63" t="s">
        <v>257</v>
      </c>
      <c r="G257" s="165"/>
      <c r="H257" s="36" t="n">
        <v>350</v>
      </c>
      <c r="I257" s="37" t="n">
        <f aca="false">AVERAGEA(H257,J257)</f>
        <v>400</v>
      </c>
      <c r="J257" s="36" t="n">
        <v>450</v>
      </c>
      <c r="K257" s="34" t="n">
        <v>70</v>
      </c>
      <c r="L257" s="39" t="n">
        <f aca="false">AVERAGEA(K257,M257)</f>
        <v>70</v>
      </c>
      <c r="M257" s="34" t="n">
        <v>70</v>
      </c>
      <c r="N257" s="36" t="s">
        <v>55</v>
      </c>
      <c r="O257" s="38" t="n">
        <f aca="false">AVERAGEA(P257, N257)</f>
        <v>0</v>
      </c>
      <c r="P257" s="36" t="s">
        <v>55</v>
      </c>
      <c r="Q257" s="34"/>
      <c r="R257" s="34"/>
      <c r="S257" s="34"/>
      <c r="T257" s="36" t="s">
        <v>55</v>
      </c>
      <c r="U257" s="37"/>
      <c r="V257" s="36" t="s">
        <v>55</v>
      </c>
      <c r="W257" s="34"/>
      <c r="X257" s="34"/>
      <c r="Y257" s="34"/>
      <c r="Z257" s="36" t="s">
        <v>55</v>
      </c>
      <c r="AA257" s="37"/>
      <c r="AB257" s="36" t="s">
        <v>55</v>
      </c>
      <c r="AC257" s="34" t="n">
        <v>98</v>
      </c>
      <c r="AD257" s="39" t="n">
        <f aca="false">AVERAGEA(AC257,AE257)</f>
        <v>98</v>
      </c>
      <c r="AE257" s="34" t="n">
        <v>98</v>
      </c>
      <c r="AF257" s="36" t="n">
        <v>10</v>
      </c>
      <c r="AG257" s="37" t="n">
        <f aca="false">AVERAGEA(AF257,AH257)</f>
        <v>20</v>
      </c>
      <c r="AH257" s="36" t="n">
        <v>30</v>
      </c>
      <c r="AI257" s="34" t="n">
        <v>80</v>
      </c>
      <c r="AJ257" s="39" t="n">
        <f aca="false">AVERAGEA(AI257,AK257)</f>
        <v>80</v>
      </c>
      <c r="AK257" s="34" t="n">
        <v>80</v>
      </c>
      <c r="AL257" s="36" t="n">
        <v>80</v>
      </c>
      <c r="AM257" s="37" t="n">
        <f aca="false">AVERAGEA(AL257,AN257)</f>
        <v>80</v>
      </c>
      <c r="AN257" s="36" t="n">
        <v>80</v>
      </c>
      <c r="AO257" s="34" t="n">
        <v>0</v>
      </c>
      <c r="AP257" s="39" t="n">
        <f aca="false">AVERAGEA(AO257,AQ257)</f>
        <v>0.125</v>
      </c>
      <c r="AQ257" s="34" t="n">
        <v>0.25</v>
      </c>
      <c r="AR257" s="36" t="n">
        <v>0</v>
      </c>
      <c r="AS257" s="37" t="n">
        <f aca="false">AVERAGEA(AR257,AT257)</f>
        <v>0.125</v>
      </c>
      <c r="AT257" s="36" t="n">
        <v>0.25</v>
      </c>
      <c r="AU257" s="34" t="n">
        <v>400</v>
      </c>
      <c r="AV257" s="39" t="n">
        <f aca="false">AVERAGEA(AU257,AW257)</f>
        <v>1100</v>
      </c>
      <c r="AW257" s="34" t="n">
        <v>1800</v>
      </c>
      <c r="AX257" s="36" t="n">
        <f aca="false">AV257*0.01</f>
        <v>11</v>
      </c>
      <c r="AY257" s="37" t="n">
        <f aca="false">AVERAGEA(AX257,AZ257)</f>
        <v>18</v>
      </c>
      <c r="AZ257" s="52" t="n">
        <v>25</v>
      </c>
      <c r="BA257" s="34" t="n">
        <v>1</v>
      </c>
      <c r="BB257" s="39" t="n">
        <f aca="false">AVERAGEA(BA257,BC257)</f>
        <v>2</v>
      </c>
      <c r="BC257" s="34" t="n">
        <v>3</v>
      </c>
      <c r="BD257" s="36" t="n">
        <v>0</v>
      </c>
      <c r="BE257" s="37" t="n">
        <f aca="false">AVERAGEA(BD257,BF257)</f>
        <v>0</v>
      </c>
      <c r="BF257" s="36" t="n">
        <v>0</v>
      </c>
      <c r="BG257" s="34" t="n">
        <v>0</v>
      </c>
      <c r="BH257" s="39" t="n">
        <f aca="false">AVERAGEA(BG257,BI257)</f>
        <v>0</v>
      </c>
      <c r="BI257" s="34" t="n">
        <v>0</v>
      </c>
      <c r="BJ257" s="36" t="n">
        <v>0</v>
      </c>
      <c r="BK257" s="37" t="n">
        <f aca="false">AVERAGEA(BJ257,BL257)</f>
        <v>0</v>
      </c>
      <c r="BL257" s="36" t="n">
        <v>0</v>
      </c>
      <c r="BM257" s="34" t="s">
        <v>55</v>
      </c>
      <c r="BN257" s="39" t="n">
        <f aca="false">AVERAGEA(BM257,BO257)</f>
        <v>0</v>
      </c>
      <c r="BO257" s="34" t="s">
        <v>55</v>
      </c>
      <c r="BP257" s="36" t="n">
        <v>10</v>
      </c>
      <c r="BQ257" s="37" t="n">
        <f aca="false">AVERAGEA(BP257,BR257)</f>
        <v>15</v>
      </c>
      <c r="BR257" s="36" t="n">
        <v>20</v>
      </c>
      <c r="BS257" s="34" t="n">
        <f aca="false">BP257/60</f>
        <v>0.166666666666667</v>
      </c>
      <c r="BT257" s="39" t="n">
        <f aca="false">AVERAGEA(BS257,BU257)</f>
        <v>0.25</v>
      </c>
      <c r="BU257" s="34" t="n">
        <f aca="false">BR257/60</f>
        <v>0.333333333333333</v>
      </c>
      <c r="BV257" s="36" t="n">
        <f aca="false">BP257/60</f>
        <v>0.166666666666667</v>
      </c>
      <c r="BW257" s="37" t="n">
        <f aca="false">AVERAGEA(BV257,BX257)</f>
        <v>0.25</v>
      </c>
      <c r="BX257" s="36" t="n">
        <f aca="false">BR257/60</f>
        <v>0.333333333333333</v>
      </c>
      <c r="BY257" s="34"/>
      <c r="BZ257" s="39" t="e">
        <f aca="false">AVERAGEA(BY257,CA257)</f>
        <v>#DIV/0!</v>
      </c>
      <c r="CA257" s="34"/>
      <c r="CB257" s="36" t="s">
        <v>55</v>
      </c>
      <c r="CC257" s="37" t="n">
        <f aca="false">AVERAGEA(CB257,CD257)</f>
        <v>0</v>
      </c>
      <c r="CD257" s="36" t="s">
        <v>55</v>
      </c>
      <c r="CE257" s="34" t="n">
        <v>0</v>
      </c>
      <c r="CF257" s="39" t="n">
        <f aca="false">AVERAGEA(CE257,CG257)</f>
        <v>0</v>
      </c>
      <c r="CG257" s="34" t="n">
        <v>0</v>
      </c>
    </row>
    <row r="258" s="18" customFormat="true" ht="28.35" hidden="false" customHeight="true" outlineLevel="0" collapsed="false">
      <c r="B258" s="140"/>
      <c r="C258" s="63" t="s">
        <v>258</v>
      </c>
      <c r="D258" s="73" t="s">
        <v>246</v>
      </c>
      <c r="E258" s="163"/>
      <c r="F258" s="63" t="s">
        <v>259</v>
      </c>
      <c r="G258" s="165"/>
      <c r="H258" s="36" t="n">
        <v>100</v>
      </c>
      <c r="I258" s="37" t="n">
        <f aca="false">AVERAGEA(H258,J258)</f>
        <v>100</v>
      </c>
      <c r="J258" s="36" t="n">
        <v>100</v>
      </c>
      <c r="K258" s="34" t="n">
        <v>80</v>
      </c>
      <c r="L258" s="39" t="n">
        <f aca="false">AVERAGEA(K258,M258)</f>
        <v>80</v>
      </c>
      <c r="M258" s="34" t="n">
        <v>80</v>
      </c>
      <c r="N258" s="36" t="n">
        <v>100</v>
      </c>
      <c r="O258" s="38" t="n">
        <f aca="false">AVERAGEA(P258, N258)</f>
        <v>100</v>
      </c>
      <c r="P258" s="36" t="n">
        <v>100</v>
      </c>
      <c r="Q258" s="34"/>
      <c r="R258" s="34"/>
      <c r="S258" s="34"/>
      <c r="T258" s="36"/>
      <c r="U258" s="37"/>
      <c r="V258" s="36"/>
      <c r="W258" s="34"/>
      <c r="X258" s="34"/>
      <c r="Y258" s="34"/>
      <c r="Z258" s="36"/>
      <c r="AA258" s="37"/>
      <c r="AB258" s="36"/>
      <c r="AC258" s="34" t="n">
        <v>99</v>
      </c>
      <c r="AD258" s="39" t="n">
        <f aca="false">AVERAGEA(AC258,AE258)</f>
        <v>99</v>
      </c>
      <c r="AE258" s="34" t="n">
        <v>99</v>
      </c>
      <c r="AF258" s="36" t="n">
        <v>10</v>
      </c>
      <c r="AG258" s="37" t="n">
        <f aca="false">AVERAGEA(AF258,AH258)</f>
        <v>10</v>
      </c>
      <c r="AH258" s="36" t="n">
        <v>10</v>
      </c>
      <c r="AI258" s="34" t="n">
        <v>100</v>
      </c>
      <c r="AJ258" s="39" t="n">
        <f aca="false">AVERAGEA(AI258,AK258)</f>
        <v>100</v>
      </c>
      <c r="AK258" s="34" t="n">
        <v>100</v>
      </c>
      <c r="AL258" s="36" t="n">
        <v>100</v>
      </c>
      <c r="AM258" s="37" t="n">
        <f aca="false">AVERAGEA(AL258,AN258)</f>
        <v>100</v>
      </c>
      <c r="AN258" s="36" t="n">
        <v>100</v>
      </c>
      <c r="AO258" s="34" t="n">
        <v>0</v>
      </c>
      <c r="AP258" s="39" t="n">
        <f aca="false">AVERAGEA(AO258,AQ258)</f>
        <v>0</v>
      </c>
      <c r="AQ258" s="34" t="n">
        <v>0</v>
      </c>
      <c r="AR258" s="36" t="n">
        <v>0</v>
      </c>
      <c r="AS258" s="37" t="n">
        <f aca="false">AVERAGEA(AR258,AT258)</f>
        <v>0</v>
      </c>
      <c r="AT258" s="36" t="n">
        <v>0</v>
      </c>
      <c r="AU258" s="34" t="n">
        <v>70</v>
      </c>
      <c r="AV258" s="39" t="n">
        <f aca="false">AVERAGEA(AU258,AW258)</f>
        <v>110</v>
      </c>
      <c r="AW258" s="34" t="n">
        <v>150</v>
      </c>
      <c r="AX258" s="36" t="n">
        <f aca="false">AV258*0.01</f>
        <v>1.1</v>
      </c>
      <c r="AY258" s="37" t="n">
        <f aca="false">AVERAGEA(AX258,AZ258)</f>
        <v>1.8</v>
      </c>
      <c r="AZ258" s="36" t="n">
        <v>2.5</v>
      </c>
      <c r="BA258" s="34" t="n">
        <v>0.5</v>
      </c>
      <c r="BB258" s="39" t="n">
        <f aca="false">AVERAGEA(BA258,BC258)</f>
        <v>0.5</v>
      </c>
      <c r="BC258" s="34" t="n">
        <v>0.5</v>
      </c>
      <c r="BD258" s="36" t="n">
        <v>0</v>
      </c>
      <c r="BE258" s="37" t="n">
        <f aca="false">AVERAGEA(BD258,BF258)</f>
        <v>0</v>
      </c>
      <c r="BF258" s="36" t="n">
        <v>0</v>
      </c>
      <c r="BG258" s="34" t="n">
        <v>0</v>
      </c>
      <c r="BH258" s="39" t="n">
        <f aca="false">AVERAGEA(BG258,BI258)</f>
        <v>0</v>
      </c>
      <c r="BI258" s="34" t="n">
        <v>0</v>
      </c>
      <c r="BJ258" s="36" t="n">
        <v>0</v>
      </c>
      <c r="BK258" s="37" t="n">
        <f aca="false">AVERAGEA(BJ258,BL258)</f>
        <v>0</v>
      </c>
      <c r="BL258" s="36" t="n">
        <v>0</v>
      </c>
      <c r="BM258" s="34" t="s">
        <v>55</v>
      </c>
      <c r="BN258" s="39" t="n">
        <f aca="false">AVERAGEA(BM258,BO258)</f>
        <v>0</v>
      </c>
      <c r="BO258" s="34" t="s">
        <v>55</v>
      </c>
      <c r="BP258" s="36" t="n">
        <v>0</v>
      </c>
      <c r="BQ258" s="37" t="n">
        <f aca="false">AVERAGEA(BP258,BR258)</f>
        <v>0</v>
      </c>
      <c r="BR258" s="36" t="n">
        <v>0</v>
      </c>
      <c r="BS258" s="34" t="n">
        <v>0</v>
      </c>
      <c r="BT258" s="39" t="n">
        <f aca="false">AVERAGEA(BS258,BU258)</f>
        <v>0</v>
      </c>
      <c r="BU258" s="34" t="n">
        <v>0</v>
      </c>
      <c r="BV258" s="36" t="n">
        <v>0</v>
      </c>
      <c r="BW258" s="37" t="n">
        <f aca="false">AVERAGEA(BV258,BX258)</f>
        <v>0</v>
      </c>
      <c r="BX258" s="36" t="n">
        <v>0</v>
      </c>
      <c r="BY258" s="34"/>
      <c r="BZ258" s="39" t="e">
        <f aca="false">AVERAGEA(BY258,CA258)</f>
        <v>#DIV/0!</v>
      </c>
      <c r="CA258" s="34"/>
      <c r="CB258" s="36" t="n">
        <v>100</v>
      </c>
      <c r="CC258" s="37" t="n">
        <f aca="false">AVERAGEA(CB258,CD258)</f>
        <v>100</v>
      </c>
      <c r="CD258" s="36" t="n">
        <v>100</v>
      </c>
      <c r="CE258" s="34" t="n">
        <v>0</v>
      </c>
      <c r="CF258" s="39" t="n">
        <f aca="false">AVERAGEA(CE258,CG258)</f>
        <v>0</v>
      </c>
      <c r="CG258" s="34" t="n">
        <v>0</v>
      </c>
    </row>
    <row r="259" s="18" customFormat="true" ht="41.75" hidden="false" customHeight="false" outlineLevel="0" collapsed="false">
      <c r="B259" s="140"/>
      <c r="C259" s="63"/>
      <c r="D259" s="73" t="s">
        <v>248</v>
      </c>
      <c r="E259" s="163"/>
      <c r="F259" s="63" t="s">
        <v>260</v>
      </c>
      <c r="G259" s="165"/>
      <c r="H259" s="36" t="n">
        <v>100</v>
      </c>
      <c r="I259" s="37" t="n">
        <f aca="false">AVERAGEA(H259,J259)</f>
        <v>100</v>
      </c>
      <c r="J259" s="36" t="n">
        <v>100</v>
      </c>
      <c r="K259" s="34" t="n">
        <v>85</v>
      </c>
      <c r="L259" s="39" t="n">
        <f aca="false">AVERAGEA(K259,M259)</f>
        <v>85</v>
      </c>
      <c r="M259" s="34" t="n">
        <v>85</v>
      </c>
      <c r="N259" s="36" t="n">
        <v>100</v>
      </c>
      <c r="O259" s="38" t="n">
        <f aca="false">AVERAGEA(P259, N259)</f>
        <v>100</v>
      </c>
      <c r="P259" s="36" t="n">
        <v>100</v>
      </c>
      <c r="Q259" s="34"/>
      <c r="R259" s="34"/>
      <c r="S259" s="34"/>
      <c r="T259" s="36"/>
      <c r="U259" s="37"/>
      <c r="V259" s="36"/>
      <c r="W259" s="34"/>
      <c r="X259" s="34"/>
      <c r="Y259" s="34"/>
      <c r="Z259" s="36"/>
      <c r="AA259" s="37"/>
      <c r="AB259" s="36"/>
      <c r="AC259" s="34" t="n">
        <v>99</v>
      </c>
      <c r="AD259" s="39" t="n">
        <f aca="false">AVERAGEA(AC259,AE259)</f>
        <v>99</v>
      </c>
      <c r="AE259" s="34" t="n">
        <v>99</v>
      </c>
      <c r="AF259" s="36" t="n">
        <v>10</v>
      </c>
      <c r="AG259" s="37" t="n">
        <f aca="false">AVERAGEA(AF259,AH259)</f>
        <v>10</v>
      </c>
      <c r="AH259" s="36" t="n">
        <v>10</v>
      </c>
      <c r="AI259" s="34" t="n">
        <v>100</v>
      </c>
      <c r="AJ259" s="39" t="n">
        <f aca="false">AVERAGEA(AI259,AK259)</f>
        <v>100</v>
      </c>
      <c r="AK259" s="34" t="n">
        <v>100</v>
      </c>
      <c r="AL259" s="36" t="n">
        <v>100</v>
      </c>
      <c r="AM259" s="37" t="n">
        <f aca="false">AVERAGEA(AL259,AN259)</f>
        <v>100</v>
      </c>
      <c r="AN259" s="36" t="n">
        <v>100</v>
      </c>
      <c r="AO259" s="34" t="n">
        <v>0</v>
      </c>
      <c r="AP259" s="39" t="n">
        <f aca="false">AVERAGEA(AO259,AQ259)</f>
        <v>0</v>
      </c>
      <c r="AQ259" s="34" t="n">
        <v>0</v>
      </c>
      <c r="AR259" s="36" t="n">
        <v>0</v>
      </c>
      <c r="AS259" s="37" t="n">
        <f aca="false">AVERAGEA(AR259,AT259)</f>
        <v>0</v>
      </c>
      <c r="AT259" s="36" t="n">
        <v>0</v>
      </c>
      <c r="AU259" s="34" t="n">
        <v>70</v>
      </c>
      <c r="AV259" s="39" t="n">
        <f aca="false">AVERAGEA(AU259,AW259)</f>
        <v>110</v>
      </c>
      <c r="AW259" s="34" t="n">
        <v>150</v>
      </c>
      <c r="AX259" s="36" t="n">
        <f aca="false">AV259*0.01</f>
        <v>1.1</v>
      </c>
      <c r="AY259" s="37" t="n">
        <f aca="false">AVERAGEA(AX259,AZ259)</f>
        <v>2.05</v>
      </c>
      <c r="AZ259" s="36" t="n">
        <v>3</v>
      </c>
      <c r="BA259" s="34" t="n">
        <v>0.5</v>
      </c>
      <c r="BB259" s="39" t="n">
        <f aca="false">AVERAGEA(BA259,BC259)</f>
        <v>0.5</v>
      </c>
      <c r="BC259" s="34" t="n">
        <v>0.5</v>
      </c>
      <c r="BD259" s="36" t="n">
        <v>0</v>
      </c>
      <c r="BE259" s="37" t="n">
        <f aca="false">AVERAGEA(BD259,BF259)</f>
        <v>0</v>
      </c>
      <c r="BF259" s="36" t="n">
        <v>0</v>
      </c>
      <c r="BG259" s="34" t="n">
        <v>0</v>
      </c>
      <c r="BH259" s="39" t="n">
        <f aca="false">AVERAGEA(BG259,BI259)</f>
        <v>0</v>
      </c>
      <c r="BI259" s="34" t="n">
        <v>0</v>
      </c>
      <c r="BJ259" s="36" t="n">
        <v>0</v>
      </c>
      <c r="BK259" s="37" t="n">
        <f aca="false">AVERAGEA(BJ259,BL259)</f>
        <v>0</v>
      </c>
      <c r="BL259" s="36" t="n">
        <v>0</v>
      </c>
      <c r="BM259" s="34" t="s">
        <v>55</v>
      </c>
      <c r="BN259" s="39" t="n">
        <f aca="false">AVERAGEA(BM259,BO259)</f>
        <v>0</v>
      </c>
      <c r="BO259" s="34" t="s">
        <v>55</v>
      </c>
      <c r="BP259" s="36" t="n">
        <v>0</v>
      </c>
      <c r="BQ259" s="37" t="n">
        <f aca="false">AVERAGEA(BP259,BR259)</f>
        <v>0</v>
      </c>
      <c r="BR259" s="36" t="n">
        <v>0</v>
      </c>
      <c r="BS259" s="34" t="n">
        <v>0</v>
      </c>
      <c r="BT259" s="39" t="n">
        <f aca="false">AVERAGEA(BS259,BU259)</f>
        <v>0</v>
      </c>
      <c r="BU259" s="34" t="n">
        <v>0</v>
      </c>
      <c r="BV259" s="36" t="n">
        <v>0</v>
      </c>
      <c r="BW259" s="37" t="n">
        <f aca="false">AVERAGEA(BV259,BX259)</f>
        <v>0</v>
      </c>
      <c r="BX259" s="36" t="n">
        <v>0</v>
      </c>
      <c r="BY259" s="34"/>
      <c r="BZ259" s="39" t="e">
        <f aca="false">AVERAGEA(BY259,CA259)</f>
        <v>#DIV/0!</v>
      </c>
      <c r="CA259" s="34"/>
      <c r="CB259" s="36" t="n">
        <v>100</v>
      </c>
      <c r="CC259" s="37" t="n">
        <f aca="false">AVERAGEA(CB259,CD259)</f>
        <v>100</v>
      </c>
      <c r="CD259" s="36" t="n">
        <v>100</v>
      </c>
      <c r="CE259" s="34" t="n">
        <v>0</v>
      </c>
      <c r="CF259" s="39" t="n">
        <f aca="false">AVERAGEA(CE259,CG259)</f>
        <v>0</v>
      </c>
      <c r="CG259" s="34" t="n">
        <v>0</v>
      </c>
    </row>
    <row r="260" s="18" customFormat="true" ht="28.35" hidden="false" customHeight="false" outlineLevel="0" collapsed="false">
      <c r="B260" s="140"/>
      <c r="C260" s="63"/>
      <c r="D260" s="63" t="s">
        <v>250</v>
      </c>
      <c r="E260" s="163"/>
      <c r="F260" s="63" t="s">
        <v>257</v>
      </c>
      <c r="G260" s="165"/>
      <c r="H260" s="36" t="n">
        <v>100</v>
      </c>
      <c r="I260" s="37" t="n">
        <f aca="false">AVERAGEA(H260,J260)</f>
        <v>100</v>
      </c>
      <c r="J260" s="36" t="n">
        <v>100</v>
      </c>
      <c r="K260" s="34" t="n">
        <v>70</v>
      </c>
      <c r="L260" s="39" t="n">
        <f aca="false">AVERAGEA(K260,M260)</f>
        <v>70</v>
      </c>
      <c r="M260" s="34" t="n">
        <v>70</v>
      </c>
      <c r="N260" s="36" t="n">
        <v>100</v>
      </c>
      <c r="O260" s="38" t="n">
        <f aca="false">AVERAGEA(P260, N260)</f>
        <v>100</v>
      </c>
      <c r="P260" s="36" t="n">
        <v>100</v>
      </c>
      <c r="Q260" s="34"/>
      <c r="R260" s="34"/>
      <c r="S260" s="34"/>
      <c r="T260" s="36" t="s">
        <v>55</v>
      </c>
      <c r="U260" s="37"/>
      <c r="V260" s="36" t="s">
        <v>55</v>
      </c>
      <c r="W260" s="34"/>
      <c r="X260" s="34"/>
      <c r="Y260" s="34"/>
      <c r="Z260" s="36" t="s">
        <v>55</v>
      </c>
      <c r="AA260" s="37"/>
      <c r="AB260" s="36" t="s">
        <v>55</v>
      </c>
      <c r="AC260" s="34" t="n">
        <v>99</v>
      </c>
      <c r="AD260" s="39" t="n">
        <f aca="false">AVERAGEA(AC260,AE260)</f>
        <v>99</v>
      </c>
      <c r="AE260" s="34" t="n">
        <v>99</v>
      </c>
      <c r="AF260" s="36" t="n">
        <v>15</v>
      </c>
      <c r="AG260" s="37" t="n">
        <f aca="false">AVERAGEA(AF260,AH260)</f>
        <v>15</v>
      </c>
      <c r="AH260" s="36" t="n">
        <v>15</v>
      </c>
      <c r="AI260" s="34" t="n">
        <v>100</v>
      </c>
      <c r="AJ260" s="39" t="n">
        <f aca="false">AVERAGEA(AI260,AK260)</f>
        <v>100</v>
      </c>
      <c r="AK260" s="34" t="n">
        <v>100</v>
      </c>
      <c r="AL260" s="36" t="n">
        <v>100</v>
      </c>
      <c r="AM260" s="37" t="n">
        <f aca="false">AVERAGEA(AL260,AN260)</f>
        <v>100</v>
      </c>
      <c r="AN260" s="36" t="n">
        <v>100</v>
      </c>
      <c r="AO260" s="34" t="n">
        <v>0</v>
      </c>
      <c r="AP260" s="39" t="n">
        <f aca="false">AVERAGEA(AO260,AQ260)</f>
        <v>0</v>
      </c>
      <c r="AQ260" s="34" t="n">
        <v>0</v>
      </c>
      <c r="AR260" s="36" t="n">
        <v>0</v>
      </c>
      <c r="AS260" s="37" t="n">
        <f aca="false">AVERAGEA(AR260,AT260)</f>
        <v>0</v>
      </c>
      <c r="AT260" s="36" t="n">
        <v>0</v>
      </c>
      <c r="AU260" s="34" t="n">
        <v>70</v>
      </c>
      <c r="AV260" s="39" t="n">
        <f aca="false">AVERAGEA(AU260,AW260)</f>
        <v>110</v>
      </c>
      <c r="AW260" s="34" t="n">
        <v>150</v>
      </c>
      <c r="AX260" s="36" t="n">
        <f aca="false">AV260*0.01</f>
        <v>1.1</v>
      </c>
      <c r="AY260" s="37" t="n">
        <f aca="false">AVERAGEA(AX260,AZ260)</f>
        <v>2.55</v>
      </c>
      <c r="AZ260" s="36" t="n">
        <v>4</v>
      </c>
      <c r="BA260" s="34" t="n">
        <v>0.4</v>
      </c>
      <c r="BB260" s="39" t="n">
        <f aca="false">AVERAGEA(BA260,BC260)</f>
        <v>0.45</v>
      </c>
      <c r="BC260" s="34" t="n">
        <v>0.5</v>
      </c>
      <c r="BD260" s="36" t="n">
        <v>0</v>
      </c>
      <c r="BE260" s="37" t="n">
        <f aca="false">AVERAGEA(BD260,BF260)</f>
        <v>0</v>
      </c>
      <c r="BF260" s="36" t="n">
        <v>0</v>
      </c>
      <c r="BG260" s="34" t="n">
        <v>0</v>
      </c>
      <c r="BH260" s="39" t="n">
        <f aca="false">AVERAGEA(BG260,BI260)</f>
        <v>0</v>
      </c>
      <c r="BI260" s="34" t="n">
        <v>0</v>
      </c>
      <c r="BJ260" s="36" t="n">
        <v>0</v>
      </c>
      <c r="BK260" s="37" t="n">
        <f aca="false">AVERAGEA(BJ260,BL260)</f>
        <v>0</v>
      </c>
      <c r="BL260" s="36" t="n">
        <v>0</v>
      </c>
      <c r="BM260" s="34" t="s">
        <v>55</v>
      </c>
      <c r="BN260" s="39" t="n">
        <f aca="false">AVERAGEA(BM260,BO260)</f>
        <v>0</v>
      </c>
      <c r="BO260" s="34" t="s">
        <v>55</v>
      </c>
      <c r="BP260" s="36" t="n">
        <v>0</v>
      </c>
      <c r="BQ260" s="37" t="n">
        <f aca="false">AVERAGEA(BP260,BR260)</f>
        <v>0</v>
      </c>
      <c r="BR260" s="36" t="n">
        <v>0</v>
      </c>
      <c r="BS260" s="34" t="n">
        <v>0</v>
      </c>
      <c r="BT260" s="39" t="n">
        <f aca="false">AVERAGEA(BS260,BU260)</f>
        <v>0</v>
      </c>
      <c r="BU260" s="34" t="n">
        <v>0</v>
      </c>
      <c r="BV260" s="36" t="n">
        <v>0</v>
      </c>
      <c r="BW260" s="37" t="n">
        <f aca="false">AVERAGEA(BV260,BX260)</f>
        <v>0</v>
      </c>
      <c r="BX260" s="36" t="n">
        <v>0</v>
      </c>
      <c r="BY260" s="34"/>
      <c r="BZ260" s="39" t="e">
        <f aca="false">AVERAGEA(BY260,CA260)</f>
        <v>#DIV/0!</v>
      </c>
      <c r="CA260" s="34"/>
      <c r="CB260" s="36" t="n">
        <v>100</v>
      </c>
      <c r="CC260" s="37" t="n">
        <f aca="false">AVERAGEA(CB260,CD260)</f>
        <v>100</v>
      </c>
      <c r="CD260" s="36" t="n">
        <v>100</v>
      </c>
      <c r="CE260" s="34" t="n">
        <v>0</v>
      </c>
      <c r="CF260" s="39" t="n">
        <f aca="false">AVERAGEA(CE260,CG260)</f>
        <v>0</v>
      </c>
      <c r="CG260" s="34" t="n">
        <v>0</v>
      </c>
    </row>
    <row r="261" s="18" customFormat="true" ht="28.35" hidden="false" customHeight="false" outlineLevel="0" collapsed="false">
      <c r="B261" s="140"/>
      <c r="C261" s="63"/>
      <c r="D261" s="63" t="s">
        <v>252</v>
      </c>
      <c r="E261" s="163"/>
      <c r="F261" s="129" t="s">
        <v>261</v>
      </c>
      <c r="G261" s="165"/>
      <c r="H261" s="52" t="n">
        <v>100</v>
      </c>
      <c r="I261" s="51" t="n">
        <f aca="false">AVERAGEA(H261,J261)</f>
        <v>100</v>
      </c>
      <c r="J261" s="52" t="n">
        <v>100</v>
      </c>
      <c r="K261" s="77" t="n">
        <v>75</v>
      </c>
      <c r="L261" s="54" t="n">
        <f aca="false">AVERAGEA(K261,M261)</f>
        <v>75</v>
      </c>
      <c r="M261" s="77" t="n">
        <v>75</v>
      </c>
      <c r="N261" s="36" t="n">
        <v>100</v>
      </c>
      <c r="O261" s="51" t="n">
        <f aca="false">AVERAGEA(N261,P261)</f>
        <v>100</v>
      </c>
      <c r="P261" s="36" t="n">
        <v>100</v>
      </c>
      <c r="Q261" s="34"/>
      <c r="R261" s="34"/>
      <c r="S261" s="34"/>
      <c r="T261" s="36" t="s">
        <v>55</v>
      </c>
      <c r="U261" s="51" t="n">
        <f aca="false">AVERAGEA(T261,V261)</f>
        <v>0</v>
      </c>
      <c r="V261" s="36" t="s">
        <v>55</v>
      </c>
      <c r="W261" s="34"/>
      <c r="X261" s="34"/>
      <c r="Y261" s="34"/>
      <c r="Z261" s="36" t="s">
        <v>55</v>
      </c>
      <c r="AA261" s="51" t="n">
        <f aca="false">AVERAGEA(Z261,AB261)</f>
        <v>0</v>
      </c>
      <c r="AB261" s="36" t="s">
        <v>55</v>
      </c>
      <c r="AC261" s="34" t="n">
        <v>99</v>
      </c>
      <c r="AD261" s="54" t="n">
        <f aca="false">AVERAGEA(AC261,AE261)</f>
        <v>99</v>
      </c>
      <c r="AE261" s="34" t="n">
        <v>99</v>
      </c>
      <c r="AF261" s="52" t="n">
        <v>15</v>
      </c>
      <c r="AG261" s="51" t="n">
        <f aca="false">AVERAGEA(AF261,AH261)</f>
        <v>15</v>
      </c>
      <c r="AH261" s="52" t="n">
        <v>15</v>
      </c>
      <c r="AI261" s="77" t="n">
        <v>100</v>
      </c>
      <c r="AJ261" s="54" t="n">
        <f aca="false">AVERAGEA(AI261,AK261)</f>
        <v>100</v>
      </c>
      <c r="AK261" s="77" t="n">
        <v>100</v>
      </c>
      <c r="AL261" s="36" t="n">
        <v>100</v>
      </c>
      <c r="AM261" s="51" t="n">
        <f aca="false">AVERAGEA(AL261,AN261)</f>
        <v>100</v>
      </c>
      <c r="AN261" s="36" t="n">
        <v>100</v>
      </c>
      <c r="AO261" s="34" t="n">
        <v>0</v>
      </c>
      <c r="AP261" s="54" t="n">
        <f aca="false">AVERAGEA(AO261,AQ261)</f>
        <v>0</v>
      </c>
      <c r="AQ261" s="34" t="n">
        <v>0</v>
      </c>
      <c r="AR261" s="36" t="n">
        <v>0</v>
      </c>
      <c r="AS261" s="51" t="n">
        <f aca="false">AVERAGEA(AR261,AT261)</f>
        <v>0</v>
      </c>
      <c r="AT261" s="36" t="n">
        <v>0</v>
      </c>
      <c r="AU261" s="34" t="n">
        <v>70</v>
      </c>
      <c r="AV261" s="54" t="n">
        <f aca="false">AVERAGEA(AU261,AW261)</f>
        <v>110</v>
      </c>
      <c r="AW261" s="34" t="n">
        <v>150</v>
      </c>
      <c r="AX261" s="36" t="n">
        <f aca="false">AV261*0.01</f>
        <v>1.1</v>
      </c>
      <c r="AY261" s="51" t="n">
        <f aca="false">AVERAGEA(AX261,AZ261)</f>
        <v>3.05</v>
      </c>
      <c r="AZ261" s="36" t="n">
        <v>5</v>
      </c>
      <c r="BA261" s="34" t="n">
        <v>0.3</v>
      </c>
      <c r="BB261" s="54" t="n">
        <f aca="false">AVERAGEA(BA261,BC261)</f>
        <v>0.4</v>
      </c>
      <c r="BC261" s="34" t="n">
        <v>0.5</v>
      </c>
      <c r="BD261" s="36" t="n">
        <v>0</v>
      </c>
      <c r="BE261" s="51" t="n">
        <f aca="false">AVERAGEA(BD261,BF261)</f>
        <v>0</v>
      </c>
      <c r="BF261" s="36" t="n">
        <v>0</v>
      </c>
      <c r="BG261" s="34" t="n">
        <v>0</v>
      </c>
      <c r="BH261" s="54" t="n">
        <f aca="false">AVERAGEA(BG261,BI261)</f>
        <v>0</v>
      </c>
      <c r="BI261" s="34" t="n">
        <v>0</v>
      </c>
      <c r="BJ261" s="36" t="n">
        <v>0</v>
      </c>
      <c r="BK261" s="51" t="n">
        <f aca="false">AVERAGEA(BJ261,BL261)</f>
        <v>0</v>
      </c>
      <c r="BL261" s="36" t="n">
        <v>0</v>
      </c>
      <c r="BM261" s="34" t="s">
        <v>55</v>
      </c>
      <c r="BN261" s="54" t="n">
        <f aca="false">AVERAGEA(BM261,BO261)</f>
        <v>0</v>
      </c>
      <c r="BO261" s="34" t="s">
        <v>55</v>
      </c>
      <c r="BP261" s="36" t="n">
        <v>0</v>
      </c>
      <c r="BQ261" s="51" t="n">
        <f aca="false">AVERAGEA(BP261,BR261)</f>
        <v>0</v>
      </c>
      <c r="BR261" s="36" t="n">
        <v>0</v>
      </c>
      <c r="BS261" s="34" t="n">
        <v>0</v>
      </c>
      <c r="BT261" s="54" t="n">
        <f aca="false">AVERAGEA(BS261,BU261)</f>
        <v>0</v>
      </c>
      <c r="BU261" s="34" t="n">
        <v>0</v>
      </c>
      <c r="BV261" s="36" t="n">
        <v>0</v>
      </c>
      <c r="BW261" s="51" t="n">
        <f aca="false">AVERAGEA(BV261,BX261)</f>
        <v>0</v>
      </c>
      <c r="BX261" s="36" t="n">
        <v>0</v>
      </c>
      <c r="BY261" s="34"/>
      <c r="BZ261" s="54" t="e">
        <f aca="false">AVERAGEA(BY261,CA261)</f>
        <v>#DIV/0!</v>
      </c>
      <c r="CA261" s="34"/>
      <c r="CB261" s="36" t="n">
        <v>100</v>
      </c>
      <c r="CC261" s="51" t="n">
        <f aca="false">AVERAGEA(CB261,CD261)</f>
        <v>100</v>
      </c>
      <c r="CD261" s="36" t="n">
        <v>100</v>
      </c>
      <c r="CE261" s="34" t="n">
        <v>0</v>
      </c>
      <c r="CF261" s="54" t="n">
        <f aca="false">AVERAGEA(CE261,CG261)</f>
        <v>0</v>
      </c>
      <c r="CG261" s="34" t="n">
        <v>0</v>
      </c>
    </row>
    <row r="262" s="18" customFormat="true" ht="14.9" hidden="false" customHeight="false" outlineLevel="0" collapsed="false">
      <c r="B262" s="150"/>
      <c r="C262" s="154" t="s">
        <v>262</v>
      </c>
      <c r="D262" s="154"/>
      <c r="E262" s="153"/>
      <c r="F262" s="154"/>
      <c r="G262" s="155"/>
      <c r="H262" s="144"/>
      <c r="I262" s="30" t="e">
        <f aca="false">AVERAGEA(H262,J262)</f>
        <v>#DIV/0!</v>
      </c>
      <c r="J262" s="144"/>
      <c r="K262" s="146"/>
      <c r="L262" s="27" t="e">
        <f aca="false">AVERAGEA(K262,M262)</f>
        <v>#DIV/0!</v>
      </c>
      <c r="M262" s="146"/>
      <c r="N262" s="144"/>
      <c r="O262" s="30" t="e">
        <f aca="false">AVERAGEA(N262,P262)</f>
        <v>#DIV/0!</v>
      </c>
      <c r="P262" s="144"/>
      <c r="Q262" s="146"/>
      <c r="R262" s="27" t="e">
        <f aca="false">AVERAGEA(Q262,S262)</f>
        <v>#DIV/0!</v>
      </c>
      <c r="S262" s="146"/>
      <c r="T262" s="144"/>
      <c r="U262" s="30" t="e">
        <f aca="false">AVERAGEA(T262,V262)</f>
        <v>#DIV/0!</v>
      </c>
      <c r="V262" s="144"/>
      <c r="W262" s="146"/>
      <c r="X262" s="27" t="e">
        <f aca="false">AVERAGEA(W262,Y262)</f>
        <v>#DIV/0!</v>
      </c>
      <c r="Y262" s="146"/>
      <c r="Z262" s="144"/>
      <c r="AA262" s="30" t="e">
        <f aca="false">AVERAGEA(Z262,AB262)</f>
        <v>#DIV/0!</v>
      </c>
      <c r="AB262" s="144"/>
      <c r="AC262" s="146"/>
      <c r="AD262" s="27" t="e">
        <f aca="false">AVERAGEA(AC262,AE262)</f>
        <v>#DIV/0!</v>
      </c>
      <c r="AE262" s="146"/>
      <c r="AF262" s="144"/>
      <c r="AG262" s="30" t="e">
        <f aca="false">AVERAGEA(AF262,AH262)</f>
        <v>#DIV/0!</v>
      </c>
      <c r="AH262" s="144"/>
      <c r="AI262" s="146"/>
      <c r="AJ262" s="27" t="e">
        <f aca="false">AVERAGEA(AI262,AK262)</f>
        <v>#DIV/0!</v>
      </c>
      <c r="AK262" s="146"/>
      <c r="AL262" s="144"/>
      <c r="AM262" s="30" t="e">
        <f aca="false">AVERAGEA(AL262,AN262)</f>
        <v>#DIV/0!</v>
      </c>
      <c r="AN262" s="144"/>
      <c r="AO262" s="146"/>
      <c r="AP262" s="27" t="e">
        <f aca="false">AVERAGEA(AO262,AQ262)</f>
        <v>#DIV/0!</v>
      </c>
      <c r="AQ262" s="146"/>
      <c r="AR262" s="144"/>
      <c r="AS262" s="30" t="e">
        <f aca="false">AVERAGEA(AR262,AT262)</f>
        <v>#DIV/0!</v>
      </c>
      <c r="AT262" s="144"/>
      <c r="AU262" s="146"/>
      <c r="AV262" s="27" t="e">
        <f aca="false">AVERAGEA(AU262,AW262)</f>
        <v>#DIV/0!</v>
      </c>
      <c r="AW262" s="146"/>
      <c r="AX262" s="144"/>
      <c r="AY262" s="30" t="e">
        <f aca="false">AVERAGEA(AX262,AZ262)</f>
        <v>#DIV/0!</v>
      </c>
      <c r="AZ262" s="144"/>
      <c r="BA262" s="146"/>
      <c r="BB262" s="27" t="e">
        <f aca="false">AVERAGEA(BA262,BC262)</f>
        <v>#DIV/0!</v>
      </c>
      <c r="BC262" s="146"/>
      <c r="BD262" s="144"/>
      <c r="BE262" s="30" t="e">
        <f aca="false">AVERAGEA(BD262,BF262)</f>
        <v>#DIV/0!</v>
      </c>
      <c r="BF262" s="144"/>
      <c r="BG262" s="146" t="n">
        <v>0</v>
      </c>
      <c r="BH262" s="27" t="n">
        <f aca="false">AVERAGEA(BG262,BI262)</f>
        <v>0</v>
      </c>
      <c r="BI262" s="146"/>
      <c r="BJ262" s="144"/>
      <c r="BK262" s="30" t="e">
        <f aca="false">AVERAGEA(BJ262,BL262)</f>
        <v>#DIV/0!</v>
      </c>
      <c r="BL262" s="144"/>
      <c r="BM262" s="146"/>
      <c r="BN262" s="27" t="e">
        <f aca="false">AVERAGEA(BM262,BO262)</f>
        <v>#DIV/0!</v>
      </c>
      <c r="BO262" s="146"/>
      <c r="BP262" s="144"/>
      <c r="BQ262" s="30" t="e">
        <f aca="false">AVERAGEA(BP262,BR262)</f>
        <v>#DIV/0!</v>
      </c>
      <c r="BR262" s="144"/>
      <c r="BS262" s="146"/>
      <c r="BT262" s="27" t="e">
        <f aca="false">AVERAGEA(BS262,BU262)</f>
        <v>#DIV/0!</v>
      </c>
      <c r="BU262" s="146"/>
      <c r="BV262" s="144"/>
      <c r="BW262" s="30" t="e">
        <f aca="false">AVERAGEA(BV262,BX262)</f>
        <v>#DIV/0!</v>
      </c>
      <c r="BX262" s="144"/>
      <c r="BY262" s="146"/>
      <c r="BZ262" s="27" t="e">
        <f aca="false">AVERAGEA(BY262,CA262)</f>
        <v>#DIV/0!</v>
      </c>
      <c r="CA262" s="146"/>
      <c r="CB262" s="144"/>
      <c r="CC262" s="30" t="e">
        <f aca="false">AVERAGEA(CB262,CD262)</f>
        <v>#DIV/0!</v>
      </c>
      <c r="CD262" s="144"/>
      <c r="CE262" s="146"/>
      <c r="CF262" s="27" t="e">
        <f aca="false">AVERAGEA(CE262,CG262)</f>
        <v>#DIV/0!</v>
      </c>
      <c r="CG262" s="146"/>
    </row>
    <row r="263" s="18" customFormat="true" ht="14.9" hidden="false" customHeight="false" outlineLevel="0" collapsed="false">
      <c r="B263" s="140"/>
      <c r="C263" s="162" t="s">
        <v>263</v>
      </c>
      <c r="D263" s="162"/>
      <c r="E263" s="143"/>
      <c r="F263" s="162"/>
      <c r="G263" s="165"/>
      <c r="H263" s="36" t="s">
        <v>55</v>
      </c>
      <c r="I263" s="37"/>
      <c r="J263" s="36" t="s">
        <v>55</v>
      </c>
      <c r="K263" s="34"/>
      <c r="L263" s="34"/>
      <c r="M263" s="34"/>
      <c r="N263" s="36" t="s">
        <v>55</v>
      </c>
      <c r="O263" s="37"/>
      <c r="P263" s="36" t="s">
        <v>55</v>
      </c>
      <c r="Q263" s="34"/>
      <c r="R263" s="34"/>
      <c r="S263" s="34"/>
      <c r="T263" s="36" t="s">
        <v>55</v>
      </c>
      <c r="U263" s="37"/>
      <c r="V263" s="36" t="s">
        <v>55</v>
      </c>
      <c r="W263" s="34"/>
      <c r="X263" s="34"/>
      <c r="Y263" s="34"/>
      <c r="Z263" s="36" t="s">
        <v>55</v>
      </c>
      <c r="AA263" s="37"/>
      <c r="AB263" s="36" t="s">
        <v>55</v>
      </c>
      <c r="AC263" s="34"/>
      <c r="AD263" s="34"/>
      <c r="AE263" s="34"/>
      <c r="AF263" s="36" t="s">
        <v>55</v>
      </c>
      <c r="AG263" s="37"/>
      <c r="AH263" s="36" t="s">
        <v>55</v>
      </c>
      <c r="AI263" s="34"/>
      <c r="AJ263" s="34"/>
      <c r="AK263" s="34"/>
      <c r="AL263" s="36" t="s">
        <v>55</v>
      </c>
      <c r="AM263" s="37"/>
      <c r="AN263" s="36" t="s">
        <v>55</v>
      </c>
      <c r="AO263" s="34"/>
      <c r="AP263" s="34"/>
      <c r="AQ263" s="34"/>
      <c r="AR263" s="36" t="s">
        <v>55</v>
      </c>
      <c r="AS263" s="37"/>
      <c r="AT263" s="36" t="s">
        <v>55</v>
      </c>
      <c r="AU263" s="34"/>
      <c r="AV263" s="34"/>
      <c r="AW263" s="34"/>
      <c r="AX263" s="36" t="s">
        <v>55</v>
      </c>
      <c r="AY263" s="37"/>
      <c r="AZ263" s="36" t="s">
        <v>55</v>
      </c>
      <c r="BA263" s="34"/>
      <c r="BB263" s="34"/>
      <c r="BC263" s="34"/>
      <c r="BD263" s="36" t="s">
        <v>55</v>
      </c>
      <c r="BE263" s="37"/>
      <c r="BF263" s="36" t="s">
        <v>55</v>
      </c>
      <c r="BG263" s="34"/>
      <c r="BH263" s="34"/>
      <c r="BI263" s="34"/>
      <c r="BJ263" s="36" t="s">
        <v>55</v>
      </c>
      <c r="BK263" s="37"/>
      <c r="BL263" s="36" t="s">
        <v>55</v>
      </c>
      <c r="BM263" s="34"/>
      <c r="BN263" s="34"/>
      <c r="BO263" s="34"/>
      <c r="BP263" s="36" t="s">
        <v>55</v>
      </c>
      <c r="BQ263" s="37"/>
      <c r="BR263" s="36" t="s">
        <v>55</v>
      </c>
      <c r="BS263" s="34"/>
      <c r="BT263" s="34"/>
      <c r="BU263" s="34"/>
      <c r="BV263" s="36" t="s">
        <v>55</v>
      </c>
      <c r="BW263" s="37"/>
      <c r="BX263" s="36" t="s">
        <v>55</v>
      </c>
      <c r="BY263" s="34"/>
      <c r="BZ263" s="34"/>
      <c r="CA263" s="34"/>
      <c r="CB263" s="36" t="s">
        <v>55</v>
      </c>
      <c r="CC263" s="37"/>
      <c r="CD263" s="36" t="s">
        <v>55</v>
      </c>
      <c r="CE263" s="34"/>
      <c r="CF263" s="34"/>
      <c r="CG263" s="34"/>
    </row>
    <row r="264" s="18" customFormat="true" ht="14.9" hidden="false" customHeight="false" outlineLevel="0" collapsed="false">
      <c r="B264" s="150"/>
      <c r="C264" s="154" t="s">
        <v>264</v>
      </c>
      <c r="D264" s="154"/>
      <c r="E264" s="153"/>
      <c r="F264" s="154"/>
      <c r="G264" s="155"/>
      <c r="H264" s="36" t="s">
        <v>55</v>
      </c>
      <c r="I264" s="37"/>
      <c r="J264" s="36" t="s">
        <v>55</v>
      </c>
      <c r="K264" s="34"/>
      <c r="L264" s="34"/>
      <c r="M264" s="34"/>
      <c r="N264" s="36" t="s">
        <v>55</v>
      </c>
      <c r="O264" s="37"/>
      <c r="P264" s="36" t="s">
        <v>55</v>
      </c>
      <c r="Q264" s="34"/>
      <c r="R264" s="34"/>
      <c r="S264" s="34"/>
      <c r="T264" s="36" t="s">
        <v>55</v>
      </c>
      <c r="U264" s="37"/>
      <c r="V264" s="36" t="s">
        <v>55</v>
      </c>
      <c r="W264" s="34"/>
      <c r="X264" s="34"/>
      <c r="Y264" s="34"/>
      <c r="Z264" s="36" t="s">
        <v>55</v>
      </c>
      <c r="AA264" s="37"/>
      <c r="AB264" s="36" t="s">
        <v>55</v>
      </c>
      <c r="AC264" s="34"/>
      <c r="AD264" s="34"/>
      <c r="AE264" s="34"/>
      <c r="AF264" s="36" t="s">
        <v>55</v>
      </c>
      <c r="AG264" s="37"/>
      <c r="AH264" s="36" t="s">
        <v>55</v>
      </c>
      <c r="AI264" s="34"/>
      <c r="AJ264" s="34"/>
      <c r="AK264" s="34"/>
      <c r="AL264" s="36" t="s">
        <v>55</v>
      </c>
      <c r="AM264" s="37"/>
      <c r="AN264" s="36" t="s">
        <v>55</v>
      </c>
      <c r="AO264" s="34"/>
      <c r="AP264" s="34"/>
      <c r="AQ264" s="34"/>
      <c r="AR264" s="36" t="s">
        <v>55</v>
      </c>
      <c r="AS264" s="37"/>
      <c r="AT264" s="36" t="s">
        <v>55</v>
      </c>
      <c r="AU264" s="34"/>
      <c r="AV264" s="34"/>
      <c r="AW264" s="34"/>
      <c r="AX264" s="36" t="s">
        <v>55</v>
      </c>
      <c r="AY264" s="37"/>
      <c r="AZ264" s="36" t="s">
        <v>55</v>
      </c>
      <c r="BA264" s="34"/>
      <c r="BB264" s="34"/>
      <c r="BC264" s="34"/>
      <c r="BD264" s="36" t="s">
        <v>55</v>
      </c>
      <c r="BE264" s="37"/>
      <c r="BF264" s="36" t="s">
        <v>55</v>
      </c>
      <c r="BG264" s="34"/>
      <c r="BH264" s="34"/>
      <c r="BI264" s="34"/>
      <c r="BJ264" s="36" t="s">
        <v>55</v>
      </c>
      <c r="BK264" s="37"/>
      <c r="BL264" s="36" t="s">
        <v>55</v>
      </c>
      <c r="BM264" s="34"/>
      <c r="BN264" s="34"/>
      <c r="BO264" s="34"/>
      <c r="BP264" s="36" t="s">
        <v>55</v>
      </c>
      <c r="BQ264" s="37"/>
      <c r="BR264" s="36" t="s">
        <v>55</v>
      </c>
      <c r="BS264" s="34"/>
      <c r="BT264" s="34"/>
      <c r="BU264" s="34"/>
      <c r="BV264" s="36" t="s">
        <v>55</v>
      </c>
      <c r="BW264" s="37"/>
      <c r="BX264" s="36" t="s">
        <v>55</v>
      </c>
      <c r="BY264" s="34"/>
      <c r="BZ264" s="34"/>
      <c r="CA264" s="34"/>
      <c r="CB264" s="36" t="s">
        <v>55</v>
      </c>
      <c r="CC264" s="37"/>
      <c r="CD264" s="36" t="s">
        <v>55</v>
      </c>
      <c r="CE264" s="34"/>
      <c r="CF264" s="34"/>
      <c r="CG264" s="34"/>
    </row>
    <row r="265" s="18" customFormat="true" ht="14.9" hidden="false" customHeight="false" outlineLevel="0" collapsed="false">
      <c r="B265" s="140"/>
      <c r="C265" s="162" t="s">
        <v>265</v>
      </c>
      <c r="D265" s="162"/>
      <c r="E265" s="143"/>
      <c r="F265" s="162"/>
      <c r="G265" s="165"/>
      <c r="H265" s="36" t="s">
        <v>55</v>
      </c>
      <c r="I265" s="37"/>
      <c r="J265" s="36" t="s">
        <v>55</v>
      </c>
      <c r="K265" s="34"/>
      <c r="L265" s="34"/>
      <c r="M265" s="34"/>
      <c r="N265" s="36" t="s">
        <v>55</v>
      </c>
      <c r="O265" s="37"/>
      <c r="P265" s="36" t="s">
        <v>55</v>
      </c>
      <c r="Q265" s="34"/>
      <c r="R265" s="34"/>
      <c r="S265" s="34"/>
      <c r="T265" s="36" t="s">
        <v>55</v>
      </c>
      <c r="U265" s="37"/>
      <c r="V265" s="36" t="s">
        <v>55</v>
      </c>
      <c r="W265" s="34"/>
      <c r="X265" s="34"/>
      <c r="Y265" s="34"/>
      <c r="Z265" s="36" t="s">
        <v>55</v>
      </c>
      <c r="AA265" s="37"/>
      <c r="AB265" s="36" t="s">
        <v>55</v>
      </c>
      <c r="AC265" s="34"/>
      <c r="AD265" s="34"/>
      <c r="AE265" s="34"/>
      <c r="AF265" s="36" t="s">
        <v>55</v>
      </c>
      <c r="AG265" s="37"/>
      <c r="AH265" s="36" t="s">
        <v>55</v>
      </c>
      <c r="AI265" s="34"/>
      <c r="AJ265" s="34"/>
      <c r="AK265" s="34"/>
      <c r="AL265" s="36" t="s">
        <v>55</v>
      </c>
      <c r="AM265" s="37"/>
      <c r="AN265" s="36" t="s">
        <v>55</v>
      </c>
      <c r="AO265" s="34"/>
      <c r="AP265" s="34"/>
      <c r="AQ265" s="34"/>
      <c r="AR265" s="36" t="s">
        <v>55</v>
      </c>
      <c r="AS265" s="37"/>
      <c r="AT265" s="36" t="s">
        <v>55</v>
      </c>
      <c r="AU265" s="34"/>
      <c r="AV265" s="34"/>
      <c r="AW265" s="34"/>
      <c r="AX265" s="36" t="s">
        <v>55</v>
      </c>
      <c r="AY265" s="37"/>
      <c r="AZ265" s="36" t="s">
        <v>55</v>
      </c>
      <c r="BA265" s="34"/>
      <c r="BB265" s="34"/>
      <c r="BC265" s="34"/>
      <c r="BD265" s="36" t="s">
        <v>55</v>
      </c>
      <c r="BE265" s="37"/>
      <c r="BF265" s="36" t="s">
        <v>55</v>
      </c>
      <c r="BG265" s="34"/>
      <c r="BH265" s="34"/>
      <c r="BI265" s="34"/>
      <c r="BJ265" s="36" t="s">
        <v>55</v>
      </c>
      <c r="BK265" s="37"/>
      <c r="BL265" s="36" t="s">
        <v>55</v>
      </c>
      <c r="BM265" s="34"/>
      <c r="BN265" s="34"/>
      <c r="BO265" s="34"/>
      <c r="BP265" s="36" t="s">
        <v>55</v>
      </c>
      <c r="BQ265" s="37"/>
      <c r="BR265" s="36" t="s">
        <v>55</v>
      </c>
      <c r="BS265" s="34"/>
      <c r="BT265" s="34"/>
      <c r="BU265" s="34"/>
      <c r="BV265" s="36" t="s">
        <v>55</v>
      </c>
      <c r="BW265" s="37"/>
      <c r="BX265" s="36" t="s">
        <v>55</v>
      </c>
      <c r="BY265" s="34"/>
      <c r="BZ265" s="34"/>
      <c r="CA265" s="34"/>
      <c r="CB265" s="36" t="s">
        <v>55</v>
      </c>
      <c r="CC265" s="37"/>
      <c r="CD265" s="36" t="s">
        <v>55</v>
      </c>
      <c r="CE265" s="34"/>
      <c r="CF265" s="34"/>
      <c r="CG265" s="34"/>
    </row>
    <row r="266" s="18" customFormat="true" ht="14.9" hidden="false" customHeight="false" outlineLevel="0" collapsed="false">
      <c r="B266" s="150"/>
      <c r="C266" s="154" t="s">
        <v>266</v>
      </c>
      <c r="D266" s="154"/>
      <c r="E266" s="153"/>
      <c r="F266" s="154"/>
      <c r="G266" s="155"/>
      <c r="H266" s="36" t="s">
        <v>55</v>
      </c>
      <c r="I266" s="37"/>
      <c r="J266" s="36" t="s">
        <v>55</v>
      </c>
      <c r="K266" s="34"/>
      <c r="L266" s="34"/>
      <c r="M266" s="34"/>
      <c r="N266" s="36" t="s">
        <v>55</v>
      </c>
      <c r="O266" s="37"/>
      <c r="P266" s="36" t="s">
        <v>55</v>
      </c>
      <c r="Q266" s="34"/>
      <c r="R266" s="34"/>
      <c r="S266" s="34"/>
      <c r="T266" s="36" t="s">
        <v>55</v>
      </c>
      <c r="U266" s="37"/>
      <c r="V266" s="36" t="s">
        <v>55</v>
      </c>
      <c r="W266" s="34"/>
      <c r="X266" s="34"/>
      <c r="Y266" s="34"/>
      <c r="Z266" s="36" t="s">
        <v>55</v>
      </c>
      <c r="AA266" s="37"/>
      <c r="AB266" s="36" t="s">
        <v>55</v>
      </c>
      <c r="AC266" s="34"/>
      <c r="AD266" s="34"/>
      <c r="AE266" s="34"/>
      <c r="AF266" s="36" t="s">
        <v>55</v>
      </c>
      <c r="AG266" s="37"/>
      <c r="AH266" s="36" t="s">
        <v>55</v>
      </c>
      <c r="AI266" s="34"/>
      <c r="AJ266" s="34"/>
      <c r="AK266" s="34"/>
      <c r="AL266" s="36" t="s">
        <v>55</v>
      </c>
      <c r="AM266" s="37"/>
      <c r="AN266" s="36" t="s">
        <v>55</v>
      </c>
      <c r="AO266" s="34"/>
      <c r="AP266" s="34"/>
      <c r="AQ266" s="34"/>
      <c r="AR266" s="36" t="s">
        <v>55</v>
      </c>
      <c r="AS266" s="37"/>
      <c r="AT266" s="36" t="s">
        <v>55</v>
      </c>
      <c r="AU266" s="34"/>
      <c r="AV266" s="34"/>
      <c r="AW266" s="34"/>
      <c r="AX266" s="36" t="s">
        <v>55</v>
      </c>
      <c r="AY266" s="37"/>
      <c r="AZ266" s="36" t="s">
        <v>55</v>
      </c>
      <c r="BA266" s="34"/>
      <c r="BB266" s="34"/>
      <c r="BC266" s="34"/>
      <c r="BD266" s="36" t="s">
        <v>55</v>
      </c>
      <c r="BE266" s="37"/>
      <c r="BF266" s="36" t="s">
        <v>55</v>
      </c>
      <c r="BG266" s="34"/>
      <c r="BH266" s="34"/>
      <c r="BI266" s="34"/>
      <c r="BJ266" s="36" t="s">
        <v>55</v>
      </c>
      <c r="BK266" s="37"/>
      <c r="BL266" s="36" t="s">
        <v>55</v>
      </c>
      <c r="BM266" s="34"/>
      <c r="BN266" s="34"/>
      <c r="BO266" s="34"/>
      <c r="BP266" s="36" t="s">
        <v>55</v>
      </c>
      <c r="BQ266" s="37"/>
      <c r="BR266" s="36" t="s">
        <v>55</v>
      </c>
      <c r="BS266" s="34"/>
      <c r="BT266" s="34"/>
      <c r="BU266" s="34"/>
      <c r="BV266" s="36" t="s">
        <v>55</v>
      </c>
      <c r="BW266" s="37"/>
      <c r="BX266" s="36" t="s">
        <v>55</v>
      </c>
      <c r="BY266" s="34"/>
      <c r="BZ266" s="34"/>
      <c r="CA266" s="34"/>
      <c r="CB266" s="36" t="s">
        <v>55</v>
      </c>
      <c r="CC266" s="37"/>
      <c r="CD266" s="36" t="s">
        <v>55</v>
      </c>
      <c r="CE266" s="34"/>
      <c r="CF266" s="34"/>
      <c r="CG266" s="34"/>
    </row>
    <row r="267" s="18" customFormat="true" ht="13.8" hidden="false" customHeight="false" outlineLevel="0" collapsed="false">
      <c r="B267" s="140"/>
      <c r="C267" s="162"/>
      <c r="D267" s="162"/>
      <c r="E267" s="143"/>
      <c r="F267" s="162"/>
      <c r="G267" s="165"/>
      <c r="H267" s="36" t="s">
        <v>55</v>
      </c>
      <c r="I267" s="37"/>
      <c r="J267" s="36" t="s">
        <v>55</v>
      </c>
      <c r="K267" s="34"/>
      <c r="L267" s="34"/>
      <c r="M267" s="34"/>
      <c r="N267" s="36" t="s">
        <v>55</v>
      </c>
      <c r="O267" s="37"/>
      <c r="P267" s="36" t="s">
        <v>55</v>
      </c>
      <c r="Q267" s="34"/>
      <c r="R267" s="34"/>
      <c r="S267" s="34"/>
      <c r="T267" s="36" t="s">
        <v>55</v>
      </c>
      <c r="U267" s="37"/>
      <c r="V267" s="36" t="s">
        <v>55</v>
      </c>
      <c r="W267" s="34"/>
      <c r="X267" s="34"/>
      <c r="Y267" s="34"/>
      <c r="Z267" s="36" t="s">
        <v>55</v>
      </c>
      <c r="AA267" s="37"/>
      <c r="AB267" s="36" t="s">
        <v>55</v>
      </c>
      <c r="AC267" s="34"/>
      <c r="AD267" s="34"/>
      <c r="AE267" s="34"/>
      <c r="AF267" s="36" t="s">
        <v>55</v>
      </c>
      <c r="AG267" s="37"/>
      <c r="AH267" s="36" t="s">
        <v>55</v>
      </c>
      <c r="AI267" s="34"/>
      <c r="AJ267" s="34"/>
      <c r="AK267" s="34"/>
      <c r="AL267" s="36" t="s">
        <v>55</v>
      </c>
      <c r="AM267" s="37"/>
      <c r="AN267" s="36" t="s">
        <v>55</v>
      </c>
      <c r="AO267" s="34"/>
      <c r="AP267" s="34"/>
      <c r="AQ267" s="34"/>
      <c r="AR267" s="36" t="s">
        <v>55</v>
      </c>
      <c r="AS267" s="37"/>
      <c r="AT267" s="36" t="s">
        <v>55</v>
      </c>
      <c r="AU267" s="34"/>
      <c r="AV267" s="34"/>
      <c r="AW267" s="34"/>
      <c r="AX267" s="36" t="s">
        <v>55</v>
      </c>
      <c r="AY267" s="37"/>
      <c r="AZ267" s="36" t="s">
        <v>55</v>
      </c>
      <c r="BA267" s="34"/>
      <c r="BB267" s="34"/>
      <c r="BC267" s="34"/>
      <c r="BD267" s="36" t="s">
        <v>55</v>
      </c>
      <c r="BE267" s="37"/>
      <c r="BF267" s="36" t="s">
        <v>55</v>
      </c>
      <c r="BG267" s="34"/>
      <c r="BH267" s="34"/>
      <c r="BI267" s="34"/>
      <c r="BJ267" s="36" t="s">
        <v>55</v>
      </c>
      <c r="BK267" s="37"/>
      <c r="BL267" s="36" t="s">
        <v>55</v>
      </c>
      <c r="BM267" s="34"/>
      <c r="BN267" s="34"/>
      <c r="BO267" s="34"/>
      <c r="BP267" s="36" t="s">
        <v>55</v>
      </c>
      <c r="BQ267" s="37"/>
      <c r="BR267" s="36" t="s">
        <v>55</v>
      </c>
      <c r="BS267" s="34"/>
      <c r="BT267" s="34"/>
      <c r="BU267" s="34"/>
      <c r="BV267" s="36" t="s">
        <v>55</v>
      </c>
      <c r="BW267" s="37"/>
      <c r="BX267" s="36" t="s">
        <v>55</v>
      </c>
      <c r="BY267" s="34"/>
      <c r="BZ267" s="34"/>
      <c r="CA267" s="34"/>
      <c r="CB267" s="36" t="s">
        <v>55</v>
      </c>
      <c r="CC267" s="37"/>
      <c r="CD267" s="36" t="s">
        <v>55</v>
      </c>
      <c r="CE267" s="34"/>
      <c r="CF267" s="34"/>
      <c r="CG267" s="34"/>
    </row>
    <row r="268" customFormat="false" ht="27.1" hidden="false" customHeight="false" outlineLevel="0" collapsed="false">
      <c r="B268" s="166" t="s">
        <v>267</v>
      </c>
      <c r="C268" s="166" t="s">
        <v>268</v>
      </c>
      <c r="F268" s="167" t="s">
        <v>109</v>
      </c>
      <c r="CH268" s="18"/>
      <c r="CI268" s="18"/>
      <c r="CJ268" s="18"/>
    </row>
    <row r="269" customFormat="false" ht="27.1" hidden="false" customHeight="false" outlineLevel="0" collapsed="false">
      <c r="C269" s="167"/>
      <c r="F269" s="167" t="s">
        <v>109</v>
      </c>
      <c r="CH269" s="18"/>
      <c r="CI269" s="18"/>
      <c r="CJ269" s="18"/>
    </row>
    <row r="270" customFormat="false" ht="13.8" hidden="false" customHeight="false" outlineLevel="0" collapsed="false">
      <c r="C270" s="167"/>
    </row>
    <row r="271" customFormat="false" ht="13.8" hidden="false" customHeight="false" outlineLevel="0" collapsed="false">
      <c r="C271" s="167"/>
      <c r="D271" s="168"/>
    </row>
    <row r="272" customFormat="false" ht="13.8" hidden="false" customHeight="false" outlineLevel="0" collapsed="false">
      <c r="C272" s="167"/>
      <c r="D272" s="168"/>
    </row>
    <row r="273" customFormat="false" ht="13.8" hidden="false" customHeight="false" outlineLevel="0" collapsed="false">
      <c r="C273" s="167"/>
      <c r="D273" s="168"/>
    </row>
    <row r="274" customFormat="false" ht="13.8" hidden="false" customHeight="false" outlineLevel="0" collapsed="false">
      <c r="C274" s="167"/>
    </row>
    <row r="275" customFormat="false" ht="13.8" hidden="false" customHeight="false" outlineLevel="0" collapsed="false">
      <c r="C275" s="167"/>
    </row>
    <row r="276" customFormat="false" ht="13.8" hidden="false" customHeight="false" outlineLevel="0" collapsed="false">
      <c r="C276" s="167"/>
    </row>
    <row r="277" customFormat="false" ht="13.8" hidden="false" customHeight="false" outlineLevel="0" collapsed="false">
      <c r="C277" s="167"/>
    </row>
    <row r="278" customFormat="false" ht="13.8" hidden="false" customHeight="false" outlineLevel="0" collapsed="false">
      <c r="C278" s="167"/>
    </row>
  </sheetData>
  <mergeCells count="172">
    <mergeCell ref="B2:F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B5:B80"/>
    <mergeCell ref="C5:C36"/>
    <mergeCell ref="D5:D16"/>
    <mergeCell ref="E5:E8"/>
    <mergeCell ref="E9:E12"/>
    <mergeCell ref="E13:E16"/>
    <mergeCell ref="D17:D28"/>
    <mergeCell ref="E17:E20"/>
    <mergeCell ref="E21:E24"/>
    <mergeCell ref="E25:E28"/>
    <mergeCell ref="D29:D36"/>
    <mergeCell ref="E29:E32"/>
    <mergeCell ref="E33:E36"/>
    <mergeCell ref="C37:C68"/>
    <mergeCell ref="D37:D48"/>
    <mergeCell ref="E37:E40"/>
    <mergeCell ref="E41:E44"/>
    <mergeCell ref="E45:E48"/>
    <mergeCell ref="D49:D60"/>
    <mergeCell ref="E49:E52"/>
    <mergeCell ref="E53:E56"/>
    <mergeCell ref="E57:E60"/>
    <mergeCell ref="D61:D68"/>
    <mergeCell ref="E61:E64"/>
    <mergeCell ref="E65:E68"/>
    <mergeCell ref="C69:C72"/>
    <mergeCell ref="D69:D72"/>
    <mergeCell ref="E69:E72"/>
    <mergeCell ref="C73:C80"/>
    <mergeCell ref="D73:D76"/>
    <mergeCell ref="E73:E76"/>
    <mergeCell ref="D77:D80"/>
    <mergeCell ref="E77:E80"/>
    <mergeCell ref="B81:B133"/>
    <mergeCell ref="C81:C100"/>
    <mergeCell ref="D81:D84"/>
    <mergeCell ref="E81:E84"/>
    <mergeCell ref="G81:G84"/>
    <mergeCell ref="D85:D100"/>
    <mergeCell ref="E85:E88"/>
    <mergeCell ref="G85:G88"/>
    <mergeCell ref="E89:E92"/>
    <mergeCell ref="G89:G92"/>
    <mergeCell ref="E93:E96"/>
    <mergeCell ref="G93:G96"/>
    <mergeCell ref="E97:E100"/>
    <mergeCell ref="G97:G100"/>
    <mergeCell ref="C101:C120"/>
    <mergeCell ref="D101:D104"/>
    <mergeCell ref="E101:E104"/>
    <mergeCell ref="G101:G104"/>
    <mergeCell ref="D105:D120"/>
    <mergeCell ref="E105:E108"/>
    <mergeCell ref="G105:G108"/>
    <mergeCell ref="E109:E112"/>
    <mergeCell ref="G109:G112"/>
    <mergeCell ref="E113:E116"/>
    <mergeCell ref="G113:G116"/>
    <mergeCell ref="E117:E120"/>
    <mergeCell ref="G117:G120"/>
    <mergeCell ref="C121:C124"/>
    <mergeCell ref="D121:D124"/>
    <mergeCell ref="E121:E124"/>
    <mergeCell ref="C125:C128"/>
    <mergeCell ref="D125:D128"/>
    <mergeCell ref="E125:E128"/>
    <mergeCell ref="C132:C133"/>
    <mergeCell ref="B134:B137"/>
    <mergeCell ref="C134:C137"/>
    <mergeCell ref="D134:D135"/>
    <mergeCell ref="E134:E135"/>
    <mergeCell ref="D136:D137"/>
    <mergeCell ref="E136:E137"/>
    <mergeCell ref="B138:B141"/>
    <mergeCell ref="C139:C140"/>
    <mergeCell ref="B142:B143"/>
    <mergeCell ref="B144:B160"/>
    <mergeCell ref="C144:C151"/>
    <mergeCell ref="D144:D147"/>
    <mergeCell ref="E144:E147"/>
    <mergeCell ref="D148:D151"/>
    <mergeCell ref="E148:E151"/>
    <mergeCell ref="C152:C155"/>
    <mergeCell ref="D152:D155"/>
    <mergeCell ref="E152:E155"/>
    <mergeCell ref="C157:C160"/>
    <mergeCell ref="B161:B174"/>
    <mergeCell ref="C161:C164"/>
    <mergeCell ref="C165:C173"/>
    <mergeCell ref="D165:D167"/>
    <mergeCell ref="D168:D170"/>
    <mergeCell ref="D171:D173"/>
    <mergeCell ref="B175:B216"/>
    <mergeCell ref="C175:C180"/>
    <mergeCell ref="D175:D177"/>
    <mergeCell ref="E175:E177"/>
    <mergeCell ref="D178:D180"/>
    <mergeCell ref="E178:E180"/>
    <mergeCell ref="C181:C216"/>
    <mergeCell ref="D181:D192"/>
    <mergeCell ref="E181:E184"/>
    <mergeCell ref="G181:G184"/>
    <mergeCell ref="E185:E188"/>
    <mergeCell ref="G185:G188"/>
    <mergeCell ref="E189:E192"/>
    <mergeCell ref="G189:G192"/>
    <mergeCell ref="D193:D204"/>
    <mergeCell ref="E193:E196"/>
    <mergeCell ref="G193:G196"/>
    <mergeCell ref="E197:E200"/>
    <mergeCell ref="G197:G200"/>
    <mergeCell ref="E201:E204"/>
    <mergeCell ref="G201:G204"/>
    <mergeCell ref="D205:D216"/>
    <mergeCell ref="E205:E208"/>
    <mergeCell ref="G205:G208"/>
    <mergeCell ref="E209:E212"/>
    <mergeCell ref="G209:G212"/>
    <mergeCell ref="E213:E216"/>
    <mergeCell ref="G213:G216"/>
    <mergeCell ref="B217:B219"/>
    <mergeCell ref="C217:C219"/>
    <mergeCell ref="D217:D219"/>
    <mergeCell ref="E217:E219"/>
    <mergeCell ref="G217:G219"/>
    <mergeCell ref="B220:B225"/>
    <mergeCell ref="C220:C222"/>
    <mergeCell ref="D220:D222"/>
    <mergeCell ref="E220:E222"/>
    <mergeCell ref="G220:G222"/>
    <mergeCell ref="C223:C225"/>
    <mergeCell ref="G223:G225"/>
    <mergeCell ref="B226:B228"/>
    <mergeCell ref="E226:E228"/>
    <mergeCell ref="G226:G228"/>
    <mergeCell ref="B229:B231"/>
    <mergeCell ref="B232:B250"/>
    <mergeCell ref="E232:E250"/>
    <mergeCell ref="G232:G250"/>
    <mergeCell ref="B251:B261"/>
    <mergeCell ref="C251:C255"/>
    <mergeCell ref="E251:E261"/>
    <mergeCell ref="G251:G261"/>
    <mergeCell ref="C256:C257"/>
    <mergeCell ref="C258:C26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7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ED7D31"/>
    <pageSetUpPr fitToPage="false"/>
  </sheetPr>
  <dimension ref="A2:BN1048576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6" ySplit="4" topLeftCell="G137" activePane="bottomRight" state="frozen"/>
      <selection pane="topLeft" activeCell="A1" activeCellId="0" sqref="A1"/>
      <selection pane="topRight" activeCell="G1" activeCellId="0" sqref="G1"/>
      <selection pane="bottomLeft" activeCell="A137" activeCellId="0" sqref="A137"/>
      <selection pane="bottomRight" activeCell="B165" activeCellId="0" sqref="B165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.43"/>
    <col collapsed="false" customWidth="true" hidden="false" outlineLevel="0" max="2" min="2" style="0" width="15.71"/>
    <col collapsed="false" customWidth="true" hidden="false" outlineLevel="0" max="3" min="3" style="0" width="43.71"/>
    <col collapsed="false" customWidth="true" hidden="false" outlineLevel="0" max="4" min="4" style="0" width="10.14"/>
    <col collapsed="false" customWidth="true" hidden="false" outlineLevel="0" max="5" min="5" style="0" width="26"/>
    <col collapsed="false" customWidth="true" hidden="false" outlineLevel="0" max="6" min="6" style="0" width="14.57"/>
    <col collapsed="false" customWidth="true" hidden="false" outlineLevel="0" max="24" min="7" style="0" width="12"/>
    <col collapsed="false" customWidth="true" hidden="false" outlineLevel="0" max="30" min="25" style="0" width="14"/>
    <col collapsed="false" customWidth="true" hidden="false" outlineLevel="0" max="66" min="31" style="0" width="12"/>
  </cols>
  <sheetData>
    <row r="2" s="1" customFormat="true" ht="43.5" hidden="false" customHeight="true" outlineLevel="0" collapsed="false">
      <c r="B2" s="169" t="s">
        <v>269</v>
      </c>
      <c r="C2" s="169"/>
      <c r="D2" s="169"/>
      <c r="E2" s="169"/>
      <c r="F2" s="3"/>
      <c r="G2" s="170" t="s">
        <v>3</v>
      </c>
      <c r="H2" s="170"/>
      <c r="I2" s="170"/>
      <c r="J2" s="171" t="s">
        <v>4</v>
      </c>
      <c r="K2" s="171"/>
      <c r="L2" s="171"/>
      <c r="M2" s="172" t="s">
        <v>270</v>
      </c>
      <c r="N2" s="172"/>
      <c r="O2" s="172"/>
      <c r="P2" s="172" t="s">
        <v>271</v>
      </c>
      <c r="Q2" s="172"/>
      <c r="R2" s="172"/>
      <c r="S2" s="171" t="s">
        <v>8</v>
      </c>
      <c r="T2" s="171"/>
      <c r="U2" s="171"/>
      <c r="V2" s="170" t="s">
        <v>9</v>
      </c>
      <c r="W2" s="170"/>
      <c r="X2" s="170"/>
      <c r="Y2" s="171" t="s">
        <v>10</v>
      </c>
      <c r="Z2" s="171"/>
      <c r="AA2" s="171"/>
      <c r="AB2" s="170" t="s">
        <v>11</v>
      </c>
      <c r="AC2" s="170"/>
      <c r="AD2" s="170"/>
      <c r="AE2" s="171" t="s">
        <v>12</v>
      </c>
      <c r="AF2" s="171"/>
      <c r="AG2" s="171"/>
      <c r="AH2" s="173" t="s">
        <v>13</v>
      </c>
      <c r="AI2" s="173"/>
      <c r="AJ2" s="173"/>
      <c r="AK2" s="170" t="s">
        <v>14</v>
      </c>
      <c r="AL2" s="170"/>
      <c r="AM2" s="170"/>
      <c r="AN2" s="171" t="s">
        <v>15</v>
      </c>
      <c r="AO2" s="171"/>
      <c r="AP2" s="171"/>
      <c r="AQ2" s="170" t="s">
        <v>16</v>
      </c>
      <c r="AR2" s="170"/>
      <c r="AS2" s="170"/>
      <c r="AT2" s="171" t="s">
        <v>17</v>
      </c>
      <c r="AU2" s="171"/>
      <c r="AV2" s="171"/>
      <c r="AW2" s="170" t="s">
        <v>18</v>
      </c>
      <c r="AX2" s="170"/>
      <c r="AY2" s="170"/>
      <c r="AZ2" s="171" t="s">
        <v>19</v>
      </c>
      <c r="BA2" s="171"/>
      <c r="BB2" s="171"/>
      <c r="BC2" s="170" t="s">
        <v>20</v>
      </c>
      <c r="BD2" s="170"/>
      <c r="BE2" s="170"/>
      <c r="BF2" s="174" t="s">
        <v>21</v>
      </c>
      <c r="BG2" s="174"/>
      <c r="BH2" s="174"/>
      <c r="BI2" s="175" t="s">
        <v>22</v>
      </c>
      <c r="BJ2" s="175"/>
      <c r="BK2" s="175"/>
      <c r="BL2" s="174" t="s">
        <v>23</v>
      </c>
      <c r="BM2" s="174"/>
      <c r="BN2" s="174"/>
    </row>
    <row r="3" s="1" customFormat="true" ht="28.35" hidden="false" customHeight="false" outlineLevel="0" collapsed="false">
      <c r="F3" s="3"/>
      <c r="G3" s="176" t="s">
        <v>27</v>
      </c>
      <c r="H3" s="177" t="s">
        <v>27</v>
      </c>
      <c r="I3" s="178" t="s">
        <v>27</v>
      </c>
      <c r="J3" s="179" t="s">
        <v>27</v>
      </c>
      <c r="K3" s="180" t="s">
        <v>27</v>
      </c>
      <c r="L3" s="181" t="s">
        <v>27</v>
      </c>
      <c r="M3" s="176" t="s">
        <v>27</v>
      </c>
      <c r="N3" s="177" t="s">
        <v>27</v>
      </c>
      <c r="O3" s="178" t="s">
        <v>27</v>
      </c>
      <c r="P3" s="176" t="s">
        <v>27</v>
      </c>
      <c r="Q3" s="177" t="s">
        <v>27</v>
      </c>
      <c r="R3" s="178" t="s">
        <v>27</v>
      </c>
      <c r="S3" s="179" t="s">
        <v>28</v>
      </c>
      <c r="T3" s="180" t="s">
        <v>28</v>
      </c>
      <c r="U3" s="181" t="s">
        <v>28</v>
      </c>
      <c r="V3" s="176" t="s">
        <v>29</v>
      </c>
      <c r="W3" s="177" t="s">
        <v>29</v>
      </c>
      <c r="X3" s="178" t="s">
        <v>29</v>
      </c>
      <c r="Y3" s="179" t="s">
        <v>30</v>
      </c>
      <c r="Z3" s="180" t="s">
        <v>31</v>
      </c>
      <c r="AA3" s="181" t="s">
        <v>31</v>
      </c>
      <c r="AB3" s="176" t="s">
        <v>31</v>
      </c>
      <c r="AC3" s="177" t="s">
        <v>31</v>
      </c>
      <c r="AD3" s="178" t="s">
        <v>31</v>
      </c>
      <c r="AE3" s="179" t="s">
        <v>32</v>
      </c>
      <c r="AF3" s="180" t="s">
        <v>32</v>
      </c>
      <c r="AG3" s="181" t="s">
        <v>32</v>
      </c>
      <c r="AH3" s="176" t="s">
        <v>32</v>
      </c>
      <c r="AI3" s="177" t="s">
        <v>32</v>
      </c>
      <c r="AJ3" s="178" t="s">
        <v>32</v>
      </c>
      <c r="AK3" s="176" t="s">
        <v>33</v>
      </c>
      <c r="AL3" s="177" t="s">
        <v>33</v>
      </c>
      <c r="AM3" s="178" t="s">
        <v>33</v>
      </c>
      <c r="AN3" s="179" t="s">
        <v>34</v>
      </c>
      <c r="AO3" s="179" t="s">
        <v>34</v>
      </c>
      <c r="AP3" s="179" t="s">
        <v>34</v>
      </c>
      <c r="AQ3" s="176" t="s">
        <v>35</v>
      </c>
      <c r="AR3" s="177" t="s">
        <v>35</v>
      </c>
      <c r="AS3" s="178" t="s">
        <v>35</v>
      </c>
      <c r="AT3" s="179" t="s">
        <v>36</v>
      </c>
      <c r="AU3" s="180" t="s">
        <v>36</v>
      </c>
      <c r="AV3" s="181" t="s">
        <v>36</v>
      </c>
      <c r="AW3" s="176" t="s">
        <v>36</v>
      </c>
      <c r="AX3" s="177" t="s">
        <v>36</v>
      </c>
      <c r="AY3" s="178" t="s">
        <v>36</v>
      </c>
      <c r="AZ3" s="179" t="s">
        <v>36</v>
      </c>
      <c r="BA3" s="180" t="s">
        <v>36</v>
      </c>
      <c r="BB3" s="181" t="s">
        <v>36</v>
      </c>
      <c r="BC3" s="176" t="s">
        <v>36</v>
      </c>
      <c r="BD3" s="177" t="s">
        <v>36</v>
      </c>
      <c r="BE3" s="178" t="s">
        <v>36</v>
      </c>
      <c r="BF3" s="182" t="s">
        <v>37</v>
      </c>
      <c r="BG3" s="183" t="s">
        <v>37</v>
      </c>
      <c r="BH3" s="184" t="s">
        <v>37</v>
      </c>
      <c r="BI3" s="185" t="s">
        <v>32</v>
      </c>
      <c r="BJ3" s="186" t="s">
        <v>32</v>
      </c>
      <c r="BK3" s="187" t="s">
        <v>32</v>
      </c>
      <c r="BL3" s="182" t="s">
        <v>32</v>
      </c>
      <c r="BM3" s="183" t="s">
        <v>32</v>
      </c>
      <c r="BN3" s="184" t="s">
        <v>32</v>
      </c>
    </row>
    <row r="4" customFormat="false" ht="37.5" hidden="false" customHeight="true" outlineLevel="0" collapsed="false">
      <c r="B4" s="188" t="s">
        <v>41</v>
      </c>
      <c r="C4" s="189" t="s">
        <v>42</v>
      </c>
      <c r="D4" s="190" t="s">
        <v>44</v>
      </c>
      <c r="E4" s="190" t="s">
        <v>45</v>
      </c>
      <c r="F4" s="190" t="s">
        <v>272</v>
      </c>
      <c r="G4" s="191" t="s">
        <v>47</v>
      </c>
      <c r="H4" s="192" t="s">
        <v>48</v>
      </c>
      <c r="I4" s="193" t="s">
        <v>49</v>
      </c>
      <c r="J4" s="194" t="s">
        <v>47</v>
      </c>
      <c r="K4" s="195" t="s">
        <v>48</v>
      </c>
      <c r="L4" s="196" t="s">
        <v>49</v>
      </c>
      <c r="M4" s="191" t="s">
        <v>47</v>
      </c>
      <c r="N4" s="192" t="s">
        <v>48</v>
      </c>
      <c r="O4" s="193" t="s">
        <v>49</v>
      </c>
      <c r="P4" s="191" t="s">
        <v>47</v>
      </c>
      <c r="Q4" s="192" t="s">
        <v>48</v>
      </c>
      <c r="R4" s="193" t="s">
        <v>49</v>
      </c>
      <c r="S4" s="194" t="s">
        <v>47</v>
      </c>
      <c r="T4" s="195" t="s">
        <v>48</v>
      </c>
      <c r="U4" s="197" t="s">
        <v>49</v>
      </c>
      <c r="V4" s="191" t="s">
        <v>47</v>
      </c>
      <c r="W4" s="192" t="s">
        <v>48</v>
      </c>
      <c r="X4" s="193" t="s">
        <v>49</v>
      </c>
      <c r="Y4" s="194" t="s">
        <v>47</v>
      </c>
      <c r="Z4" s="195" t="s">
        <v>48</v>
      </c>
      <c r="AA4" s="197" t="s">
        <v>49</v>
      </c>
      <c r="AB4" s="191" t="s">
        <v>47</v>
      </c>
      <c r="AC4" s="192" t="s">
        <v>48</v>
      </c>
      <c r="AD4" s="193" t="s">
        <v>49</v>
      </c>
      <c r="AE4" s="194" t="s">
        <v>47</v>
      </c>
      <c r="AF4" s="195" t="s">
        <v>48</v>
      </c>
      <c r="AG4" s="197" t="s">
        <v>49</v>
      </c>
      <c r="AH4" s="191" t="s">
        <v>47</v>
      </c>
      <c r="AI4" s="192" t="s">
        <v>48</v>
      </c>
      <c r="AJ4" s="193" t="s">
        <v>49</v>
      </c>
      <c r="AK4" s="191" t="s">
        <v>47</v>
      </c>
      <c r="AL4" s="192" t="s">
        <v>48</v>
      </c>
      <c r="AM4" s="193" t="s">
        <v>49</v>
      </c>
      <c r="AN4" s="194" t="s">
        <v>47</v>
      </c>
      <c r="AO4" s="195" t="s">
        <v>48</v>
      </c>
      <c r="AP4" s="197" t="s">
        <v>49</v>
      </c>
      <c r="AQ4" s="191" t="s">
        <v>47</v>
      </c>
      <c r="AR4" s="192" t="s">
        <v>48</v>
      </c>
      <c r="AS4" s="193" t="s">
        <v>49</v>
      </c>
      <c r="AT4" s="194" t="s">
        <v>47</v>
      </c>
      <c r="AU4" s="195" t="s">
        <v>48</v>
      </c>
      <c r="AV4" s="197" t="s">
        <v>49</v>
      </c>
      <c r="AW4" s="191" t="s">
        <v>47</v>
      </c>
      <c r="AX4" s="192" t="s">
        <v>48</v>
      </c>
      <c r="AY4" s="193" t="s">
        <v>49</v>
      </c>
      <c r="AZ4" s="194" t="s">
        <v>47</v>
      </c>
      <c r="BA4" s="195" t="s">
        <v>48</v>
      </c>
      <c r="BB4" s="197" t="s">
        <v>49</v>
      </c>
      <c r="BC4" s="191" t="s">
        <v>47</v>
      </c>
      <c r="BD4" s="192" t="s">
        <v>48</v>
      </c>
      <c r="BE4" s="193" t="s">
        <v>49</v>
      </c>
      <c r="BF4" s="194" t="s">
        <v>47</v>
      </c>
      <c r="BG4" s="195" t="s">
        <v>48</v>
      </c>
      <c r="BH4" s="197" t="s">
        <v>49</v>
      </c>
      <c r="BI4" s="191" t="s">
        <v>47</v>
      </c>
      <c r="BJ4" s="192" t="s">
        <v>48</v>
      </c>
      <c r="BK4" s="193" t="s">
        <v>49</v>
      </c>
      <c r="BL4" s="194" t="s">
        <v>47</v>
      </c>
      <c r="BM4" s="195" t="s">
        <v>48</v>
      </c>
      <c r="BN4" s="197" t="s">
        <v>49</v>
      </c>
    </row>
    <row r="5" customFormat="false" ht="17.25" hidden="false" customHeight="true" outlineLevel="0" collapsed="false">
      <c r="B5" s="198" t="s">
        <v>50</v>
      </c>
      <c r="C5" s="199" t="s">
        <v>273</v>
      </c>
      <c r="D5" s="200" t="s">
        <v>53</v>
      </c>
      <c r="E5" s="201" t="s">
        <v>274</v>
      </c>
      <c r="F5" s="202"/>
      <c r="G5" s="203" t="s">
        <v>275</v>
      </c>
      <c r="H5" s="204"/>
      <c r="I5" s="203" t="s">
        <v>275</v>
      </c>
      <c r="J5" s="205" t="s">
        <v>55</v>
      </c>
      <c r="K5" s="206"/>
      <c r="L5" s="207" t="s">
        <v>55</v>
      </c>
      <c r="M5" s="203" t="s">
        <v>55</v>
      </c>
      <c r="N5" s="204"/>
      <c r="O5" s="208" t="s">
        <v>55</v>
      </c>
      <c r="P5" s="203" t="s">
        <v>55</v>
      </c>
      <c r="Q5" s="204"/>
      <c r="R5" s="209" t="s">
        <v>55</v>
      </c>
      <c r="S5" s="210" t="s">
        <v>276</v>
      </c>
      <c r="T5" s="211"/>
      <c r="U5" s="212" t="s">
        <v>277</v>
      </c>
      <c r="V5" s="213" t="s">
        <v>278</v>
      </c>
      <c r="W5" s="204"/>
      <c r="X5" s="209" t="s">
        <v>279</v>
      </c>
      <c r="Y5" s="214" t="s">
        <v>280</v>
      </c>
      <c r="Z5" s="211"/>
      <c r="AA5" s="212" t="s">
        <v>281</v>
      </c>
      <c r="AB5" s="213" t="s">
        <v>280</v>
      </c>
      <c r="AC5" s="204"/>
      <c r="AD5" s="209" t="s">
        <v>281</v>
      </c>
      <c r="AE5" s="214" t="s">
        <v>282</v>
      </c>
      <c r="AF5" s="211"/>
      <c r="AG5" s="212" t="s">
        <v>283</v>
      </c>
      <c r="AH5" s="203" t="s">
        <v>284</v>
      </c>
      <c r="AI5" s="204"/>
      <c r="AJ5" s="209" t="s">
        <v>285</v>
      </c>
      <c r="AK5" s="213" t="s">
        <v>279</v>
      </c>
      <c r="AL5" s="204"/>
      <c r="AM5" s="209" t="s">
        <v>276</v>
      </c>
      <c r="AN5" s="205" t="s">
        <v>286</v>
      </c>
      <c r="AO5" s="211"/>
      <c r="AP5" s="212" t="s">
        <v>287</v>
      </c>
      <c r="AQ5" s="213" t="s">
        <v>288</v>
      </c>
      <c r="AR5" s="204"/>
      <c r="AS5" s="209" t="s">
        <v>289</v>
      </c>
      <c r="AT5" s="205" t="s">
        <v>290</v>
      </c>
      <c r="AU5" s="211"/>
      <c r="AV5" s="212" t="s">
        <v>291</v>
      </c>
      <c r="AW5" s="203" t="s">
        <v>292</v>
      </c>
      <c r="AX5" s="204"/>
      <c r="AY5" s="209" t="s">
        <v>291</v>
      </c>
      <c r="AZ5" s="205" t="s">
        <v>292</v>
      </c>
      <c r="BA5" s="211"/>
      <c r="BB5" s="212" t="s">
        <v>291</v>
      </c>
      <c r="BC5" s="213" t="s">
        <v>293</v>
      </c>
      <c r="BD5" s="204"/>
      <c r="BE5" s="209" t="s">
        <v>294</v>
      </c>
      <c r="BF5" s="214" t="s">
        <v>279</v>
      </c>
      <c r="BG5" s="215"/>
      <c r="BH5" s="212" t="s">
        <v>279</v>
      </c>
      <c r="BI5" s="216" t="s">
        <v>295</v>
      </c>
      <c r="BJ5" s="216"/>
      <c r="BK5" s="217" t="s">
        <v>279</v>
      </c>
      <c r="BL5" s="214" t="s">
        <v>295</v>
      </c>
      <c r="BM5" s="211"/>
      <c r="BN5" s="212" t="s">
        <v>279</v>
      </c>
    </row>
    <row r="6" customFormat="false" ht="17.25" hidden="false" customHeight="true" outlineLevel="0" collapsed="false">
      <c r="B6" s="198"/>
      <c r="C6" s="199"/>
      <c r="D6" s="200"/>
      <c r="E6" s="201" t="s">
        <v>296</v>
      </c>
      <c r="F6" s="218"/>
      <c r="G6" s="219" t="s">
        <v>275</v>
      </c>
      <c r="H6" s="220"/>
      <c r="I6" s="221" t="s">
        <v>275</v>
      </c>
      <c r="J6" s="222" t="s">
        <v>55</v>
      </c>
      <c r="K6" s="207"/>
      <c r="L6" s="223" t="s">
        <v>55</v>
      </c>
      <c r="M6" s="224" t="s">
        <v>55</v>
      </c>
      <c r="N6" s="225"/>
      <c r="O6" s="226" t="s">
        <v>55</v>
      </c>
      <c r="P6" s="224" t="s">
        <v>55</v>
      </c>
      <c r="Q6" s="225"/>
      <c r="R6" s="227" t="s">
        <v>55</v>
      </c>
      <c r="S6" s="228" t="s">
        <v>276</v>
      </c>
      <c r="T6" s="229"/>
      <c r="U6" s="230" t="s">
        <v>277</v>
      </c>
      <c r="V6" s="231" t="s">
        <v>278</v>
      </c>
      <c r="W6" s="225"/>
      <c r="X6" s="227" t="s">
        <v>279</v>
      </c>
      <c r="Y6" s="232" t="s">
        <v>280</v>
      </c>
      <c r="Z6" s="233"/>
      <c r="AA6" s="234" t="s">
        <v>281</v>
      </c>
      <c r="AB6" s="235" t="s">
        <v>280</v>
      </c>
      <c r="AC6" s="220"/>
      <c r="AD6" s="221" t="s">
        <v>281</v>
      </c>
      <c r="AE6" s="232" t="s">
        <v>282</v>
      </c>
      <c r="AF6" s="233"/>
      <c r="AG6" s="234" t="s">
        <v>283</v>
      </c>
      <c r="AH6" s="219" t="s">
        <v>284</v>
      </c>
      <c r="AI6" s="220"/>
      <c r="AJ6" s="221" t="s">
        <v>285</v>
      </c>
      <c r="AK6" s="235" t="s">
        <v>279</v>
      </c>
      <c r="AL6" s="220"/>
      <c r="AM6" s="221" t="s">
        <v>276</v>
      </c>
      <c r="AN6" s="236" t="s">
        <v>286</v>
      </c>
      <c r="AO6" s="233"/>
      <c r="AP6" s="234" t="s">
        <v>287</v>
      </c>
      <c r="AQ6" s="235" t="s">
        <v>288</v>
      </c>
      <c r="AR6" s="220"/>
      <c r="AS6" s="221" t="s">
        <v>289</v>
      </c>
      <c r="AT6" s="222" t="s">
        <v>290</v>
      </c>
      <c r="AU6" s="229"/>
      <c r="AV6" s="230" t="s">
        <v>291</v>
      </c>
      <c r="AW6" s="224" t="s">
        <v>292</v>
      </c>
      <c r="AX6" s="225"/>
      <c r="AY6" s="227" t="s">
        <v>291</v>
      </c>
      <c r="AZ6" s="222" t="s">
        <v>292</v>
      </c>
      <c r="BA6" s="229"/>
      <c r="BB6" s="230" t="s">
        <v>291</v>
      </c>
      <c r="BC6" s="235" t="s">
        <v>293</v>
      </c>
      <c r="BD6" s="220"/>
      <c r="BE6" s="221" t="s">
        <v>294</v>
      </c>
      <c r="BF6" s="237" t="s">
        <v>279</v>
      </c>
      <c r="BG6" s="229"/>
      <c r="BH6" s="230" t="s">
        <v>279</v>
      </c>
      <c r="BI6" s="238" t="s">
        <v>295</v>
      </c>
      <c r="BJ6" s="220"/>
      <c r="BK6" s="221" t="s">
        <v>279</v>
      </c>
      <c r="BL6" s="237" t="s">
        <v>295</v>
      </c>
      <c r="BM6" s="229"/>
      <c r="BN6" s="230" t="s">
        <v>279</v>
      </c>
    </row>
    <row r="7" customFormat="false" ht="17.25" hidden="false" customHeight="true" outlineLevel="0" collapsed="false">
      <c r="B7" s="198"/>
      <c r="C7" s="199"/>
      <c r="D7" s="200"/>
      <c r="E7" s="201" t="s">
        <v>297</v>
      </c>
      <c r="F7" s="218"/>
      <c r="G7" s="219" t="s">
        <v>275</v>
      </c>
      <c r="H7" s="220"/>
      <c r="I7" s="221" t="s">
        <v>275</v>
      </c>
      <c r="J7" s="222" t="s">
        <v>55</v>
      </c>
      <c r="K7" s="207"/>
      <c r="L7" s="223" t="s">
        <v>55</v>
      </c>
      <c r="M7" s="224" t="s">
        <v>55</v>
      </c>
      <c r="N7" s="225"/>
      <c r="O7" s="226" t="s">
        <v>55</v>
      </c>
      <c r="P7" s="224" t="s">
        <v>55</v>
      </c>
      <c r="Q7" s="225"/>
      <c r="R7" s="227" t="s">
        <v>55</v>
      </c>
      <c r="S7" s="228" t="s">
        <v>276</v>
      </c>
      <c r="T7" s="229"/>
      <c r="U7" s="230" t="s">
        <v>277</v>
      </c>
      <c r="V7" s="231" t="s">
        <v>278</v>
      </c>
      <c r="W7" s="225"/>
      <c r="X7" s="227" t="s">
        <v>279</v>
      </c>
      <c r="Y7" s="232" t="s">
        <v>280</v>
      </c>
      <c r="Z7" s="233"/>
      <c r="AA7" s="234" t="s">
        <v>281</v>
      </c>
      <c r="AB7" s="235" t="s">
        <v>280</v>
      </c>
      <c r="AC7" s="220"/>
      <c r="AD7" s="221" t="s">
        <v>281</v>
      </c>
      <c r="AE7" s="232" t="s">
        <v>282</v>
      </c>
      <c r="AF7" s="233"/>
      <c r="AG7" s="234" t="s">
        <v>283</v>
      </c>
      <c r="AH7" s="219" t="s">
        <v>284</v>
      </c>
      <c r="AI7" s="220"/>
      <c r="AJ7" s="221" t="s">
        <v>285</v>
      </c>
      <c r="AK7" s="235" t="s">
        <v>279</v>
      </c>
      <c r="AL7" s="220"/>
      <c r="AM7" s="221" t="s">
        <v>276</v>
      </c>
      <c r="AN7" s="236" t="s">
        <v>286</v>
      </c>
      <c r="AO7" s="233"/>
      <c r="AP7" s="234" t="s">
        <v>287</v>
      </c>
      <c r="AQ7" s="235" t="s">
        <v>288</v>
      </c>
      <c r="AR7" s="220"/>
      <c r="AS7" s="221" t="s">
        <v>289</v>
      </c>
      <c r="AT7" s="222" t="s">
        <v>290</v>
      </c>
      <c r="AU7" s="229"/>
      <c r="AV7" s="230" t="s">
        <v>291</v>
      </c>
      <c r="AW7" s="224" t="s">
        <v>292</v>
      </c>
      <c r="AX7" s="225"/>
      <c r="AY7" s="227" t="s">
        <v>291</v>
      </c>
      <c r="AZ7" s="222" t="s">
        <v>292</v>
      </c>
      <c r="BA7" s="229"/>
      <c r="BB7" s="230" t="s">
        <v>291</v>
      </c>
      <c r="BC7" s="235" t="s">
        <v>293</v>
      </c>
      <c r="BD7" s="220"/>
      <c r="BE7" s="221" t="s">
        <v>294</v>
      </c>
      <c r="BF7" s="237" t="s">
        <v>279</v>
      </c>
      <c r="BG7" s="229"/>
      <c r="BH7" s="230" t="s">
        <v>279</v>
      </c>
      <c r="BI7" s="239" t="s">
        <v>295</v>
      </c>
      <c r="BJ7" s="225"/>
      <c r="BK7" s="227" t="s">
        <v>279</v>
      </c>
      <c r="BL7" s="237" t="s">
        <v>295</v>
      </c>
      <c r="BM7" s="229"/>
      <c r="BN7" s="230" t="s">
        <v>279</v>
      </c>
    </row>
    <row r="8" customFormat="false" ht="17.25" hidden="false" customHeight="true" outlineLevel="0" collapsed="false">
      <c r="B8" s="198"/>
      <c r="C8" s="199"/>
      <c r="D8" s="200"/>
      <c r="E8" s="201" t="s">
        <v>298</v>
      </c>
      <c r="F8" s="218"/>
      <c r="G8" s="219" t="s">
        <v>275</v>
      </c>
      <c r="H8" s="220"/>
      <c r="I8" s="221" t="s">
        <v>275</v>
      </c>
      <c r="J8" s="222" t="s">
        <v>55</v>
      </c>
      <c r="K8" s="207"/>
      <c r="L8" s="223" t="s">
        <v>55</v>
      </c>
      <c r="M8" s="224" t="s">
        <v>55</v>
      </c>
      <c r="N8" s="225"/>
      <c r="O8" s="226" t="s">
        <v>55</v>
      </c>
      <c r="P8" s="224" t="s">
        <v>55</v>
      </c>
      <c r="Q8" s="225"/>
      <c r="R8" s="227" t="s">
        <v>55</v>
      </c>
      <c r="S8" s="228" t="s">
        <v>276</v>
      </c>
      <c r="T8" s="229"/>
      <c r="U8" s="230" t="s">
        <v>277</v>
      </c>
      <c r="V8" s="231" t="s">
        <v>278</v>
      </c>
      <c r="W8" s="225"/>
      <c r="X8" s="227" t="s">
        <v>279</v>
      </c>
      <c r="Y8" s="232" t="s">
        <v>280</v>
      </c>
      <c r="Z8" s="233"/>
      <c r="AA8" s="234" t="s">
        <v>281</v>
      </c>
      <c r="AB8" s="235" t="s">
        <v>280</v>
      </c>
      <c r="AC8" s="220"/>
      <c r="AD8" s="221" t="s">
        <v>281</v>
      </c>
      <c r="AE8" s="232" t="s">
        <v>282</v>
      </c>
      <c r="AF8" s="233"/>
      <c r="AG8" s="234" t="s">
        <v>283</v>
      </c>
      <c r="AH8" s="219" t="s">
        <v>284</v>
      </c>
      <c r="AI8" s="220"/>
      <c r="AJ8" s="221" t="s">
        <v>285</v>
      </c>
      <c r="AK8" s="235" t="s">
        <v>279</v>
      </c>
      <c r="AL8" s="220"/>
      <c r="AM8" s="221" t="s">
        <v>276</v>
      </c>
      <c r="AN8" s="236" t="s">
        <v>286</v>
      </c>
      <c r="AO8" s="233"/>
      <c r="AP8" s="234" t="s">
        <v>287</v>
      </c>
      <c r="AQ8" s="235" t="s">
        <v>288</v>
      </c>
      <c r="AR8" s="220"/>
      <c r="AS8" s="221" t="s">
        <v>289</v>
      </c>
      <c r="AT8" s="222" t="s">
        <v>290</v>
      </c>
      <c r="AU8" s="229"/>
      <c r="AV8" s="230" t="s">
        <v>291</v>
      </c>
      <c r="AW8" s="224" t="s">
        <v>292</v>
      </c>
      <c r="AX8" s="225"/>
      <c r="AY8" s="227" t="s">
        <v>291</v>
      </c>
      <c r="AZ8" s="222" t="s">
        <v>292</v>
      </c>
      <c r="BA8" s="229"/>
      <c r="BB8" s="230" t="s">
        <v>291</v>
      </c>
      <c r="BC8" s="235" t="s">
        <v>293</v>
      </c>
      <c r="BD8" s="220"/>
      <c r="BE8" s="221" t="s">
        <v>294</v>
      </c>
      <c r="BF8" s="237" t="s">
        <v>279</v>
      </c>
      <c r="BG8" s="229"/>
      <c r="BH8" s="230" t="s">
        <v>279</v>
      </c>
      <c r="BI8" s="239" t="s">
        <v>295</v>
      </c>
      <c r="BJ8" s="225"/>
      <c r="BK8" s="227" t="s">
        <v>279</v>
      </c>
      <c r="BL8" s="237" t="s">
        <v>295</v>
      </c>
      <c r="BM8" s="229"/>
      <c r="BN8" s="230" t="s">
        <v>279</v>
      </c>
    </row>
    <row r="9" customFormat="false" ht="17.25" hidden="false" customHeight="true" outlineLevel="0" collapsed="false">
      <c r="B9" s="198"/>
      <c r="C9" s="199"/>
      <c r="D9" s="240" t="s">
        <v>59</v>
      </c>
      <c r="E9" s="201" t="s">
        <v>274</v>
      </c>
      <c r="F9" s="241"/>
      <c r="G9" s="224" t="s">
        <v>275</v>
      </c>
      <c r="H9" s="225"/>
      <c r="I9" s="227" t="s">
        <v>275</v>
      </c>
      <c r="J9" s="222" t="s">
        <v>55</v>
      </c>
      <c r="K9" s="223"/>
      <c r="L9" s="223" t="s">
        <v>55</v>
      </c>
      <c r="M9" s="224" t="s">
        <v>55</v>
      </c>
      <c r="N9" s="225"/>
      <c r="O9" s="226" t="s">
        <v>55</v>
      </c>
      <c r="P9" s="224" t="s">
        <v>55</v>
      </c>
      <c r="Q9" s="225"/>
      <c r="R9" s="227" t="s">
        <v>55</v>
      </c>
      <c r="S9" s="228" t="s">
        <v>276</v>
      </c>
      <c r="T9" s="229"/>
      <c r="U9" s="230" t="s">
        <v>277</v>
      </c>
      <c r="V9" s="231" t="s">
        <v>278</v>
      </c>
      <c r="W9" s="225"/>
      <c r="X9" s="227" t="s">
        <v>279</v>
      </c>
      <c r="Y9" s="232" t="s">
        <v>280</v>
      </c>
      <c r="Z9" s="229"/>
      <c r="AA9" s="234" t="s">
        <v>281</v>
      </c>
      <c r="AB9" s="231" t="s">
        <v>280</v>
      </c>
      <c r="AC9" s="225"/>
      <c r="AD9" s="227" t="s">
        <v>281</v>
      </c>
      <c r="AE9" s="237" t="s">
        <v>282</v>
      </c>
      <c r="AF9" s="229"/>
      <c r="AG9" s="230" t="s">
        <v>283</v>
      </c>
      <c r="AH9" s="224" t="s">
        <v>299</v>
      </c>
      <c r="AI9" s="225"/>
      <c r="AJ9" s="227" t="s">
        <v>300</v>
      </c>
      <c r="AK9" s="235" t="s">
        <v>279</v>
      </c>
      <c r="AL9" s="225"/>
      <c r="AM9" s="221" t="s">
        <v>276</v>
      </c>
      <c r="AN9" s="236" t="s">
        <v>286</v>
      </c>
      <c r="AO9" s="233"/>
      <c r="AP9" s="234" t="s">
        <v>287</v>
      </c>
      <c r="AQ9" s="235" t="s">
        <v>288</v>
      </c>
      <c r="AR9" s="220"/>
      <c r="AS9" s="221" t="s">
        <v>289</v>
      </c>
      <c r="AT9" s="222" t="s">
        <v>290</v>
      </c>
      <c r="AU9" s="229"/>
      <c r="AV9" s="230" t="s">
        <v>291</v>
      </c>
      <c r="AW9" s="224" t="s">
        <v>292</v>
      </c>
      <c r="AX9" s="225"/>
      <c r="AY9" s="227" t="s">
        <v>291</v>
      </c>
      <c r="AZ9" s="222" t="s">
        <v>292</v>
      </c>
      <c r="BA9" s="229"/>
      <c r="BB9" s="230" t="s">
        <v>291</v>
      </c>
      <c r="BC9" s="235" t="s">
        <v>293</v>
      </c>
      <c r="BD9" s="225"/>
      <c r="BE9" s="221" t="s">
        <v>294</v>
      </c>
      <c r="BF9" s="237" t="s">
        <v>279</v>
      </c>
      <c r="BG9" s="229"/>
      <c r="BH9" s="230" t="s">
        <v>279</v>
      </c>
      <c r="BI9" s="239" t="s">
        <v>295</v>
      </c>
      <c r="BJ9" s="225"/>
      <c r="BK9" s="227" t="s">
        <v>279</v>
      </c>
      <c r="BL9" s="237" t="s">
        <v>295</v>
      </c>
      <c r="BM9" s="229"/>
      <c r="BN9" s="230" t="s">
        <v>279</v>
      </c>
    </row>
    <row r="10" customFormat="false" ht="17.25" hidden="false" customHeight="true" outlineLevel="0" collapsed="false">
      <c r="B10" s="198"/>
      <c r="C10" s="199"/>
      <c r="D10" s="240"/>
      <c r="E10" s="201" t="s">
        <v>296</v>
      </c>
      <c r="F10" s="241"/>
      <c r="G10" s="224" t="s">
        <v>275</v>
      </c>
      <c r="H10" s="225"/>
      <c r="I10" s="227" t="s">
        <v>275</v>
      </c>
      <c r="J10" s="222" t="s">
        <v>55</v>
      </c>
      <c r="K10" s="223"/>
      <c r="L10" s="223" t="s">
        <v>55</v>
      </c>
      <c r="M10" s="224" t="s">
        <v>55</v>
      </c>
      <c r="N10" s="225"/>
      <c r="O10" s="226" t="s">
        <v>55</v>
      </c>
      <c r="P10" s="224" t="s">
        <v>55</v>
      </c>
      <c r="Q10" s="225"/>
      <c r="R10" s="227" t="s">
        <v>55</v>
      </c>
      <c r="S10" s="228" t="s">
        <v>276</v>
      </c>
      <c r="T10" s="229"/>
      <c r="U10" s="230" t="s">
        <v>277</v>
      </c>
      <c r="V10" s="231" t="s">
        <v>278</v>
      </c>
      <c r="W10" s="225"/>
      <c r="X10" s="227" t="s">
        <v>279</v>
      </c>
      <c r="Y10" s="232" t="s">
        <v>280</v>
      </c>
      <c r="Z10" s="229"/>
      <c r="AA10" s="234" t="s">
        <v>281</v>
      </c>
      <c r="AB10" s="231" t="s">
        <v>280</v>
      </c>
      <c r="AC10" s="225"/>
      <c r="AD10" s="227" t="s">
        <v>281</v>
      </c>
      <c r="AE10" s="237" t="s">
        <v>282</v>
      </c>
      <c r="AF10" s="229"/>
      <c r="AG10" s="230" t="s">
        <v>283</v>
      </c>
      <c r="AH10" s="224" t="s">
        <v>299</v>
      </c>
      <c r="AI10" s="225"/>
      <c r="AJ10" s="227" t="s">
        <v>300</v>
      </c>
      <c r="AK10" s="242" t="s">
        <v>279</v>
      </c>
      <c r="AL10" s="243"/>
      <c r="AM10" s="244" t="s">
        <v>276</v>
      </c>
      <c r="AN10" s="236" t="s">
        <v>286</v>
      </c>
      <c r="AO10" s="233"/>
      <c r="AP10" s="234" t="s">
        <v>287</v>
      </c>
      <c r="AQ10" s="235" t="s">
        <v>288</v>
      </c>
      <c r="AR10" s="220"/>
      <c r="AS10" s="221" t="s">
        <v>289</v>
      </c>
      <c r="AT10" s="222" t="s">
        <v>290</v>
      </c>
      <c r="AU10" s="229"/>
      <c r="AV10" s="230" t="s">
        <v>291</v>
      </c>
      <c r="AW10" s="224" t="s">
        <v>292</v>
      </c>
      <c r="AX10" s="225"/>
      <c r="AY10" s="227" t="s">
        <v>291</v>
      </c>
      <c r="AZ10" s="222" t="s">
        <v>292</v>
      </c>
      <c r="BA10" s="229"/>
      <c r="BB10" s="230" t="s">
        <v>291</v>
      </c>
      <c r="BC10" s="235" t="s">
        <v>293</v>
      </c>
      <c r="BD10" s="225"/>
      <c r="BE10" s="221" t="s">
        <v>294</v>
      </c>
      <c r="BF10" s="237" t="s">
        <v>279</v>
      </c>
      <c r="BG10" s="229"/>
      <c r="BH10" s="230" t="s">
        <v>279</v>
      </c>
      <c r="BI10" s="239" t="s">
        <v>295</v>
      </c>
      <c r="BJ10" s="225"/>
      <c r="BK10" s="227" t="s">
        <v>279</v>
      </c>
      <c r="BL10" s="237" t="s">
        <v>295</v>
      </c>
      <c r="BM10" s="229"/>
      <c r="BN10" s="230" t="s">
        <v>279</v>
      </c>
    </row>
    <row r="11" customFormat="false" ht="17.25" hidden="false" customHeight="true" outlineLevel="0" collapsed="false">
      <c r="B11" s="198"/>
      <c r="C11" s="199"/>
      <c r="D11" s="240"/>
      <c r="E11" s="201" t="s">
        <v>297</v>
      </c>
      <c r="F11" s="241"/>
      <c r="G11" s="224" t="s">
        <v>275</v>
      </c>
      <c r="H11" s="225"/>
      <c r="I11" s="227" t="s">
        <v>275</v>
      </c>
      <c r="J11" s="222" t="s">
        <v>55</v>
      </c>
      <c r="K11" s="223"/>
      <c r="L11" s="223" t="s">
        <v>55</v>
      </c>
      <c r="M11" s="224" t="s">
        <v>55</v>
      </c>
      <c r="N11" s="225"/>
      <c r="O11" s="226" t="s">
        <v>55</v>
      </c>
      <c r="P11" s="224" t="s">
        <v>55</v>
      </c>
      <c r="Q11" s="225"/>
      <c r="R11" s="227" t="s">
        <v>55</v>
      </c>
      <c r="S11" s="228" t="s">
        <v>276</v>
      </c>
      <c r="T11" s="229"/>
      <c r="U11" s="230" t="s">
        <v>277</v>
      </c>
      <c r="V11" s="231" t="s">
        <v>278</v>
      </c>
      <c r="W11" s="225"/>
      <c r="X11" s="227" t="s">
        <v>279</v>
      </c>
      <c r="Y11" s="232" t="s">
        <v>280</v>
      </c>
      <c r="Z11" s="229"/>
      <c r="AA11" s="234" t="s">
        <v>281</v>
      </c>
      <c r="AB11" s="231" t="s">
        <v>280</v>
      </c>
      <c r="AC11" s="225"/>
      <c r="AD11" s="227" t="s">
        <v>281</v>
      </c>
      <c r="AE11" s="237" t="s">
        <v>282</v>
      </c>
      <c r="AF11" s="229"/>
      <c r="AG11" s="230" t="s">
        <v>283</v>
      </c>
      <c r="AH11" s="224" t="s">
        <v>299</v>
      </c>
      <c r="AI11" s="225"/>
      <c r="AJ11" s="227" t="s">
        <v>300</v>
      </c>
      <c r="AK11" s="242" t="s">
        <v>279</v>
      </c>
      <c r="AL11" s="243"/>
      <c r="AM11" s="244" t="s">
        <v>276</v>
      </c>
      <c r="AN11" s="236" t="s">
        <v>286</v>
      </c>
      <c r="AO11" s="233"/>
      <c r="AP11" s="234" t="s">
        <v>287</v>
      </c>
      <c r="AQ11" s="235" t="s">
        <v>288</v>
      </c>
      <c r="AR11" s="220"/>
      <c r="AS11" s="221" t="s">
        <v>289</v>
      </c>
      <c r="AT11" s="222" t="s">
        <v>290</v>
      </c>
      <c r="AU11" s="229"/>
      <c r="AV11" s="230" t="s">
        <v>291</v>
      </c>
      <c r="AW11" s="224" t="s">
        <v>292</v>
      </c>
      <c r="AX11" s="225"/>
      <c r="AY11" s="227" t="s">
        <v>291</v>
      </c>
      <c r="AZ11" s="222" t="s">
        <v>292</v>
      </c>
      <c r="BA11" s="229"/>
      <c r="BB11" s="230" t="s">
        <v>291</v>
      </c>
      <c r="BC11" s="235" t="s">
        <v>293</v>
      </c>
      <c r="BD11" s="225"/>
      <c r="BE11" s="221" t="s">
        <v>294</v>
      </c>
      <c r="BF11" s="237" t="s">
        <v>279</v>
      </c>
      <c r="BG11" s="229"/>
      <c r="BH11" s="230" t="s">
        <v>279</v>
      </c>
      <c r="BI11" s="239" t="s">
        <v>295</v>
      </c>
      <c r="BJ11" s="225"/>
      <c r="BK11" s="227" t="s">
        <v>279</v>
      </c>
      <c r="BL11" s="237" t="s">
        <v>295</v>
      </c>
      <c r="BM11" s="229"/>
      <c r="BN11" s="230" t="s">
        <v>279</v>
      </c>
    </row>
    <row r="12" customFormat="false" ht="17.25" hidden="false" customHeight="true" outlineLevel="0" collapsed="false">
      <c r="B12" s="198"/>
      <c r="C12" s="199"/>
      <c r="D12" s="240"/>
      <c r="E12" s="201" t="s">
        <v>298</v>
      </c>
      <c r="F12" s="241"/>
      <c r="G12" s="224" t="s">
        <v>275</v>
      </c>
      <c r="H12" s="225"/>
      <c r="I12" s="227" t="s">
        <v>275</v>
      </c>
      <c r="J12" s="222" t="s">
        <v>55</v>
      </c>
      <c r="K12" s="223"/>
      <c r="L12" s="223" t="s">
        <v>55</v>
      </c>
      <c r="M12" s="224" t="s">
        <v>55</v>
      </c>
      <c r="N12" s="225"/>
      <c r="O12" s="226" t="s">
        <v>55</v>
      </c>
      <c r="P12" s="224" t="s">
        <v>55</v>
      </c>
      <c r="Q12" s="225"/>
      <c r="R12" s="227" t="s">
        <v>55</v>
      </c>
      <c r="S12" s="228" t="s">
        <v>276</v>
      </c>
      <c r="T12" s="229"/>
      <c r="U12" s="230" t="s">
        <v>277</v>
      </c>
      <c r="V12" s="231" t="s">
        <v>278</v>
      </c>
      <c r="W12" s="225"/>
      <c r="X12" s="227" t="s">
        <v>279</v>
      </c>
      <c r="Y12" s="232" t="s">
        <v>280</v>
      </c>
      <c r="Z12" s="229"/>
      <c r="AA12" s="234" t="s">
        <v>281</v>
      </c>
      <c r="AB12" s="231" t="s">
        <v>280</v>
      </c>
      <c r="AC12" s="225"/>
      <c r="AD12" s="227" t="s">
        <v>281</v>
      </c>
      <c r="AE12" s="237" t="s">
        <v>282</v>
      </c>
      <c r="AF12" s="229"/>
      <c r="AG12" s="230" t="s">
        <v>283</v>
      </c>
      <c r="AH12" s="224" t="s">
        <v>299</v>
      </c>
      <c r="AI12" s="225"/>
      <c r="AJ12" s="227" t="s">
        <v>300</v>
      </c>
      <c r="AK12" s="242" t="s">
        <v>279</v>
      </c>
      <c r="AL12" s="243"/>
      <c r="AM12" s="244" t="s">
        <v>276</v>
      </c>
      <c r="AN12" s="236" t="s">
        <v>286</v>
      </c>
      <c r="AO12" s="233"/>
      <c r="AP12" s="234" t="s">
        <v>287</v>
      </c>
      <c r="AQ12" s="235" t="s">
        <v>288</v>
      </c>
      <c r="AR12" s="220"/>
      <c r="AS12" s="221" t="s">
        <v>289</v>
      </c>
      <c r="AT12" s="222" t="s">
        <v>290</v>
      </c>
      <c r="AU12" s="229"/>
      <c r="AV12" s="230" t="s">
        <v>291</v>
      </c>
      <c r="AW12" s="224" t="s">
        <v>292</v>
      </c>
      <c r="AX12" s="225"/>
      <c r="AY12" s="227" t="s">
        <v>291</v>
      </c>
      <c r="AZ12" s="222" t="s">
        <v>292</v>
      </c>
      <c r="BA12" s="229"/>
      <c r="BB12" s="230" t="s">
        <v>291</v>
      </c>
      <c r="BC12" s="235" t="s">
        <v>293</v>
      </c>
      <c r="BD12" s="225"/>
      <c r="BE12" s="221" t="s">
        <v>294</v>
      </c>
      <c r="BF12" s="237" t="s">
        <v>279</v>
      </c>
      <c r="BG12" s="229"/>
      <c r="BH12" s="230" t="s">
        <v>279</v>
      </c>
      <c r="BI12" s="239" t="s">
        <v>295</v>
      </c>
      <c r="BJ12" s="225"/>
      <c r="BK12" s="227" t="s">
        <v>279</v>
      </c>
      <c r="BL12" s="237" t="s">
        <v>295</v>
      </c>
      <c r="BM12" s="229"/>
      <c r="BN12" s="230" t="s">
        <v>279</v>
      </c>
    </row>
    <row r="13" customFormat="false" ht="17.25" hidden="false" customHeight="true" outlineLevel="0" collapsed="false">
      <c r="B13" s="198"/>
      <c r="C13" s="199"/>
      <c r="D13" s="240" t="s">
        <v>60</v>
      </c>
      <c r="E13" s="201" t="s">
        <v>274</v>
      </c>
      <c r="F13" s="241"/>
      <c r="G13" s="224" t="s">
        <v>275</v>
      </c>
      <c r="H13" s="225"/>
      <c r="I13" s="227" t="s">
        <v>275</v>
      </c>
      <c r="J13" s="222" t="s">
        <v>55</v>
      </c>
      <c r="K13" s="223"/>
      <c r="L13" s="223" t="s">
        <v>55</v>
      </c>
      <c r="M13" s="224" t="s">
        <v>55</v>
      </c>
      <c r="N13" s="225"/>
      <c r="O13" s="226" t="s">
        <v>55</v>
      </c>
      <c r="P13" s="224" t="s">
        <v>55</v>
      </c>
      <c r="Q13" s="225"/>
      <c r="R13" s="227" t="s">
        <v>55</v>
      </c>
      <c r="S13" s="228" t="s">
        <v>276</v>
      </c>
      <c r="T13" s="229"/>
      <c r="U13" s="230" t="s">
        <v>277</v>
      </c>
      <c r="V13" s="231" t="s">
        <v>278</v>
      </c>
      <c r="W13" s="225"/>
      <c r="X13" s="227" t="s">
        <v>279</v>
      </c>
      <c r="Y13" s="232" t="s">
        <v>280</v>
      </c>
      <c r="Z13" s="229"/>
      <c r="AA13" s="234" t="s">
        <v>281</v>
      </c>
      <c r="AB13" s="231" t="s">
        <v>280</v>
      </c>
      <c r="AC13" s="225"/>
      <c r="AD13" s="227" t="s">
        <v>281</v>
      </c>
      <c r="AE13" s="237" t="s">
        <v>282</v>
      </c>
      <c r="AF13" s="229"/>
      <c r="AG13" s="230" t="s">
        <v>283</v>
      </c>
      <c r="AH13" s="224" t="s">
        <v>299</v>
      </c>
      <c r="AI13" s="225"/>
      <c r="AJ13" s="227" t="s">
        <v>300</v>
      </c>
      <c r="AK13" s="242" t="s">
        <v>279</v>
      </c>
      <c r="AL13" s="243"/>
      <c r="AM13" s="244" t="s">
        <v>276</v>
      </c>
      <c r="AN13" s="236" t="s">
        <v>286</v>
      </c>
      <c r="AO13" s="233"/>
      <c r="AP13" s="234" t="s">
        <v>287</v>
      </c>
      <c r="AQ13" s="235" t="s">
        <v>288</v>
      </c>
      <c r="AR13" s="220"/>
      <c r="AS13" s="221" t="s">
        <v>289</v>
      </c>
      <c r="AT13" s="222" t="s">
        <v>290</v>
      </c>
      <c r="AU13" s="229"/>
      <c r="AV13" s="230" t="s">
        <v>291</v>
      </c>
      <c r="AW13" s="224" t="s">
        <v>292</v>
      </c>
      <c r="AX13" s="225"/>
      <c r="AY13" s="227" t="s">
        <v>291</v>
      </c>
      <c r="AZ13" s="222" t="s">
        <v>292</v>
      </c>
      <c r="BA13" s="229"/>
      <c r="BB13" s="230" t="s">
        <v>291</v>
      </c>
      <c r="BC13" s="235" t="s">
        <v>293</v>
      </c>
      <c r="BD13" s="225"/>
      <c r="BE13" s="221" t="s">
        <v>294</v>
      </c>
      <c r="BF13" s="237" t="s">
        <v>279</v>
      </c>
      <c r="BG13" s="229"/>
      <c r="BH13" s="230" t="s">
        <v>279</v>
      </c>
      <c r="BI13" s="239" t="s">
        <v>295</v>
      </c>
      <c r="BJ13" s="225"/>
      <c r="BK13" s="227" t="s">
        <v>279</v>
      </c>
      <c r="BL13" s="237" t="s">
        <v>295</v>
      </c>
      <c r="BM13" s="229"/>
      <c r="BN13" s="230" t="s">
        <v>279</v>
      </c>
    </row>
    <row r="14" customFormat="false" ht="17.25" hidden="false" customHeight="true" outlineLevel="0" collapsed="false">
      <c r="B14" s="198"/>
      <c r="C14" s="199"/>
      <c r="D14" s="240"/>
      <c r="E14" s="201" t="s">
        <v>296</v>
      </c>
      <c r="F14" s="241"/>
      <c r="G14" s="224" t="s">
        <v>275</v>
      </c>
      <c r="H14" s="225"/>
      <c r="I14" s="227" t="s">
        <v>275</v>
      </c>
      <c r="J14" s="222" t="s">
        <v>55</v>
      </c>
      <c r="K14" s="223"/>
      <c r="L14" s="223" t="s">
        <v>55</v>
      </c>
      <c r="M14" s="224" t="s">
        <v>55</v>
      </c>
      <c r="N14" s="225"/>
      <c r="O14" s="226" t="s">
        <v>55</v>
      </c>
      <c r="P14" s="224" t="s">
        <v>55</v>
      </c>
      <c r="Q14" s="225"/>
      <c r="R14" s="227" t="s">
        <v>55</v>
      </c>
      <c r="S14" s="228" t="s">
        <v>276</v>
      </c>
      <c r="T14" s="229"/>
      <c r="U14" s="230" t="s">
        <v>277</v>
      </c>
      <c r="V14" s="231" t="s">
        <v>278</v>
      </c>
      <c r="W14" s="225"/>
      <c r="X14" s="227" t="s">
        <v>279</v>
      </c>
      <c r="Y14" s="232" t="s">
        <v>280</v>
      </c>
      <c r="Z14" s="229"/>
      <c r="AA14" s="234" t="s">
        <v>281</v>
      </c>
      <c r="AB14" s="231" t="s">
        <v>280</v>
      </c>
      <c r="AC14" s="225"/>
      <c r="AD14" s="227" t="s">
        <v>281</v>
      </c>
      <c r="AE14" s="237" t="s">
        <v>282</v>
      </c>
      <c r="AF14" s="229"/>
      <c r="AG14" s="230" t="s">
        <v>283</v>
      </c>
      <c r="AH14" s="224" t="s">
        <v>299</v>
      </c>
      <c r="AI14" s="225"/>
      <c r="AJ14" s="227" t="s">
        <v>300</v>
      </c>
      <c r="AK14" s="242" t="s">
        <v>279</v>
      </c>
      <c r="AL14" s="243"/>
      <c r="AM14" s="244" t="s">
        <v>276</v>
      </c>
      <c r="AN14" s="236" t="s">
        <v>286</v>
      </c>
      <c r="AO14" s="233"/>
      <c r="AP14" s="234" t="s">
        <v>287</v>
      </c>
      <c r="AQ14" s="235" t="s">
        <v>288</v>
      </c>
      <c r="AR14" s="220"/>
      <c r="AS14" s="221" t="s">
        <v>289</v>
      </c>
      <c r="AT14" s="222" t="s">
        <v>290</v>
      </c>
      <c r="AU14" s="229"/>
      <c r="AV14" s="230" t="s">
        <v>291</v>
      </c>
      <c r="AW14" s="224" t="s">
        <v>292</v>
      </c>
      <c r="AX14" s="225"/>
      <c r="AY14" s="227" t="s">
        <v>291</v>
      </c>
      <c r="AZ14" s="222" t="s">
        <v>292</v>
      </c>
      <c r="BA14" s="229"/>
      <c r="BB14" s="230" t="s">
        <v>291</v>
      </c>
      <c r="BC14" s="235" t="s">
        <v>293</v>
      </c>
      <c r="BD14" s="225"/>
      <c r="BE14" s="221" t="s">
        <v>294</v>
      </c>
      <c r="BF14" s="237" t="s">
        <v>279</v>
      </c>
      <c r="BG14" s="229"/>
      <c r="BH14" s="230" t="s">
        <v>279</v>
      </c>
      <c r="BI14" s="239" t="s">
        <v>295</v>
      </c>
      <c r="BJ14" s="225"/>
      <c r="BK14" s="227" t="s">
        <v>279</v>
      </c>
      <c r="BL14" s="237" t="s">
        <v>295</v>
      </c>
      <c r="BM14" s="229"/>
      <c r="BN14" s="230" t="s">
        <v>279</v>
      </c>
    </row>
    <row r="15" customFormat="false" ht="17.25" hidden="false" customHeight="true" outlineLevel="0" collapsed="false">
      <c r="B15" s="198"/>
      <c r="C15" s="199"/>
      <c r="D15" s="240"/>
      <c r="E15" s="201" t="s">
        <v>297</v>
      </c>
      <c r="F15" s="241"/>
      <c r="G15" s="224" t="s">
        <v>275</v>
      </c>
      <c r="H15" s="225"/>
      <c r="I15" s="227" t="s">
        <v>275</v>
      </c>
      <c r="J15" s="222" t="s">
        <v>55</v>
      </c>
      <c r="K15" s="223"/>
      <c r="L15" s="223" t="s">
        <v>55</v>
      </c>
      <c r="M15" s="224" t="s">
        <v>55</v>
      </c>
      <c r="N15" s="225"/>
      <c r="O15" s="226" t="s">
        <v>55</v>
      </c>
      <c r="P15" s="224" t="s">
        <v>55</v>
      </c>
      <c r="Q15" s="225"/>
      <c r="R15" s="227" t="s">
        <v>55</v>
      </c>
      <c r="S15" s="228" t="s">
        <v>276</v>
      </c>
      <c r="T15" s="229"/>
      <c r="U15" s="230" t="s">
        <v>277</v>
      </c>
      <c r="V15" s="231" t="s">
        <v>278</v>
      </c>
      <c r="W15" s="225"/>
      <c r="X15" s="227" t="s">
        <v>279</v>
      </c>
      <c r="Y15" s="232" t="s">
        <v>280</v>
      </c>
      <c r="Z15" s="229"/>
      <c r="AA15" s="234" t="s">
        <v>281</v>
      </c>
      <c r="AB15" s="231" t="s">
        <v>280</v>
      </c>
      <c r="AC15" s="225"/>
      <c r="AD15" s="227" t="s">
        <v>281</v>
      </c>
      <c r="AE15" s="237" t="s">
        <v>282</v>
      </c>
      <c r="AF15" s="229"/>
      <c r="AG15" s="230" t="s">
        <v>283</v>
      </c>
      <c r="AH15" s="224" t="s">
        <v>299</v>
      </c>
      <c r="AI15" s="225"/>
      <c r="AJ15" s="227" t="s">
        <v>300</v>
      </c>
      <c r="AK15" s="242" t="s">
        <v>279</v>
      </c>
      <c r="AL15" s="243"/>
      <c r="AM15" s="244" t="s">
        <v>276</v>
      </c>
      <c r="AN15" s="236" t="s">
        <v>286</v>
      </c>
      <c r="AO15" s="233"/>
      <c r="AP15" s="234" t="s">
        <v>287</v>
      </c>
      <c r="AQ15" s="235" t="s">
        <v>288</v>
      </c>
      <c r="AR15" s="220"/>
      <c r="AS15" s="221" t="s">
        <v>289</v>
      </c>
      <c r="AT15" s="222" t="s">
        <v>290</v>
      </c>
      <c r="AU15" s="229"/>
      <c r="AV15" s="230" t="s">
        <v>291</v>
      </c>
      <c r="AW15" s="224" t="s">
        <v>292</v>
      </c>
      <c r="AX15" s="225"/>
      <c r="AY15" s="227" t="s">
        <v>291</v>
      </c>
      <c r="AZ15" s="222" t="s">
        <v>292</v>
      </c>
      <c r="BA15" s="229"/>
      <c r="BB15" s="230" t="s">
        <v>291</v>
      </c>
      <c r="BC15" s="235" t="s">
        <v>293</v>
      </c>
      <c r="BD15" s="225"/>
      <c r="BE15" s="221" t="s">
        <v>294</v>
      </c>
      <c r="BF15" s="237" t="s">
        <v>279</v>
      </c>
      <c r="BG15" s="229"/>
      <c r="BH15" s="230" t="s">
        <v>279</v>
      </c>
      <c r="BI15" s="239" t="s">
        <v>295</v>
      </c>
      <c r="BJ15" s="225"/>
      <c r="BK15" s="227" t="s">
        <v>279</v>
      </c>
      <c r="BL15" s="237" t="s">
        <v>295</v>
      </c>
      <c r="BM15" s="229"/>
      <c r="BN15" s="230" t="s">
        <v>279</v>
      </c>
    </row>
    <row r="16" customFormat="false" ht="17.25" hidden="false" customHeight="true" outlineLevel="0" collapsed="false">
      <c r="B16" s="198"/>
      <c r="C16" s="199"/>
      <c r="D16" s="240"/>
      <c r="E16" s="201" t="s">
        <v>298</v>
      </c>
      <c r="F16" s="241"/>
      <c r="G16" s="224" t="s">
        <v>275</v>
      </c>
      <c r="H16" s="225"/>
      <c r="I16" s="227" t="s">
        <v>275</v>
      </c>
      <c r="J16" s="222" t="s">
        <v>55</v>
      </c>
      <c r="K16" s="223"/>
      <c r="L16" s="223" t="s">
        <v>55</v>
      </c>
      <c r="M16" s="224" t="s">
        <v>55</v>
      </c>
      <c r="N16" s="225"/>
      <c r="O16" s="226" t="s">
        <v>55</v>
      </c>
      <c r="P16" s="224" t="s">
        <v>55</v>
      </c>
      <c r="Q16" s="225"/>
      <c r="R16" s="227" t="s">
        <v>55</v>
      </c>
      <c r="S16" s="228" t="s">
        <v>276</v>
      </c>
      <c r="T16" s="229"/>
      <c r="U16" s="230" t="s">
        <v>277</v>
      </c>
      <c r="V16" s="231" t="s">
        <v>278</v>
      </c>
      <c r="W16" s="225"/>
      <c r="X16" s="227" t="s">
        <v>279</v>
      </c>
      <c r="Y16" s="232" t="s">
        <v>280</v>
      </c>
      <c r="Z16" s="229"/>
      <c r="AA16" s="234" t="s">
        <v>281</v>
      </c>
      <c r="AB16" s="231" t="s">
        <v>280</v>
      </c>
      <c r="AC16" s="225"/>
      <c r="AD16" s="227" t="s">
        <v>281</v>
      </c>
      <c r="AE16" s="237" t="s">
        <v>282</v>
      </c>
      <c r="AF16" s="229"/>
      <c r="AG16" s="230" t="s">
        <v>283</v>
      </c>
      <c r="AH16" s="224" t="s">
        <v>299</v>
      </c>
      <c r="AI16" s="225"/>
      <c r="AJ16" s="227" t="s">
        <v>300</v>
      </c>
      <c r="AK16" s="242" t="s">
        <v>279</v>
      </c>
      <c r="AL16" s="243"/>
      <c r="AM16" s="244" t="s">
        <v>276</v>
      </c>
      <c r="AN16" s="236" t="s">
        <v>286</v>
      </c>
      <c r="AO16" s="233"/>
      <c r="AP16" s="234" t="s">
        <v>287</v>
      </c>
      <c r="AQ16" s="235" t="s">
        <v>288</v>
      </c>
      <c r="AR16" s="220"/>
      <c r="AS16" s="221" t="s">
        <v>289</v>
      </c>
      <c r="AT16" s="222" t="s">
        <v>290</v>
      </c>
      <c r="AU16" s="229"/>
      <c r="AV16" s="230" t="s">
        <v>291</v>
      </c>
      <c r="AW16" s="224" t="s">
        <v>292</v>
      </c>
      <c r="AX16" s="225"/>
      <c r="AY16" s="227" t="s">
        <v>291</v>
      </c>
      <c r="AZ16" s="222" t="s">
        <v>292</v>
      </c>
      <c r="BA16" s="229"/>
      <c r="BB16" s="230" t="s">
        <v>291</v>
      </c>
      <c r="BC16" s="235" t="s">
        <v>293</v>
      </c>
      <c r="BD16" s="225"/>
      <c r="BE16" s="221" t="s">
        <v>294</v>
      </c>
      <c r="BF16" s="237" t="s">
        <v>279</v>
      </c>
      <c r="BG16" s="229"/>
      <c r="BH16" s="230" t="s">
        <v>279</v>
      </c>
      <c r="BI16" s="239" t="s">
        <v>295</v>
      </c>
      <c r="BJ16" s="225"/>
      <c r="BK16" s="227" t="s">
        <v>279</v>
      </c>
      <c r="BL16" s="237" t="s">
        <v>295</v>
      </c>
      <c r="BM16" s="229"/>
      <c r="BN16" s="230" t="s">
        <v>279</v>
      </c>
    </row>
    <row r="17" customFormat="false" ht="17.25" hidden="false" customHeight="true" outlineLevel="0" collapsed="false">
      <c r="B17" s="198"/>
      <c r="C17" s="245" t="s">
        <v>301</v>
      </c>
      <c r="D17" s="240" t="s">
        <v>53</v>
      </c>
      <c r="E17" s="201" t="s">
        <v>274</v>
      </c>
      <c r="F17" s="241"/>
      <c r="G17" s="224" t="s">
        <v>275</v>
      </c>
      <c r="H17" s="225"/>
      <c r="I17" s="227" t="s">
        <v>275</v>
      </c>
      <c r="J17" s="222" t="s">
        <v>55</v>
      </c>
      <c r="K17" s="223"/>
      <c r="L17" s="223" t="s">
        <v>55</v>
      </c>
      <c r="M17" s="224" t="s">
        <v>55</v>
      </c>
      <c r="N17" s="225"/>
      <c r="O17" s="226" t="s">
        <v>55</v>
      </c>
      <c r="P17" s="224" t="s">
        <v>55</v>
      </c>
      <c r="Q17" s="225"/>
      <c r="R17" s="227" t="s">
        <v>55</v>
      </c>
      <c r="S17" s="228" t="s">
        <v>302</v>
      </c>
      <c r="T17" s="229"/>
      <c r="U17" s="230" t="s">
        <v>303</v>
      </c>
      <c r="V17" s="231" t="s">
        <v>278</v>
      </c>
      <c r="W17" s="225"/>
      <c r="X17" s="227" t="s">
        <v>279</v>
      </c>
      <c r="Y17" s="237" t="s">
        <v>304</v>
      </c>
      <c r="Z17" s="229"/>
      <c r="AA17" s="234" t="s">
        <v>281</v>
      </c>
      <c r="AB17" s="231" t="s">
        <v>304</v>
      </c>
      <c r="AC17" s="225"/>
      <c r="AD17" s="227" t="s">
        <v>281</v>
      </c>
      <c r="AE17" s="222" t="s">
        <v>305</v>
      </c>
      <c r="AF17" s="229"/>
      <c r="AG17" s="230" t="s">
        <v>306</v>
      </c>
      <c r="AH17" s="224" t="s">
        <v>284</v>
      </c>
      <c r="AI17" s="225"/>
      <c r="AJ17" s="227" t="s">
        <v>285</v>
      </c>
      <c r="AK17" s="242" t="s">
        <v>279</v>
      </c>
      <c r="AL17" s="243"/>
      <c r="AM17" s="244" t="s">
        <v>307</v>
      </c>
      <c r="AN17" s="236" t="s">
        <v>286</v>
      </c>
      <c r="AO17" s="233"/>
      <c r="AP17" s="234" t="s">
        <v>287</v>
      </c>
      <c r="AQ17" s="235" t="s">
        <v>288</v>
      </c>
      <c r="AR17" s="220"/>
      <c r="AS17" s="221" t="s">
        <v>289</v>
      </c>
      <c r="AT17" s="222" t="s">
        <v>308</v>
      </c>
      <c r="AU17" s="229"/>
      <c r="AV17" s="230" t="s">
        <v>291</v>
      </c>
      <c r="AW17" s="224" t="s">
        <v>308</v>
      </c>
      <c r="AX17" s="225"/>
      <c r="AY17" s="227" t="s">
        <v>292</v>
      </c>
      <c r="AZ17" s="222" t="s">
        <v>309</v>
      </c>
      <c r="BA17" s="229"/>
      <c r="BB17" s="230" t="s">
        <v>292</v>
      </c>
      <c r="BC17" s="235" t="s">
        <v>293</v>
      </c>
      <c r="BD17" s="225"/>
      <c r="BE17" s="221" t="s">
        <v>294</v>
      </c>
      <c r="BF17" s="237" t="s">
        <v>310</v>
      </c>
      <c r="BG17" s="229"/>
      <c r="BH17" s="230" t="s">
        <v>311</v>
      </c>
      <c r="BI17" s="239" t="s">
        <v>312</v>
      </c>
      <c r="BJ17" s="225"/>
      <c r="BK17" s="227" t="s">
        <v>313</v>
      </c>
      <c r="BL17" s="237" t="s">
        <v>314</v>
      </c>
      <c r="BM17" s="229"/>
      <c r="BN17" s="230" t="s">
        <v>315</v>
      </c>
    </row>
    <row r="18" customFormat="false" ht="17.25" hidden="false" customHeight="true" outlineLevel="0" collapsed="false">
      <c r="B18" s="198"/>
      <c r="C18" s="245"/>
      <c r="D18" s="240"/>
      <c r="E18" s="201" t="s">
        <v>296</v>
      </c>
      <c r="F18" s="241"/>
      <c r="G18" s="224" t="s">
        <v>275</v>
      </c>
      <c r="H18" s="225"/>
      <c r="I18" s="227" t="s">
        <v>275</v>
      </c>
      <c r="J18" s="222" t="s">
        <v>55</v>
      </c>
      <c r="K18" s="223"/>
      <c r="L18" s="223" t="s">
        <v>55</v>
      </c>
      <c r="M18" s="224" t="s">
        <v>55</v>
      </c>
      <c r="N18" s="225"/>
      <c r="O18" s="226" t="s">
        <v>55</v>
      </c>
      <c r="P18" s="224" t="s">
        <v>55</v>
      </c>
      <c r="Q18" s="225"/>
      <c r="R18" s="227" t="s">
        <v>55</v>
      </c>
      <c r="S18" s="228" t="s">
        <v>302</v>
      </c>
      <c r="T18" s="229"/>
      <c r="U18" s="230" t="s">
        <v>303</v>
      </c>
      <c r="V18" s="231" t="s">
        <v>278</v>
      </c>
      <c r="W18" s="225"/>
      <c r="X18" s="227" t="s">
        <v>279</v>
      </c>
      <c r="Y18" s="237" t="s">
        <v>304</v>
      </c>
      <c r="Z18" s="229"/>
      <c r="AA18" s="234" t="s">
        <v>281</v>
      </c>
      <c r="AB18" s="231" t="s">
        <v>304</v>
      </c>
      <c r="AC18" s="225"/>
      <c r="AD18" s="227" t="s">
        <v>281</v>
      </c>
      <c r="AE18" s="222" t="s">
        <v>305</v>
      </c>
      <c r="AF18" s="229"/>
      <c r="AG18" s="230" t="s">
        <v>306</v>
      </c>
      <c r="AH18" s="224" t="s">
        <v>284</v>
      </c>
      <c r="AI18" s="225"/>
      <c r="AJ18" s="227" t="s">
        <v>285</v>
      </c>
      <c r="AK18" s="242" t="s">
        <v>279</v>
      </c>
      <c r="AL18" s="243"/>
      <c r="AM18" s="244" t="s">
        <v>307</v>
      </c>
      <c r="AN18" s="236" t="s">
        <v>286</v>
      </c>
      <c r="AO18" s="233"/>
      <c r="AP18" s="234" t="s">
        <v>287</v>
      </c>
      <c r="AQ18" s="235" t="s">
        <v>288</v>
      </c>
      <c r="AR18" s="220"/>
      <c r="AS18" s="221" t="s">
        <v>289</v>
      </c>
      <c r="AT18" s="222" t="s">
        <v>308</v>
      </c>
      <c r="AU18" s="229"/>
      <c r="AV18" s="230" t="s">
        <v>291</v>
      </c>
      <c r="AW18" s="224" t="s">
        <v>308</v>
      </c>
      <c r="AX18" s="225"/>
      <c r="AY18" s="227" t="s">
        <v>292</v>
      </c>
      <c r="AZ18" s="222" t="s">
        <v>309</v>
      </c>
      <c r="BA18" s="229"/>
      <c r="BB18" s="230" t="s">
        <v>292</v>
      </c>
      <c r="BC18" s="235" t="s">
        <v>293</v>
      </c>
      <c r="BD18" s="225"/>
      <c r="BE18" s="221" t="s">
        <v>294</v>
      </c>
      <c r="BF18" s="237" t="s">
        <v>310</v>
      </c>
      <c r="BG18" s="229"/>
      <c r="BH18" s="230" t="s">
        <v>311</v>
      </c>
      <c r="BI18" s="239" t="s">
        <v>312</v>
      </c>
      <c r="BJ18" s="225"/>
      <c r="BK18" s="227" t="s">
        <v>313</v>
      </c>
      <c r="BL18" s="237" t="s">
        <v>314</v>
      </c>
      <c r="BM18" s="229"/>
      <c r="BN18" s="230" t="s">
        <v>316</v>
      </c>
    </row>
    <row r="19" customFormat="false" ht="17.25" hidden="false" customHeight="true" outlineLevel="0" collapsed="false">
      <c r="B19" s="198"/>
      <c r="C19" s="245"/>
      <c r="D19" s="240"/>
      <c r="E19" s="201" t="s">
        <v>297</v>
      </c>
      <c r="F19" s="241"/>
      <c r="G19" s="224" t="s">
        <v>275</v>
      </c>
      <c r="H19" s="225"/>
      <c r="I19" s="227" t="s">
        <v>275</v>
      </c>
      <c r="J19" s="222" t="s">
        <v>55</v>
      </c>
      <c r="K19" s="223"/>
      <c r="L19" s="223" t="s">
        <v>55</v>
      </c>
      <c r="M19" s="224" t="s">
        <v>55</v>
      </c>
      <c r="N19" s="225"/>
      <c r="O19" s="226" t="s">
        <v>55</v>
      </c>
      <c r="P19" s="224" t="s">
        <v>55</v>
      </c>
      <c r="Q19" s="225"/>
      <c r="R19" s="227" t="s">
        <v>55</v>
      </c>
      <c r="S19" s="228" t="s">
        <v>302</v>
      </c>
      <c r="T19" s="229"/>
      <c r="U19" s="230" t="s">
        <v>303</v>
      </c>
      <c r="V19" s="231" t="s">
        <v>278</v>
      </c>
      <c r="W19" s="225"/>
      <c r="X19" s="227" t="s">
        <v>279</v>
      </c>
      <c r="Y19" s="237" t="s">
        <v>304</v>
      </c>
      <c r="Z19" s="229"/>
      <c r="AA19" s="234" t="s">
        <v>281</v>
      </c>
      <c r="AB19" s="231" t="s">
        <v>304</v>
      </c>
      <c r="AC19" s="225"/>
      <c r="AD19" s="227" t="s">
        <v>281</v>
      </c>
      <c r="AE19" s="222" t="s">
        <v>305</v>
      </c>
      <c r="AF19" s="229"/>
      <c r="AG19" s="230" t="s">
        <v>306</v>
      </c>
      <c r="AH19" s="224" t="s">
        <v>284</v>
      </c>
      <c r="AI19" s="225"/>
      <c r="AJ19" s="227" t="s">
        <v>285</v>
      </c>
      <c r="AK19" s="242" t="s">
        <v>279</v>
      </c>
      <c r="AL19" s="243"/>
      <c r="AM19" s="244" t="s">
        <v>307</v>
      </c>
      <c r="AN19" s="236" t="s">
        <v>286</v>
      </c>
      <c r="AO19" s="233"/>
      <c r="AP19" s="234" t="s">
        <v>287</v>
      </c>
      <c r="AQ19" s="235" t="s">
        <v>288</v>
      </c>
      <c r="AR19" s="220"/>
      <c r="AS19" s="221" t="s">
        <v>289</v>
      </c>
      <c r="AT19" s="222" t="s">
        <v>308</v>
      </c>
      <c r="AU19" s="229"/>
      <c r="AV19" s="230" t="s">
        <v>291</v>
      </c>
      <c r="AW19" s="224" t="s">
        <v>308</v>
      </c>
      <c r="AX19" s="225"/>
      <c r="AY19" s="227" t="s">
        <v>292</v>
      </c>
      <c r="AZ19" s="222" t="s">
        <v>309</v>
      </c>
      <c r="BA19" s="229"/>
      <c r="BB19" s="230" t="s">
        <v>292</v>
      </c>
      <c r="BC19" s="235" t="s">
        <v>293</v>
      </c>
      <c r="BD19" s="225"/>
      <c r="BE19" s="221" t="s">
        <v>294</v>
      </c>
      <c r="BF19" s="237" t="s">
        <v>310</v>
      </c>
      <c r="BG19" s="229"/>
      <c r="BH19" s="230" t="s">
        <v>311</v>
      </c>
      <c r="BI19" s="239" t="s">
        <v>312</v>
      </c>
      <c r="BJ19" s="225"/>
      <c r="BK19" s="227" t="s">
        <v>313</v>
      </c>
      <c r="BL19" s="237" t="s">
        <v>314</v>
      </c>
      <c r="BM19" s="229"/>
      <c r="BN19" s="230" t="s">
        <v>317</v>
      </c>
    </row>
    <row r="20" customFormat="false" ht="17.25" hidden="false" customHeight="true" outlineLevel="0" collapsed="false">
      <c r="B20" s="198"/>
      <c r="C20" s="245"/>
      <c r="D20" s="240"/>
      <c r="E20" s="201" t="s">
        <v>298</v>
      </c>
      <c r="F20" s="241"/>
      <c r="G20" s="224" t="s">
        <v>275</v>
      </c>
      <c r="H20" s="225"/>
      <c r="I20" s="227" t="s">
        <v>275</v>
      </c>
      <c r="J20" s="222" t="s">
        <v>55</v>
      </c>
      <c r="K20" s="223"/>
      <c r="L20" s="223" t="s">
        <v>55</v>
      </c>
      <c r="M20" s="224" t="s">
        <v>55</v>
      </c>
      <c r="N20" s="225"/>
      <c r="O20" s="226" t="s">
        <v>55</v>
      </c>
      <c r="P20" s="224" t="s">
        <v>55</v>
      </c>
      <c r="Q20" s="225"/>
      <c r="R20" s="227" t="s">
        <v>55</v>
      </c>
      <c r="S20" s="228" t="s">
        <v>302</v>
      </c>
      <c r="T20" s="229"/>
      <c r="U20" s="230" t="s">
        <v>303</v>
      </c>
      <c r="V20" s="231" t="s">
        <v>278</v>
      </c>
      <c r="W20" s="225"/>
      <c r="X20" s="227" t="s">
        <v>279</v>
      </c>
      <c r="Y20" s="237" t="s">
        <v>304</v>
      </c>
      <c r="Z20" s="229"/>
      <c r="AA20" s="234" t="s">
        <v>281</v>
      </c>
      <c r="AB20" s="231" t="s">
        <v>304</v>
      </c>
      <c r="AC20" s="225"/>
      <c r="AD20" s="227" t="s">
        <v>281</v>
      </c>
      <c r="AE20" s="222" t="s">
        <v>305</v>
      </c>
      <c r="AF20" s="229"/>
      <c r="AG20" s="230" t="s">
        <v>306</v>
      </c>
      <c r="AH20" s="224" t="s">
        <v>284</v>
      </c>
      <c r="AI20" s="225"/>
      <c r="AJ20" s="227" t="s">
        <v>285</v>
      </c>
      <c r="AK20" s="242" t="s">
        <v>279</v>
      </c>
      <c r="AL20" s="243"/>
      <c r="AM20" s="244" t="s">
        <v>307</v>
      </c>
      <c r="AN20" s="236" t="s">
        <v>286</v>
      </c>
      <c r="AO20" s="233"/>
      <c r="AP20" s="234" t="s">
        <v>287</v>
      </c>
      <c r="AQ20" s="235" t="s">
        <v>288</v>
      </c>
      <c r="AR20" s="220"/>
      <c r="AS20" s="221" t="s">
        <v>289</v>
      </c>
      <c r="AT20" s="222" t="s">
        <v>308</v>
      </c>
      <c r="AU20" s="229"/>
      <c r="AV20" s="230" t="s">
        <v>291</v>
      </c>
      <c r="AW20" s="224" t="s">
        <v>308</v>
      </c>
      <c r="AX20" s="225"/>
      <c r="AY20" s="227" t="s">
        <v>292</v>
      </c>
      <c r="AZ20" s="222" t="s">
        <v>309</v>
      </c>
      <c r="BA20" s="229"/>
      <c r="BB20" s="230" t="s">
        <v>292</v>
      </c>
      <c r="BC20" s="235" t="s">
        <v>293</v>
      </c>
      <c r="BD20" s="225"/>
      <c r="BE20" s="221" t="s">
        <v>294</v>
      </c>
      <c r="BF20" s="237" t="s">
        <v>310</v>
      </c>
      <c r="BG20" s="229"/>
      <c r="BH20" s="230" t="s">
        <v>311</v>
      </c>
      <c r="BI20" s="239" t="s">
        <v>312</v>
      </c>
      <c r="BJ20" s="225"/>
      <c r="BK20" s="227" t="s">
        <v>313</v>
      </c>
      <c r="BL20" s="237" t="s">
        <v>314</v>
      </c>
      <c r="BM20" s="229"/>
      <c r="BN20" s="230" t="s">
        <v>318</v>
      </c>
    </row>
    <row r="21" customFormat="false" ht="17.25" hidden="false" customHeight="true" outlineLevel="0" collapsed="false">
      <c r="B21" s="198"/>
      <c r="C21" s="245"/>
      <c r="D21" s="240" t="s">
        <v>59</v>
      </c>
      <c r="E21" s="201" t="s">
        <v>274</v>
      </c>
      <c r="F21" s="241"/>
      <c r="G21" s="224" t="s">
        <v>275</v>
      </c>
      <c r="H21" s="225"/>
      <c r="I21" s="227" t="s">
        <v>275</v>
      </c>
      <c r="J21" s="222" t="s">
        <v>55</v>
      </c>
      <c r="K21" s="223"/>
      <c r="L21" s="223" t="s">
        <v>55</v>
      </c>
      <c r="M21" s="224" t="s">
        <v>55</v>
      </c>
      <c r="N21" s="225"/>
      <c r="O21" s="226" t="s">
        <v>55</v>
      </c>
      <c r="P21" s="224" t="s">
        <v>55</v>
      </c>
      <c r="Q21" s="225"/>
      <c r="R21" s="227" t="s">
        <v>55</v>
      </c>
      <c r="S21" s="228" t="s">
        <v>302</v>
      </c>
      <c r="T21" s="229"/>
      <c r="U21" s="230" t="s">
        <v>303</v>
      </c>
      <c r="V21" s="231" t="s">
        <v>278</v>
      </c>
      <c r="W21" s="225"/>
      <c r="X21" s="227" t="s">
        <v>279</v>
      </c>
      <c r="Y21" s="237" t="s">
        <v>304</v>
      </c>
      <c r="Z21" s="229"/>
      <c r="AA21" s="234" t="s">
        <v>281</v>
      </c>
      <c r="AB21" s="231" t="s">
        <v>304</v>
      </c>
      <c r="AC21" s="225"/>
      <c r="AD21" s="227" t="s">
        <v>281</v>
      </c>
      <c r="AE21" s="222" t="s">
        <v>305</v>
      </c>
      <c r="AF21" s="229"/>
      <c r="AG21" s="230" t="s">
        <v>306</v>
      </c>
      <c r="AH21" s="224" t="s">
        <v>284</v>
      </c>
      <c r="AI21" s="225"/>
      <c r="AJ21" s="227" t="s">
        <v>285</v>
      </c>
      <c r="AK21" s="242" t="s">
        <v>279</v>
      </c>
      <c r="AL21" s="243"/>
      <c r="AM21" s="244" t="s">
        <v>307</v>
      </c>
      <c r="AN21" s="236" t="s">
        <v>286</v>
      </c>
      <c r="AO21" s="233"/>
      <c r="AP21" s="234" t="s">
        <v>287</v>
      </c>
      <c r="AQ21" s="235" t="s">
        <v>288</v>
      </c>
      <c r="AR21" s="220"/>
      <c r="AS21" s="221" t="s">
        <v>289</v>
      </c>
      <c r="AT21" s="222" t="s">
        <v>308</v>
      </c>
      <c r="AU21" s="229"/>
      <c r="AV21" s="230" t="s">
        <v>291</v>
      </c>
      <c r="AW21" s="224" t="s">
        <v>308</v>
      </c>
      <c r="AX21" s="225"/>
      <c r="AY21" s="227" t="s">
        <v>292</v>
      </c>
      <c r="AZ21" s="222" t="s">
        <v>309</v>
      </c>
      <c r="BA21" s="229"/>
      <c r="BB21" s="230" t="s">
        <v>292</v>
      </c>
      <c r="BC21" s="235" t="s">
        <v>293</v>
      </c>
      <c r="BD21" s="225"/>
      <c r="BE21" s="221" t="s">
        <v>294</v>
      </c>
      <c r="BF21" s="237" t="s">
        <v>310</v>
      </c>
      <c r="BG21" s="229"/>
      <c r="BH21" s="230" t="s">
        <v>311</v>
      </c>
      <c r="BI21" s="239" t="s">
        <v>312</v>
      </c>
      <c r="BJ21" s="225"/>
      <c r="BK21" s="227" t="s">
        <v>313</v>
      </c>
      <c r="BL21" s="237" t="s">
        <v>314</v>
      </c>
      <c r="BM21" s="229"/>
      <c r="BN21" s="230" t="s">
        <v>319</v>
      </c>
    </row>
    <row r="22" customFormat="false" ht="17.25" hidden="false" customHeight="true" outlineLevel="0" collapsed="false">
      <c r="B22" s="198"/>
      <c r="C22" s="245"/>
      <c r="D22" s="240"/>
      <c r="E22" s="201" t="s">
        <v>296</v>
      </c>
      <c r="F22" s="241"/>
      <c r="G22" s="224" t="s">
        <v>275</v>
      </c>
      <c r="H22" s="225"/>
      <c r="I22" s="227" t="s">
        <v>275</v>
      </c>
      <c r="J22" s="222" t="s">
        <v>55</v>
      </c>
      <c r="K22" s="223"/>
      <c r="L22" s="223" t="s">
        <v>55</v>
      </c>
      <c r="M22" s="224" t="s">
        <v>55</v>
      </c>
      <c r="N22" s="225"/>
      <c r="O22" s="226" t="s">
        <v>55</v>
      </c>
      <c r="P22" s="224" t="s">
        <v>55</v>
      </c>
      <c r="Q22" s="225"/>
      <c r="R22" s="227" t="s">
        <v>55</v>
      </c>
      <c r="S22" s="228" t="s">
        <v>302</v>
      </c>
      <c r="T22" s="229"/>
      <c r="U22" s="230" t="s">
        <v>303</v>
      </c>
      <c r="V22" s="231" t="s">
        <v>278</v>
      </c>
      <c r="W22" s="225"/>
      <c r="X22" s="227" t="s">
        <v>279</v>
      </c>
      <c r="Y22" s="237" t="s">
        <v>304</v>
      </c>
      <c r="Z22" s="229"/>
      <c r="AA22" s="234" t="s">
        <v>281</v>
      </c>
      <c r="AB22" s="231" t="s">
        <v>304</v>
      </c>
      <c r="AC22" s="225"/>
      <c r="AD22" s="227" t="s">
        <v>281</v>
      </c>
      <c r="AE22" s="222" t="s">
        <v>305</v>
      </c>
      <c r="AF22" s="229"/>
      <c r="AG22" s="230" t="s">
        <v>306</v>
      </c>
      <c r="AH22" s="224" t="s">
        <v>284</v>
      </c>
      <c r="AI22" s="225"/>
      <c r="AJ22" s="227" t="s">
        <v>285</v>
      </c>
      <c r="AK22" s="242" t="s">
        <v>279</v>
      </c>
      <c r="AL22" s="243"/>
      <c r="AM22" s="244" t="s">
        <v>307</v>
      </c>
      <c r="AN22" s="236" t="s">
        <v>286</v>
      </c>
      <c r="AO22" s="233"/>
      <c r="AP22" s="234" t="s">
        <v>287</v>
      </c>
      <c r="AQ22" s="235" t="s">
        <v>288</v>
      </c>
      <c r="AR22" s="220"/>
      <c r="AS22" s="221" t="s">
        <v>289</v>
      </c>
      <c r="AT22" s="222" t="s">
        <v>308</v>
      </c>
      <c r="AU22" s="229"/>
      <c r="AV22" s="230" t="s">
        <v>291</v>
      </c>
      <c r="AW22" s="224" t="s">
        <v>308</v>
      </c>
      <c r="AX22" s="225"/>
      <c r="AY22" s="227" t="s">
        <v>292</v>
      </c>
      <c r="AZ22" s="222" t="s">
        <v>309</v>
      </c>
      <c r="BA22" s="229"/>
      <c r="BB22" s="230" t="s">
        <v>292</v>
      </c>
      <c r="BC22" s="235" t="s">
        <v>293</v>
      </c>
      <c r="BD22" s="225"/>
      <c r="BE22" s="221" t="s">
        <v>294</v>
      </c>
      <c r="BF22" s="237" t="s">
        <v>310</v>
      </c>
      <c r="BG22" s="229"/>
      <c r="BH22" s="230" t="s">
        <v>311</v>
      </c>
      <c r="BI22" s="239" t="s">
        <v>312</v>
      </c>
      <c r="BJ22" s="225"/>
      <c r="BK22" s="227" t="s">
        <v>313</v>
      </c>
      <c r="BL22" s="237" t="s">
        <v>314</v>
      </c>
      <c r="BM22" s="229"/>
      <c r="BN22" s="230" t="s">
        <v>320</v>
      </c>
    </row>
    <row r="23" customFormat="false" ht="17.25" hidden="false" customHeight="true" outlineLevel="0" collapsed="false">
      <c r="B23" s="198"/>
      <c r="C23" s="245"/>
      <c r="D23" s="240"/>
      <c r="E23" s="201" t="s">
        <v>297</v>
      </c>
      <c r="F23" s="241"/>
      <c r="G23" s="224" t="s">
        <v>275</v>
      </c>
      <c r="H23" s="225"/>
      <c r="I23" s="227" t="s">
        <v>275</v>
      </c>
      <c r="J23" s="222" t="s">
        <v>55</v>
      </c>
      <c r="K23" s="223"/>
      <c r="L23" s="223" t="s">
        <v>55</v>
      </c>
      <c r="M23" s="224" t="s">
        <v>55</v>
      </c>
      <c r="N23" s="225"/>
      <c r="O23" s="226" t="s">
        <v>55</v>
      </c>
      <c r="P23" s="224" t="s">
        <v>55</v>
      </c>
      <c r="Q23" s="225"/>
      <c r="R23" s="227" t="s">
        <v>55</v>
      </c>
      <c r="S23" s="228" t="s">
        <v>302</v>
      </c>
      <c r="T23" s="229"/>
      <c r="U23" s="230" t="s">
        <v>303</v>
      </c>
      <c r="V23" s="231" t="s">
        <v>278</v>
      </c>
      <c r="W23" s="225"/>
      <c r="X23" s="227" t="s">
        <v>279</v>
      </c>
      <c r="Y23" s="237" t="s">
        <v>304</v>
      </c>
      <c r="Z23" s="229"/>
      <c r="AA23" s="234" t="s">
        <v>281</v>
      </c>
      <c r="AB23" s="231" t="s">
        <v>304</v>
      </c>
      <c r="AC23" s="225"/>
      <c r="AD23" s="227" t="s">
        <v>281</v>
      </c>
      <c r="AE23" s="222" t="s">
        <v>305</v>
      </c>
      <c r="AF23" s="229"/>
      <c r="AG23" s="230" t="s">
        <v>306</v>
      </c>
      <c r="AH23" s="224" t="s">
        <v>284</v>
      </c>
      <c r="AI23" s="225"/>
      <c r="AJ23" s="227" t="s">
        <v>285</v>
      </c>
      <c r="AK23" s="242" t="s">
        <v>279</v>
      </c>
      <c r="AL23" s="243"/>
      <c r="AM23" s="244" t="s">
        <v>307</v>
      </c>
      <c r="AN23" s="236" t="s">
        <v>286</v>
      </c>
      <c r="AO23" s="233"/>
      <c r="AP23" s="234" t="s">
        <v>287</v>
      </c>
      <c r="AQ23" s="235" t="s">
        <v>288</v>
      </c>
      <c r="AR23" s="220"/>
      <c r="AS23" s="221" t="s">
        <v>289</v>
      </c>
      <c r="AT23" s="222" t="s">
        <v>308</v>
      </c>
      <c r="AU23" s="229"/>
      <c r="AV23" s="230" t="s">
        <v>291</v>
      </c>
      <c r="AW23" s="224" t="s">
        <v>308</v>
      </c>
      <c r="AX23" s="225"/>
      <c r="AY23" s="227" t="s">
        <v>292</v>
      </c>
      <c r="AZ23" s="222" t="s">
        <v>309</v>
      </c>
      <c r="BA23" s="229"/>
      <c r="BB23" s="230" t="s">
        <v>292</v>
      </c>
      <c r="BC23" s="235" t="s">
        <v>293</v>
      </c>
      <c r="BD23" s="225"/>
      <c r="BE23" s="221" t="s">
        <v>294</v>
      </c>
      <c r="BF23" s="237" t="s">
        <v>310</v>
      </c>
      <c r="BG23" s="229"/>
      <c r="BH23" s="230" t="s">
        <v>311</v>
      </c>
      <c r="BI23" s="239" t="s">
        <v>312</v>
      </c>
      <c r="BJ23" s="225"/>
      <c r="BK23" s="227" t="s">
        <v>313</v>
      </c>
      <c r="BL23" s="237" t="s">
        <v>314</v>
      </c>
      <c r="BM23" s="229"/>
      <c r="BN23" s="230" t="s">
        <v>321</v>
      </c>
    </row>
    <row r="24" customFormat="false" ht="17.25" hidden="false" customHeight="true" outlineLevel="0" collapsed="false">
      <c r="B24" s="198"/>
      <c r="C24" s="245"/>
      <c r="D24" s="240"/>
      <c r="E24" s="201" t="s">
        <v>298</v>
      </c>
      <c r="F24" s="241"/>
      <c r="G24" s="224" t="s">
        <v>275</v>
      </c>
      <c r="H24" s="225"/>
      <c r="I24" s="227" t="s">
        <v>275</v>
      </c>
      <c r="J24" s="222" t="s">
        <v>55</v>
      </c>
      <c r="K24" s="223"/>
      <c r="L24" s="223" t="s">
        <v>55</v>
      </c>
      <c r="M24" s="224" t="s">
        <v>55</v>
      </c>
      <c r="N24" s="225"/>
      <c r="O24" s="226" t="s">
        <v>55</v>
      </c>
      <c r="P24" s="224" t="s">
        <v>55</v>
      </c>
      <c r="Q24" s="225"/>
      <c r="R24" s="227" t="s">
        <v>55</v>
      </c>
      <c r="S24" s="228" t="s">
        <v>302</v>
      </c>
      <c r="T24" s="229"/>
      <c r="U24" s="230" t="s">
        <v>303</v>
      </c>
      <c r="V24" s="231" t="s">
        <v>278</v>
      </c>
      <c r="W24" s="225"/>
      <c r="X24" s="227" t="s">
        <v>279</v>
      </c>
      <c r="Y24" s="237" t="s">
        <v>304</v>
      </c>
      <c r="Z24" s="229"/>
      <c r="AA24" s="234" t="s">
        <v>281</v>
      </c>
      <c r="AB24" s="231" t="s">
        <v>304</v>
      </c>
      <c r="AC24" s="225"/>
      <c r="AD24" s="227" t="s">
        <v>281</v>
      </c>
      <c r="AE24" s="222" t="s">
        <v>305</v>
      </c>
      <c r="AF24" s="229"/>
      <c r="AG24" s="230" t="s">
        <v>306</v>
      </c>
      <c r="AH24" s="224" t="s">
        <v>284</v>
      </c>
      <c r="AI24" s="225"/>
      <c r="AJ24" s="227" t="s">
        <v>285</v>
      </c>
      <c r="AK24" s="242" t="s">
        <v>279</v>
      </c>
      <c r="AL24" s="243"/>
      <c r="AM24" s="244" t="s">
        <v>307</v>
      </c>
      <c r="AN24" s="236" t="s">
        <v>286</v>
      </c>
      <c r="AO24" s="233"/>
      <c r="AP24" s="234" t="s">
        <v>287</v>
      </c>
      <c r="AQ24" s="235" t="s">
        <v>288</v>
      </c>
      <c r="AR24" s="220"/>
      <c r="AS24" s="221" t="s">
        <v>289</v>
      </c>
      <c r="AT24" s="222" t="s">
        <v>308</v>
      </c>
      <c r="AU24" s="229"/>
      <c r="AV24" s="230" t="s">
        <v>291</v>
      </c>
      <c r="AW24" s="224" t="s">
        <v>308</v>
      </c>
      <c r="AX24" s="225"/>
      <c r="AY24" s="227" t="s">
        <v>292</v>
      </c>
      <c r="AZ24" s="222" t="s">
        <v>309</v>
      </c>
      <c r="BA24" s="229"/>
      <c r="BB24" s="230" t="s">
        <v>292</v>
      </c>
      <c r="BC24" s="235" t="s">
        <v>293</v>
      </c>
      <c r="BD24" s="225"/>
      <c r="BE24" s="221" t="s">
        <v>294</v>
      </c>
      <c r="BF24" s="237" t="s">
        <v>310</v>
      </c>
      <c r="BG24" s="229"/>
      <c r="BH24" s="230" t="s">
        <v>311</v>
      </c>
      <c r="BI24" s="239" t="s">
        <v>312</v>
      </c>
      <c r="BJ24" s="225"/>
      <c r="BK24" s="227" t="s">
        <v>313</v>
      </c>
      <c r="BL24" s="237" t="s">
        <v>314</v>
      </c>
      <c r="BM24" s="229"/>
      <c r="BN24" s="230" t="s">
        <v>322</v>
      </c>
    </row>
    <row r="25" customFormat="false" ht="17.25" hidden="false" customHeight="true" outlineLevel="0" collapsed="false">
      <c r="B25" s="198"/>
      <c r="C25" s="245"/>
      <c r="D25" s="240" t="s">
        <v>60</v>
      </c>
      <c r="E25" s="201" t="s">
        <v>274</v>
      </c>
      <c r="F25" s="241"/>
      <c r="G25" s="224" t="s">
        <v>275</v>
      </c>
      <c r="H25" s="225"/>
      <c r="I25" s="227" t="s">
        <v>275</v>
      </c>
      <c r="J25" s="222" t="s">
        <v>55</v>
      </c>
      <c r="K25" s="223"/>
      <c r="L25" s="223" t="s">
        <v>55</v>
      </c>
      <c r="M25" s="224" t="s">
        <v>55</v>
      </c>
      <c r="N25" s="225"/>
      <c r="O25" s="226" t="s">
        <v>55</v>
      </c>
      <c r="P25" s="224" t="s">
        <v>55</v>
      </c>
      <c r="Q25" s="225"/>
      <c r="R25" s="227" t="s">
        <v>55</v>
      </c>
      <c r="S25" s="228" t="s">
        <v>302</v>
      </c>
      <c r="T25" s="229"/>
      <c r="U25" s="230" t="s">
        <v>303</v>
      </c>
      <c r="V25" s="231" t="s">
        <v>278</v>
      </c>
      <c r="W25" s="225"/>
      <c r="X25" s="227" t="s">
        <v>279</v>
      </c>
      <c r="Y25" s="237" t="s">
        <v>304</v>
      </c>
      <c r="Z25" s="229"/>
      <c r="AA25" s="234" t="s">
        <v>281</v>
      </c>
      <c r="AB25" s="231" t="s">
        <v>304</v>
      </c>
      <c r="AC25" s="225"/>
      <c r="AD25" s="227" t="s">
        <v>281</v>
      </c>
      <c r="AE25" s="222" t="s">
        <v>305</v>
      </c>
      <c r="AF25" s="229"/>
      <c r="AG25" s="230" t="s">
        <v>306</v>
      </c>
      <c r="AH25" s="224" t="s">
        <v>299</v>
      </c>
      <c r="AI25" s="225"/>
      <c r="AJ25" s="227" t="s">
        <v>300</v>
      </c>
      <c r="AK25" s="242" t="s">
        <v>279</v>
      </c>
      <c r="AL25" s="243"/>
      <c r="AM25" s="244" t="s">
        <v>307</v>
      </c>
      <c r="AN25" s="236" t="s">
        <v>286</v>
      </c>
      <c r="AO25" s="233"/>
      <c r="AP25" s="234" t="s">
        <v>287</v>
      </c>
      <c r="AQ25" s="235" t="s">
        <v>288</v>
      </c>
      <c r="AR25" s="220"/>
      <c r="AS25" s="221" t="s">
        <v>289</v>
      </c>
      <c r="AT25" s="222" t="s">
        <v>308</v>
      </c>
      <c r="AU25" s="229"/>
      <c r="AV25" s="230" t="s">
        <v>291</v>
      </c>
      <c r="AW25" s="224" t="s">
        <v>308</v>
      </c>
      <c r="AX25" s="225"/>
      <c r="AY25" s="227" t="s">
        <v>292</v>
      </c>
      <c r="AZ25" s="222" t="s">
        <v>309</v>
      </c>
      <c r="BA25" s="229"/>
      <c r="BB25" s="230" t="s">
        <v>292</v>
      </c>
      <c r="BC25" s="235" t="s">
        <v>293</v>
      </c>
      <c r="BD25" s="225"/>
      <c r="BE25" s="221" t="s">
        <v>294</v>
      </c>
      <c r="BF25" s="237" t="s">
        <v>310</v>
      </c>
      <c r="BG25" s="229"/>
      <c r="BH25" s="230" t="s">
        <v>311</v>
      </c>
      <c r="BI25" s="239" t="s">
        <v>312</v>
      </c>
      <c r="BJ25" s="225"/>
      <c r="BK25" s="227" t="s">
        <v>313</v>
      </c>
      <c r="BL25" s="237" t="s">
        <v>314</v>
      </c>
      <c r="BM25" s="229"/>
      <c r="BN25" s="230" t="s">
        <v>323</v>
      </c>
    </row>
    <row r="26" customFormat="false" ht="17.25" hidden="false" customHeight="true" outlineLevel="0" collapsed="false">
      <c r="B26" s="198"/>
      <c r="C26" s="245"/>
      <c r="D26" s="240"/>
      <c r="E26" s="201" t="s">
        <v>296</v>
      </c>
      <c r="F26" s="241"/>
      <c r="G26" s="224" t="s">
        <v>275</v>
      </c>
      <c r="H26" s="225"/>
      <c r="I26" s="227" t="s">
        <v>275</v>
      </c>
      <c r="J26" s="222" t="s">
        <v>55</v>
      </c>
      <c r="K26" s="223"/>
      <c r="L26" s="223" t="s">
        <v>55</v>
      </c>
      <c r="M26" s="224" t="s">
        <v>55</v>
      </c>
      <c r="N26" s="225"/>
      <c r="O26" s="226" t="s">
        <v>55</v>
      </c>
      <c r="P26" s="224" t="s">
        <v>55</v>
      </c>
      <c r="Q26" s="225"/>
      <c r="R26" s="227" t="s">
        <v>55</v>
      </c>
      <c r="S26" s="228" t="s">
        <v>302</v>
      </c>
      <c r="T26" s="229"/>
      <c r="U26" s="230" t="s">
        <v>303</v>
      </c>
      <c r="V26" s="231" t="s">
        <v>278</v>
      </c>
      <c r="W26" s="225"/>
      <c r="X26" s="227" t="s">
        <v>279</v>
      </c>
      <c r="Y26" s="237" t="s">
        <v>304</v>
      </c>
      <c r="Z26" s="229"/>
      <c r="AA26" s="234" t="s">
        <v>281</v>
      </c>
      <c r="AB26" s="231" t="s">
        <v>304</v>
      </c>
      <c r="AC26" s="225"/>
      <c r="AD26" s="227" t="s">
        <v>281</v>
      </c>
      <c r="AE26" s="222" t="s">
        <v>305</v>
      </c>
      <c r="AF26" s="229"/>
      <c r="AG26" s="230" t="s">
        <v>306</v>
      </c>
      <c r="AH26" s="224" t="s">
        <v>299</v>
      </c>
      <c r="AI26" s="225"/>
      <c r="AJ26" s="227" t="s">
        <v>300</v>
      </c>
      <c r="AK26" s="242" t="s">
        <v>279</v>
      </c>
      <c r="AL26" s="243"/>
      <c r="AM26" s="244" t="s">
        <v>307</v>
      </c>
      <c r="AN26" s="236" t="s">
        <v>286</v>
      </c>
      <c r="AO26" s="233"/>
      <c r="AP26" s="234" t="s">
        <v>287</v>
      </c>
      <c r="AQ26" s="235" t="s">
        <v>288</v>
      </c>
      <c r="AR26" s="220"/>
      <c r="AS26" s="221" t="s">
        <v>289</v>
      </c>
      <c r="AT26" s="222" t="s">
        <v>308</v>
      </c>
      <c r="AU26" s="229"/>
      <c r="AV26" s="230" t="s">
        <v>291</v>
      </c>
      <c r="AW26" s="224" t="s">
        <v>308</v>
      </c>
      <c r="AX26" s="225"/>
      <c r="AY26" s="227" t="s">
        <v>292</v>
      </c>
      <c r="AZ26" s="222" t="s">
        <v>309</v>
      </c>
      <c r="BA26" s="229"/>
      <c r="BB26" s="230" t="s">
        <v>292</v>
      </c>
      <c r="BC26" s="235" t="s">
        <v>293</v>
      </c>
      <c r="BD26" s="225"/>
      <c r="BE26" s="221" t="s">
        <v>294</v>
      </c>
      <c r="BF26" s="237" t="s">
        <v>310</v>
      </c>
      <c r="BG26" s="229"/>
      <c r="BH26" s="230" t="s">
        <v>311</v>
      </c>
      <c r="BI26" s="239" t="s">
        <v>312</v>
      </c>
      <c r="BJ26" s="225"/>
      <c r="BK26" s="227" t="s">
        <v>313</v>
      </c>
      <c r="BL26" s="237" t="s">
        <v>314</v>
      </c>
      <c r="BM26" s="229"/>
      <c r="BN26" s="230" t="s">
        <v>324</v>
      </c>
    </row>
    <row r="27" customFormat="false" ht="17.25" hidden="false" customHeight="true" outlineLevel="0" collapsed="false">
      <c r="B27" s="198"/>
      <c r="C27" s="245"/>
      <c r="D27" s="240"/>
      <c r="E27" s="201" t="s">
        <v>297</v>
      </c>
      <c r="F27" s="241"/>
      <c r="G27" s="224" t="s">
        <v>275</v>
      </c>
      <c r="H27" s="225"/>
      <c r="I27" s="227" t="s">
        <v>275</v>
      </c>
      <c r="J27" s="222" t="s">
        <v>55</v>
      </c>
      <c r="K27" s="223"/>
      <c r="L27" s="223" t="s">
        <v>55</v>
      </c>
      <c r="M27" s="224" t="s">
        <v>55</v>
      </c>
      <c r="N27" s="225"/>
      <c r="O27" s="226" t="s">
        <v>55</v>
      </c>
      <c r="P27" s="224" t="s">
        <v>55</v>
      </c>
      <c r="Q27" s="225"/>
      <c r="R27" s="227" t="s">
        <v>55</v>
      </c>
      <c r="S27" s="228" t="s">
        <v>302</v>
      </c>
      <c r="T27" s="229"/>
      <c r="U27" s="230" t="s">
        <v>303</v>
      </c>
      <c r="V27" s="231" t="s">
        <v>278</v>
      </c>
      <c r="W27" s="225"/>
      <c r="X27" s="227" t="s">
        <v>279</v>
      </c>
      <c r="Y27" s="237" t="s">
        <v>304</v>
      </c>
      <c r="Z27" s="229"/>
      <c r="AA27" s="234" t="s">
        <v>281</v>
      </c>
      <c r="AB27" s="231" t="s">
        <v>304</v>
      </c>
      <c r="AC27" s="225"/>
      <c r="AD27" s="227" t="s">
        <v>281</v>
      </c>
      <c r="AE27" s="222" t="s">
        <v>305</v>
      </c>
      <c r="AF27" s="229"/>
      <c r="AG27" s="230" t="s">
        <v>306</v>
      </c>
      <c r="AH27" s="224" t="s">
        <v>299</v>
      </c>
      <c r="AI27" s="225"/>
      <c r="AJ27" s="227" t="s">
        <v>300</v>
      </c>
      <c r="AK27" s="242" t="s">
        <v>279</v>
      </c>
      <c r="AL27" s="243"/>
      <c r="AM27" s="244" t="s">
        <v>307</v>
      </c>
      <c r="AN27" s="236" t="s">
        <v>286</v>
      </c>
      <c r="AO27" s="233"/>
      <c r="AP27" s="234" t="s">
        <v>287</v>
      </c>
      <c r="AQ27" s="235" t="s">
        <v>288</v>
      </c>
      <c r="AR27" s="220"/>
      <c r="AS27" s="221" t="s">
        <v>289</v>
      </c>
      <c r="AT27" s="222" t="s">
        <v>308</v>
      </c>
      <c r="AU27" s="229"/>
      <c r="AV27" s="230" t="s">
        <v>291</v>
      </c>
      <c r="AW27" s="224" t="s">
        <v>308</v>
      </c>
      <c r="AX27" s="225"/>
      <c r="AY27" s="227" t="s">
        <v>292</v>
      </c>
      <c r="AZ27" s="222" t="s">
        <v>309</v>
      </c>
      <c r="BA27" s="229"/>
      <c r="BB27" s="230" t="s">
        <v>292</v>
      </c>
      <c r="BC27" s="235" t="s">
        <v>293</v>
      </c>
      <c r="BD27" s="225"/>
      <c r="BE27" s="221" t="s">
        <v>294</v>
      </c>
      <c r="BF27" s="237" t="s">
        <v>310</v>
      </c>
      <c r="BG27" s="229"/>
      <c r="BH27" s="230" t="s">
        <v>311</v>
      </c>
      <c r="BI27" s="239" t="s">
        <v>312</v>
      </c>
      <c r="BJ27" s="225"/>
      <c r="BK27" s="227" t="s">
        <v>313</v>
      </c>
      <c r="BL27" s="237" t="s">
        <v>314</v>
      </c>
      <c r="BM27" s="229"/>
      <c r="BN27" s="230" t="s">
        <v>325</v>
      </c>
    </row>
    <row r="28" customFormat="false" ht="17.25" hidden="false" customHeight="true" outlineLevel="0" collapsed="false">
      <c r="B28" s="198"/>
      <c r="C28" s="245"/>
      <c r="D28" s="240"/>
      <c r="E28" s="201" t="s">
        <v>298</v>
      </c>
      <c r="F28" s="241"/>
      <c r="G28" s="224" t="s">
        <v>275</v>
      </c>
      <c r="H28" s="225"/>
      <c r="I28" s="227" t="s">
        <v>275</v>
      </c>
      <c r="J28" s="222" t="s">
        <v>55</v>
      </c>
      <c r="K28" s="223"/>
      <c r="L28" s="223" t="s">
        <v>55</v>
      </c>
      <c r="M28" s="224" t="s">
        <v>55</v>
      </c>
      <c r="N28" s="225"/>
      <c r="O28" s="226" t="s">
        <v>55</v>
      </c>
      <c r="P28" s="224" t="s">
        <v>55</v>
      </c>
      <c r="Q28" s="225"/>
      <c r="R28" s="227" t="s">
        <v>55</v>
      </c>
      <c r="S28" s="228" t="s">
        <v>302</v>
      </c>
      <c r="T28" s="229"/>
      <c r="U28" s="230" t="s">
        <v>303</v>
      </c>
      <c r="V28" s="231" t="s">
        <v>278</v>
      </c>
      <c r="W28" s="225"/>
      <c r="X28" s="227" t="s">
        <v>279</v>
      </c>
      <c r="Y28" s="237" t="s">
        <v>304</v>
      </c>
      <c r="Z28" s="229"/>
      <c r="AA28" s="234" t="s">
        <v>281</v>
      </c>
      <c r="AB28" s="231" t="s">
        <v>304</v>
      </c>
      <c r="AC28" s="225"/>
      <c r="AD28" s="227" t="s">
        <v>281</v>
      </c>
      <c r="AE28" s="222" t="s">
        <v>305</v>
      </c>
      <c r="AF28" s="229"/>
      <c r="AG28" s="230" t="s">
        <v>306</v>
      </c>
      <c r="AH28" s="224" t="s">
        <v>299</v>
      </c>
      <c r="AI28" s="225"/>
      <c r="AJ28" s="227" t="s">
        <v>300</v>
      </c>
      <c r="AK28" s="242" t="s">
        <v>279</v>
      </c>
      <c r="AL28" s="243"/>
      <c r="AM28" s="244" t="s">
        <v>307</v>
      </c>
      <c r="AN28" s="236" t="s">
        <v>286</v>
      </c>
      <c r="AO28" s="233"/>
      <c r="AP28" s="234" t="s">
        <v>287</v>
      </c>
      <c r="AQ28" s="235" t="s">
        <v>288</v>
      </c>
      <c r="AR28" s="220"/>
      <c r="AS28" s="221" t="s">
        <v>289</v>
      </c>
      <c r="AT28" s="222" t="s">
        <v>308</v>
      </c>
      <c r="AU28" s="229"/>
      <c r="AV28" s="230" t="s">
        <v>291</v>
      </c>
      <c r="AW28" s="224" t="s">
        <v>308</v>
      </c>
      <c r="AX28" s="225"/>
      <c r="AY28" s="227" t="s">
        <v>292</v>
      </c>
      <c r="AZ28" s="222" t="s">
        <v>309</v>
      </c>
      <c r="BA28" s="229"/>
      <c r="BB28" s="230" t="s">
        <v>292</v>
      </c>
      <c r="BC28" s="235" t="s">
        <v>293</v>
      </c>
      <c r="BD28" s="225"/>
      <c r="BE28" s="221" t="s">
        <v>294</v>
      </c>
      <c r="BF28" s="237" t="s">
        <v>310</v>
      </c>
      <c r="BG28" s="229"/>
      <c r="BH28" s="230" t="s">
        <v>311</v>
      </c>
      <c r="BI28" s="239" t="s">
        <v>312</v>
      </c>
      <c r="BJ28" s="225"/>
      <c r="BK28" s="227" t="s">
        <v>313</v>
      </c>
      <c r="BL28" s="237" t="s">
        <v>314</v>
      </c>
      <c r="BM28" s="229"/>
      <c r="BN28" s="230" t="s">
        <v>326</v>
      </c>
    </row>
    <row r="29" customFormat="false" ht="17.25" hidden="false" customHeight="true" outlineLevel="0" collapsed="false">
      <c r="B29" s="198"/>
      <c r="C29" s="245" t="s">
        <v>327</v>
      </c>
      <c r="D29" s="240" t="s">
        <v>53</v>
      </c>
      <c r="E29" s="201" t="s">
        <v>274</v>
      </c>
      <c r="F29" s="246"/>
      <c r="G29" s="224" t="s">
        <v>275</v>
      </c>
      <c r="H29" s="225"/>
      <c r="I29" s="227" t="s">
        <v>275</v>
      </c>
      <c r="J29" s="222" t="s">
        <v>55</v>
      </c>
      <c r="K29" s="223"/>
      <c r="L29" s="223" t="s">
        <v>55</v>
      </c>
      <c r="M29" s="224" t="s">
        <v>55</v>
      </c>
      <c r="N29" s="225"/>
      <c r="O29" s="226" t="s">
        <v>55</v>
      </c>
      <c r="P29" s="224" t="s">
        <v>55</v>
      </c>
      <c r="Q29" s="225"/>
      <c r="R29" s="227" t="s">
        <v>55</v>
      </c>
      <c r="S29" s="228" t="s">
        <v>302</v>
      </c>
      <c r="T29" s="229"/>
      <c r="U29" s="230" t="s">
        <v>303</v>
      </c>
      <c r="V29" s="231" t="s">
        <v>278</v>
      </c>
      <c r="W29" s="225"/>
      <c r="X29" s="227" t="s">
        <v>279</v>
      </c>
      <c r="Y29" s="237" t="s">
        <v>304</v>
      </c>
      <c r="Z29" s="229"/>
      <c r="AA29" s="234" t="s">
        <v>281</v>
      </c>
      <c r="AB29" s="231" t="s">
        <v>304</v>
      </c>
      <c r="AC29" s="225"/>
      <c r="AD29" s="227" t="s">
        <v>281</v>
      </c>
      <c r="AE29" s="222" t="s">
        <v>305</v>
      </c>
      <c r="AF29" s="229"/>
      <c r="AG29" s="230" t="s">
        <v>306</v>
      </c>
      <c r="AH29" s="224" t="s">
        <v>284</v>
      </c>
      <c r="AI29" s="225"/>
      <c r="AJ29" s="227" t="s">
        <v>285</v>
      </c>
      <c r="AK29" s="242" t="s">
        <v>279</v>
      </c>
      <c r="AL29" s="243"/>
      <c r="AM29" s="244" t="s">
        <v>307</v>
      </c>
      <c r="AN29" s="236" t="s">
        <v>286</v>
      </c>
      <c r="AO29" s="229"/>
      <c r="AP29" s="230" t="s">
        <v>328</v>
      </c>
      <c r="AQ29" s="235" t="s">
        <v>289</v>
      </c>
      <c r="AR29" s="220"/>
      <c r="AS29" s="221" t="s">
        <v>329</v>
      </c>
      <c r="AT29" s="222" t="s">
        <v>308</v>
      </c>
      <c r="AU29" s="229"/>
      <c r="AV29" s="230" t="s">
        <v>291</v>
      </c>
      <c r="AW29" s="224" t="s">
        <v>308</v>
      </c>
      <c r="AX29" s="225"/>
      <c r="AY29" s="227" t="s">
        <v>292</v>
      </c>
      <c r="AZ29" s="222" t="s">
        <v>309</v>
      </c>
      <c r="BA29" s="229"/>
      <c r="BB29" s="230" t="s">
        <v>292</v>
      </c>
      <c r="BC29" s="231" t="s">
        <v>294</v>
      </c>
      <c r="BD29" s="225"/>
      <c r="BE29" s="221" t="s">
        <v>294</v>
      </c>
      <c r="BF29" s="237" t="s">
        <v>310</v>
      </c>
      <c r="BG29" s="229"/>
      <c r="BH29" s="230" t="s">
        <v>311</v>
      </c>
      <c r="BI29" s="239" t="s">
        <v>312</v>
      </c>
      <c r="BJ29" s="225"/>
      <c r="BK29" s="227" t="s">
        <v>313</v>
      </c>
      <c r="BL29" s="237" t="s">
        <v>314</v>
      </c>
      <c r="BM29" s="229"/>
      <c r="BN29" s="230" t="s">
        <v>330</v>
      </c>
    </row>
    <row r="30" customFormat="false" ht="17.25" hidden="false" customHeight="true" outlineLevel="0" collapsed="false">
      <c r="B30" s="198"/>
      <c r="C30" s="245"/>
      <c r="D30" s="240"/>
      <c r="E30" s="201" t="s">
        <v>296</v>
      </c>
      <c r="F30" s="246"/>
      <c r="G30" s="224" t="s">
        <v>275</v>
      </c>
      <c r="H30" s="225"/>
      <c r="I30" s="227" t="s">
        <v>275</v>
      </c>
      <c r="J30" s="222" t="s">
        <v>55</v>
      </c>
      <c r="K30" s="223"/>
      <c r="L30" s="223" t="s">
        <v>55</v>
      </c>
      <c r="M30" s="224" t="s">
        <v>55</v>
      </c>
      <c r="N30" s="225"/>
      <c r="O30" s="226" t="s">
        <v>55</v>
      </c>
      <c r="P30" s="224" t="s">
        <v>55</v>
      </c>
      <c r="Q30" s="225"/>
      <c r="R30" s="227" t="s">
        <v>55</v>
      </c>
      <c r="S30" s="228" t="s">
        <v>302</v>
      </c>
      <c r="T30" s="229"/>
      <c r="U30" s="230" t="s">
        <v>303</v>
      </c>
      <c r="V30" s="231" t="s">
        <v>278</v>
      </c>
      <c r="W30" s="225"/>
      <c r="X30" s="227" t="s">
        <v>279</v>
      </c>
      <c r="Y30" s="237" t="s">
        <v>304</v>
      </c>
      <c r="Z30" s="229"/>
      <c r="AA30" s="234" t="s">
        <v>281</v>
      </c>
      <c r="AB30" s="231" t="s">
        <v>304</v>
      </c>
      <c r="AC30" s="225"/>
      <c r="AD30" s="227" t="s">
        <v>281</v>
      </c>
      <c r="AE30" s="222" t="s">
        <v>305</v>
      </c>
      <c r="AF30" s="229"/>
      <c r="AG30" s="230" t="s">
        <v>306</v>
      </c>
      <c r="AH30" s="224" t="s">
        <v>284</v>
      </c>
      <c r="AI30" s="225"/>
      <c r="AJ30" s="227" t="s">
        <v>285</v>
      </c>
      <c r="AK30" s="242" t="s">
        <v>279</v>
      </c>
      <c r="AL30" s="243"/>
      <c r="AM30" s="244" t="s">
        <v>307</v>
      </c>
      <c r="AN30" s="236" t="s">
        <v>286</v>
      </c>
      <c r="AO30" s="229"/>
      <c r="AP30" s="230" t="s">
        <v>328</v>
      </c>
      <c r="AQ30" s="235" t="s">
        <v>289</v>
      </c>
      <c r="AR30" s="220"/>
      <c r="AS30" s="221" t="s">
        <v>329</v>
      </c>
      <c r="AT30" s="222" t="s">
        <v>308</v>
      </c>
      <c r="AU30" s="229"/>
      <c r="AV30" s="230" t="s">
        <v>291</v>
      </c>
      <c r="AW30" s="224" t="s">
        <v>308</v>
      </c>
      <c r="AX30" s="225"/>
      <c r="AY30" s="227" t="s">
        <v>292</v>
      </c>
      <c r="AZ30" s="222" t="s">
        <v>309</v>
      </c>
      <c r="BA30" s="229"/>
      <c r="BB30" s="230" t="s">
        <v>292</v>
      </c>
      <c r="BC30" s="231" t="s">
        <v>294</v>
      </c>
      <c r="BD30" s="225"/>
      <c r="BE30" s="221" t="s">
        <v>294</v>
      </c>
      <c r="BF30" s="237" t="s">
        <v>310</v>
      </c>
      <c r="BG30" s="229"/>
      <c r="BH30" s="230" t="s">
        <v>311</v>
      </c>
      <c r="BI30" s="239" t="s">
        <v>312</v>
      </c>
      <c r="BJ30" s="225"/>
      <c r="BK30" s="227" t="s">
        <v>313</v>
      </c>
      <c r="BL30" s="237" t="s">
        <v>314</v>
      </c>
      <c r="BM30" s="229"/>
      <c r="BN30" s="230" t="s">
        <v>331</v>
      </c>
    </row>
    <row r="31" customFormat="false" ht="17.25" hidden="false" customHeight="true" outlineLevel="0" collapsed="false">
      <c r="B31" s="198"/>
      <c r="C31" s="245"/>
      <c r="D31" s="240"/>
      <c r="E31" s="201" t="s">
        <v>297</v>
      </c>
      <c r="F31" s="246"/>
      <c r="G31" s="224" t="s">
        <v>275</v>
      </c>
      <c r="H31" s="225"/>
      <c r="I31" s="227" t="s">
        <v>275</v>
      </c>
      <c r="J31" s="222" t="s">
        <v>55</v>
      </c>
      <c r="K31" s="223"/>
      <c r="L31" s="223" t="s">
        <v>55</v>
      </c>
      <c r="M31" s="224" t="s">
        <v>55</v>
      </c>
      <c r="N31" s="225"/>
      <c r="O31" s="226" t="s">
        <v>55</v>
      </c>
      <c r="P31" s="224" t="s">
        <v>55</v>
      </c>
      <c r="Q31" s="225"/>
      <c r="R31" s="227" t="s">
        <v>55</v>
      </c>
      <c r="S31" s="228" t="s">
        <v>302</v>
      </c>
      <c r="T31" s="229"/>
      <c r="U31" s="230" t="s">
        <v>303</v>
      </c>
      <c r="V31" s="231" t="s">
        <v>278</v>
      </c>
      <c r="W31" s="225"/>
      <c r="X31" s="227" t="s">
        <v>279</v>
      </c>
      <c r="Y31" s="237" t="s">
        <v>304</v>
      </c>
      <c r="Z31" s="229"/>
      <c r="AA31" s="234" t="s">
        <v>281</v>
      </c>
      <c r="AB31" s="231" t="s">
        <v>304</v>
      </c>
      <c r="AC31" s="225"/>
      <c r="AD31" s="227" t="s">
        <v>281</v>
      </c>
      <c r="AE31" s="222" t="s">
        <v>305</v>
      </c>
      <c r="AF31" s="229"/>
      <c r="AG31" s="230" t="s">
        <v>306</v>
      </c>
      <c r="AH31" s="224" t="s">
        <v>284</v>
      </c>
      <c r="AI31" s="225"/>
      <c r="AJ31" s="227" t="s">
        <v>285</v>
      </c>
      <c r="AK31" s="242" t="s">
        <v>279</v>
      </c>
      <c r="AL31" s="243"/>
      <c r="AM31" s="244" t="s">
        <v>307</v>
      </c>
      <c r="AN31" s="236" t="s">
        <v>286</v>
      </c>
      <c r="AO31" s="229"/>
      <c r="AP31" s="230" t="s">
        <v>328</v>
      </c>
      <c r="AQ31" s="235" t="s">
        <v>289</v>
      </c>
      <c r="AR31" s="220"/>
      <c r="AS31" s="221" t="s">
        <v>329</v>
      </c>
      <c r="AT31" s="222" t="s">
        <v>308</v>
      </c>
      <c r="AU31" s="229"/>
      <c r="AV31" s="230" t="s">
        <v>291</v>
      </c>
      <c r="AW31" s="224" t="s">
        <v>308</v>
      </c>
      <c r="AX31" s="225"/>
      <c r="AY31" s="227" t="s">
        <v>292</v>
      </c>
      <c r="AZ31" s="222" t="s">
        <v>309</v>
      </c>
      <c r="BA31" s="229"/>
      <c r="BB31" s="230" t="s">
        <v>292</v>
      </c>
      <c r="BC31" s="231" t="s">
        <v>294</v>
      </c>
      <c r="BD31" s="225"/>
      <c r="BE31" s="221" t="s">
        <v>294</v>
      </c>
      <c r="BF31" s="237" t="s">
        <v>310</v>
      </c>
      <c r="BG31" s="229"/>
      <c r="BH31" s="230" t="s">
        <v>311</v>
      </c>
      <c r="BI31" s="239" t="s">
        <v>312</v>
      </c>
      <c r="BJ31" s="225"/>
      <c r="BK31" s="227" t="s">
        <v>313</v>
      </c>
      <c r="BL31" s="237" t="s">
        <v>314</v>
      </c>
      <c r="BM31" s="229"/>
      <c r="BN31" s="230" t="s">
        <v>332</v>
      </c>
    </row>
    <row r="32" customFormat="false" ht="17.25" hidden="false" customHeight="true" outlineLevel="0" collapsed="false">
      <c r="B32" s="198"/>
      <c r="C32" s="245"/>
      <c r="D32" s="240"/>
      <c r="E32" s="201" t="s">
        <v>298</v>
      </c>
      <c r="F32" s="246"/>
      <c r="G32" s="224" t="s">
        <v>275</v>
      </c>
      <c r="H32" s="225"/>
      <c r="I32" s="227" t="s">
        <v>275</v>
      </c>
      <c r="J32" s="222" t="s">
        <v>55</v>
      </c>
      <c r="K32" s="223"/>
      <c r="L32" s="223" t="s">
        <v>55</v>
      </c>
      <c r="M32" s="224" t="s">
        <v>55</v>
      </c>
      <c r="N32" s="225"/>
      <c r="O32" s="226" t="s">
        <v>55</v>
      </c>
      <c r="P32" s="224" t="s">
        <v>55</v>
      </c>
      <c r="Q32" s="225"/>
      <c r="R32" s="227" t="s">
        <v>55</v>
      </c>
      <c r="S32" s="228" t="s">
        <v>302</v>
      </c>
      <c r="T32" s="229"/>
      <c r="U32" s="230" t="s">
        <v>303</v>
      </c>
      <c r="V32" s="231" t="s">
        <v>278</v>
      </c>
      <c r="W32" s="225"/>
      <c r="X32" s="227" t="s">
        <v>279</v>
      </c>
      <c r="Y32" s="237" t="s">
        <v>304</v>
      </c>
      <c r="Z32" s="229"/>
      <c r="AA32" s="234" t="s">
        <v>281</v>
      </c>
      <c r="AB32" s="231" t="s">
        <v>304</v>
      </c>
      <c r="AC32" s="225"/>
      <c r="AD32" s="227" t="s">
        <v>281</v>
      </c>
      <c r="AE32" s="222" t="s">
        <v>305</v>
      </c>
      <c r="AF32" s="229"/>
      <c r="AG32" s="230" t="s">
        <v>306</v>
      </c>
      <c r="AH32" s="224" t="s">
        <v>284</v>
      </c>
      <c r="AI32" s="225"/>
      <c r="AJ32" s="227" t="s">
        <v>285</v>
      </c>
      <c r="AK32" s="242" t="s">
        <v>279</v>
      </c>
      <c r="AL32" s="243"/>
      <c r="AM32" s="244" t="s">
        <v>307</v>
      </c>
      <c r="AN32" s="236" t="s">
        <v>286</v>
      </c>
      <c r="AO32" s="229"/>
      <c r="AP32" s="230" t="s">
        <v>328</v>
      </c>
      <c r="AQ32" s="235" t="s">
        <v>289</v>
      </c>
      <c r="AR32" s="220"/>
      <c r="AS32" s="221" t="s">
        <v>329</v>
      </c>
      <c r="AT32" s="222" t="s">
        <v>308</v>
      </c>
      <c r="AU32" s="229"/>
      <c r="AV32" s="230" t="s">
        <v>291</v>
      </c>
      <c r="AW32" s="224" t="s">
        <v>308</v>
      </c>
      <c r="AX32" s="225"/>
      <c r="AY32" s="227" t="s">
        <v>292</v>
      </c>
      <c r="AZ32" s="222" t="s">
        <v>309</v>
      </c>
      <c r="BA32" s="229"/>
      <c r="BB32" s="230" t="s">
        <v>292</v>
      </c>
      <c r="BC32" s="231" t="s">
        <v>294</v>
      </c>
      <c r="BD32" s="225"/>
      <c r="BE32" s="221" t="s">
        <v>294</v>
      </c>
      <c r="BF32" s="237" t="s">
        <v>310</v>
      </c>
      <c r="BG32" s="229"/>
      <c r="BH32" s="230" t="s">
        <v>311</v>
      </c>
      <c r="BI32" s="239" t="s">
        <v>312</v>
      </c>
      <c r="BJ32" s="225"/>
      <c r="BK32" s="227" t="s">
        <v>313</v>
      </c>
      <c r="BL32" s="237" t="s">
        <v>314</v>
      </c>
      <c r="BM32" s="229"/>
      <c r="BN32" s="230" t="s">
        <v>333</v>
      </c>
    </row>
    <row r="33" customFormat="false" ht="17.25" hidden="false" customHeight="true" outlineLevel="0" collapsed="false">
      <c r="B33" s="198"/>
      <c r="C33" s="245"/>
      <c r="D33" s="240" t="s">
        <v>64</v>
      </c>
      <c r="E33" s="201" t="s">
        <v>274</v>
      </c>
      <c r="F33" s="246"/>
      <c r="G33" s="224" t="s">
        <v>275</v>
      </c>
      <c r="H33" s="225"/>
      <c r="I33" s="227" t="s">
        <v>275</v>
      </c>
      <c r="J33" s="222" t="s">
        <v>55</v>
      </c>
      <c r="K33" s="223"/>
      <c r="L33" s="223" t="s">
        <v>55</v>
      </c>
      <c r="M33" s="224" t="s">
        <v>55</v>
      </c>
      <c r="N33" s="225"/>
      <c r="O33" s="226" t="s">
        <v>55</v>
      </c>
      <c r="P33" s="224" t="s">
        <v>55</v>
      </c>
      <c r="Q33" s="225"/>
      <c r="R33" s="227" t="s">
        <v>55</v>
      </c>
      <c r="S33" s="228" t="s">
        <v>302</v>
      </c>
      <c r="T33" s="229"/>
      <c r="U33" s="230" t="s">
        <v>303</v>
      </c>
      <c r="V33" s="231" t="s">
        <v>278</v>
      </c>
      <c r="W33" s="225"/>
      <c r="X33" s="227" t="s">
        <v>279</v>
      </c>
      <c r="Y33" s="237" t="s">
        <v>304</v>
      </c>
      <c r="Z33" s="229"/>
      <c r="AA33" s="234" t="s">
        <v>281</v>
      </c>
      <c r="AB33" s="231" t="s">
        <v>304</v>
      </c>
      <c r="AC33" s="225"/>
      <c r="AD33" s="227" t="s">
        <v>281</v>
      </c>
      <c r="AE33" s="222" t="s">
        <v>305</v>
      </c>
      <c r="AF33" s="229"/>
      <c r="AG33" s="230" t="s">
        <v>306</v>
      </c>
      <c r="AH33" s="224" t="s">
        <v>284</v>
      </c>
      <c r="AI33" s="225"/>
      <c r="AJ33" s="227" t="s">
        <v>285</v>
      </c>
      <c r="AK33" s="242" t="s">
        <v>279</v>
      </c>
      <c r="AL33" s="243"/>
      <c r="AM33" s="244" t="s">
        <v>307</v>
      </c>
      <c r="AN33" s="236" t="s">
        <v>286</v>
      </c>
      <c r="AO33" s="229"/>
      <c r="AP33" s="230" t="s">
        <v>328</v>
      </c>
      <c r="AQ33" s="235" t="s">
        <v>289</v>
      </c>
      <c r="AR33" s="220"/>
      <c r="AS33" s="221" t="s">
        <v>329</v>
      </c>
      <c r="AT33" s="222" t="s">
        <v>308</v>
      </c>
      <c r="AU33" s="229"/>
      <c r="AV33" s="230" t="s">
        <v>291</v>
      </c>
      <c r="AW33" s="224" t="s">
        <v>308</v>
      </c>
      <c r="AX33" s="225"/>
      <c r="AY33" s="227" t="s">
        <v>292</v>
      </c>
      <c r="AZ33" s="222" t="s">
        <v>309</v>
      </c>
      <c r="BA33" s="229"/>
      <c r="BB33" s="230" t="s">
        <v>292</v>
      </c>
      <c r="BC33" s="231" t="s">
        <v>294</v>
      </c>
      <c r="BD33" s="225"/>
      <c r="BE33" s="221" t="s">
        <v>294</v>
      </c>
      <c r="BF33" s="237" t="s">
        <v>310</v>
      </c>
      <c r="BG33" s="229"/>
      <c r="BH33" s="230" t="s">
        <v>311</v>
      </c>
      <c r="BI33" s="239" t="s">
        <v>312</v>
      </c>
      <c r="BJ33" s="225"/>
      <c r="BK33" s="227" t="s">
        <v>313</v>
      </c>
      <c r="BL33" s="237" t="s">
        <v>314</v>
      </c>
      <c r="BM33" s="229"/>
      <c r="BN33" s="230" t="s">
        <v>334</v>
      </c>
    </row>
    <row r="34" customFormat="false" ht="17.25" hidden="false" customHeight="true" outlineLevel="0" collapsed="false">
      <c r="B34" s="198"/>
      <c r="C34" s="245"/>
      <c r="D34" s="240"/>
      <c r="E34" s="201" t="s">
        <v>296</v>
      </c>
      <c r="F34" s="246"/>
      <c r="G34" s="224" t="s">
        <v>275</v>
      </c>
      <c r="H34" s="225"/>
      <c r="I34" s="227" t="s">
        <v>275</v>
      </c>
      <c r="J34" s="222" t="s">
        <v>55</v>
      </c>
      <c r="K34" s="223"/>
      <c r="L34" s="223" t="s">
        <v>55</v>
      </c>
      <c r="M34" s="224" t="s">
        <v>55</v>
      </c>
      <c r="N34" s="225"/>
      <c r="O34" s="226" t="s">
        <v>55</v>
      </c>
      <c r="P34" s="224" t="s">
        <v>55</v>
      </c>
      <c r="Q34" s="225"/>
      <c r="R34" s="227" t="s">
        <v>55</v>
      </c>
      <c r="S34" s="228" t="s">
        <v>302</v>
      </c>
      <c r="T34" s="229"/>
      <c r="U34" s="230" t="s">
        <v>303</v>
      </c>
      <c r="V34" s="231" t="s">
        <v>278</v>
      </c>
      <c r="W34" s="225"/>
      <c r="X34" s="227" t="s">
        <v>279</v>
      </c>
      <c r="Y34" s="237" t="s">
        <v>304</v>
      </c>
      <c r="Z34" s="229"/>
      <c r="AA34" s="234" t="s">
        <v>281</v>
      </c>
      <c r="AB34" s="231" t="s">
        <v>304</v>
      </c>
      <c r="AC34" s="225"/>
      <c r="AD34" s="227" t="s">
        <v>281</v>
      </c>
      <c r="AE34" s="222" t="s">
        <v>305</v>
      </c>
      <c r="AF34" s="229"/>
      <c r="AG34" s="230" t="s">
        <v>306</v>
      </c>
      <c r="AH34" s="224" t="s">
        <v>284</v>
      </c>
      <c r="AI34" s="225"/>
      <c r="AJ34" s="227" t="s">
        <v>285</v>
      </c>
      <c r="AK34" s="242" t="s">
        <v>279</v>
      </c>
      <c r="AL34" s="243"/>
      <c r="AM34" s="244" t="s">
        <v>307</v>
      </c>
      <c r="AN34" s="236" t="s">
        <v>286</v>
      </c>
      <c r="AO34" s="229"/>
      <c r="AP34" s="230" t="s">
        <v>328</v>
      </c>
      <c r="AQ34" s="235" t="s">
        <v>289</v>
      </c>
      <c r="AR34" s="220"/>
      <c r="AS34" s="221" t="s">
        <v>329</v>
      </c>
      <c r="AT34" s="222" t="s">
        <v>308</v>
      </c>
      <c r="AU34" s="229"/>
      <c r="AV34" s="230" t="s">
        <v>291</v>
      </c>
      <c r="AW34" s="224" t="s">
        <v>308</v>
      </c>
      <c r="AX34" s="225"/>
      <c r="AY34" s="227" t="s">
        <v>292</v>
      </c>
      <c r="AZ34" s="222" t="s">
        <v>309</v>
      </c>
      <c r="BA34" s="229"/>
      <c r="BB34" s="230" t="s">
        <v>292</v>
      </c>
      <c r="BC34" s="231" t="s">
        <v>294</v>
      </c>
      <c r="BD34" s="225"/>
      <c r="BE34" s="221" t="s">
        <v>294</v>
      </c>
      <c r="BF34" s="237" t="s">
        <v>310</v>
      </c>
      <c r="BG34" s="229"/>
      <c r="BH34" s="230" t="s">
        <v>311</v>
      </c>
      <c r="BI34" s="239" t="s">
        <v>312</v>
      </c>
      <c r="BJ34" s="225"/>
      <c r="BK34" s="227" t="s">
        <v>313</v>
      </c>
      <c r="BL34" s="237" t="s">
        <v>314</v>
      </c>
      <c r="BM34" s="229"/>
      <c r="BN34" s="230" t="s">
        <v>335</v>
      </c>
    </row>
    <row r="35" customFormat="false" ht="17.25" hidden="false" customHeight="true" outlineLevel="0" collapsed="false">
      <c r="B35" s="198"/>
      <c r="C35" s="245"/>
      <c r="D35" s="240"/>
      <c r="E35" s="201" t="s">
        <v>297</v>
      </c>
      <c r="F35" s="246"/>
      <c r="G35" s="224" t="s">
        <v>275</v>
      </c>
      <c r="H35" s="225"/>
      <c r="I35" s="227" t="s">
        <v>275</v>
      </c>
      <c r="J35" s="222" t="s">
        <v>55</v>
      </c>
      <c r="K35" s="223"/>
      <c r="L35" s="223" t="s">
        <v>55</v>
      </c>
      <c r="M35" s="224" t="s">
        <v>55</v>
      </c>
      <c r="N35" s="225"/>
      <c r="O35" s="226" t="s">
        <v>55</v>
      </c>
      <c r="P35" s="224" t="s">
        <v>55</v>
      </c>
      <c r="Q35" s="225"/>
      <c r="R35" s="227" t="s">
        <v>55</v>
      </c>
      <c r="S35" s="228" t="s">
        <v>302</v>
      </c>
      <c r="T35" s="229"/>
      <c r="U35" s="230" t="s">
        <v>303</v>
      </c>
      <c r="V35" s="231" t="s">
        <v>278</v>
      </c>
      <c r="W35" s="225"/>
      <c r="X35" s="227" t="s">
        <v>279</v>
      </c>
      <c r="Y35" s="237" t="s">
        <v>304</v>
      </c>
      <c r="Z35" s="229"/>
      <c r="AA35" s="234" t="s">
        <v>281</v>
      </c>
      <c r="AB35" s="231" t="s">
        <v>304</v>
      </c>
      <c r="AC35" s="225"/>
      <c r="AD35" s="227" t="s">
        <v>281</v>
      </c>
      <c r="AE35" s="222" t="s">
        <v>305</v>
      </c>
      <c r="AF35" s="229"/>
      <c r="AG35" s="230" t="s">
        <v>306</v>
      </c>
      <c r="AH35" s="224" t="s">
        <v>284</v>
      </c>
      <c r="AI35" s="225"/>
      <c r="AJ35" s="227" t="s">
        <v>285</v>
      </c>
      <c r="AK35" s="242" t="s">
        <v>279</v>
      </c>
      <c r="AL35" s="243"/>
      <c r="AM35" s="244" t="s">
        <v>307</v>
      </c>
      <c r="AN35" s="236" t="s">
        <v>286</v>
      </c>
      <c r="AO35" s="229"/>
      <c r="AP35" s="230" t="s">
        <v>328</v>
      </c>
      <c r="AQ35" s="235" t="s">
        <v>289</v>
      </c>
      <c r="AR35" s="220"/>
      <c r="AS35" s="221" t="s">
        <v>329</v>
      </c>
      <c r="AT35" s="222" t="s">
        <v>308</v>
      </c>
      <c r="AU35" s="229"/>
      <c r="AV35" s="230" t="s">
        <v>291</v>
      </c>
      <c r="AW35" s="224" t="s">
        <v>308</v>
      </c>
      <c r="AX35" s="225"/>
      <c r="AY35" s="227" t="s">
        <v>292</v>
      </c>
      <c r="AZ35" s="222" t="s">
        <v>309</v>
      </c>
      <c r="BA35" s="229"/>
      <c r="BB35" s="230" t="s">
        <v>292</v>
      </c>
      <c r="BC35" s="231" t="s">
        <v>294</v>
      </c>
      <c r="BD35" s="225"/>
      <c r="BE35" s="221" t="s">
        <v>294</v>
      </c>
      <c r="BF35" s="237" t="s">
        <v>310</v>
      </c>
      <c r="BG35" s="229"/>
      <c r="BH35" s="230" t="s">
        <v>311</v>
      </c>
      <c r="BI35" s="239" t="s">
        <v>312</v>
      </c>
      <c r="BJ35" s="225"/>
      <c r="BK35" s="227" t="s">
        <v>313</v>
      </c>
      <c r="BL35" s="237" t="s">
        <v>314</v>
      </c>
      <c r="BM35" s="229"/>
      <c r="BN35" s="230" t="s">
        <v>336</v>
      </c>
    </row>
    <row r="36" customFormat="false" ht="17.25" hidden="false" customHeight="true" outlineLevel="0" collapsed="false">
      <c r="B36" s="198"/>
      <c r="C36" s="245"/>
      <c r="D36" s="240"/>
      <c r="E36" s="201" t="s">
        <v>298</v>
      </c>
      <c r="F36" s="246"/>
      <c r="G36" s="224" t="s">
        <v>275</v>
      </c>
      <c r="H36" s="225"/>
      <c r="I36" s="227" t="s">
        <v>275</v>
      </c>
      <c r="J36" s="222" t="s">
        <v>55</v>
      </c>
      <c r="K36" s="223"/>
      <c r="L36" s="223" t="s">
        <v>55</v>
      </c>
      <c r="M36" s="224" t="s">
        <v>55</v>
      </c>
      <c r="N36" s="225"/>
      <c r="O36" s="226" t="s">
        <v>55</v>
      </c>
      <c r="P36" s="224" t="s">
        <v>55</v>
      </c>
      <c r="Q36" s="225"/>
      <c r="R36" s="227" t="s">
        <v>55</v>
      </c>
      <c r="S36" s="228" t="s">
        <v>302</v>
      </c>
      <c r="T36" s="229"/>
      <c r="U36" s="230" t="s">
        <v>303</v>
      </c>
      <c r="V36" s="231" t="s">
        <v>278</v>
      </c>
      <c r="W36" s="225"/>
      <c r="X36" s="227" t="s">
        <v>279</v>
      </c>
      <c r="Y36" s="237" t="s">
        <v>304</v>
      </c>
      <c r="Z36" s="229"/>
      <c r="AA36" s="234" t="s">
        <v>281</v>
      </c>
      <c r="AB36" s="231" t="s">
        <v>304</v>
      </c>
      <c r="AC36" s="225"/>
      <c r="AD36" s="227" t="s">
        <v>281</v>
      </c>
      <c r="AE36" s="222" t="s">
        <v>305</v>
      </c>
      <c r="AF36" s="229"/>
      <c r="AG36" s="230" t="s">
        <v>306</v>
      </c>
      <c r="AH36" s="224" t="s">
        <v>284</v>
      </c>
      <c r="AI36" s="225"/>
      <c r="AJ36" s="227" t="s">
        <v>285</v>
      </c>
      <c r="AK36" s="242" t="s">
        <v>279</v>
      </c>
      <c r="AL36" s="243"/>
      <c r="AM36" s="244" t="s">
        <v>307</v>
      </c>
      <c r="AN36" s="236" t="s">
        <v>286</v>
      </c>
      <c r="AO36" s="229"/>
      <c r="AP36" s="230" t="s">
        <v>328</v>
      </c>
      <c r="AQ36" s="235" t="s">
        <v>289</v>
      </c>
      <c r="AR36" s="220"/>
      <c r="AS36" s="221" t="s">
        <v>329</v>
      </c>
      <c r="AT36" s="222" t="s">
        <v>308</v>
      </c>
      <c r="AU36" s="229"/>
      <c r="AV36" s="230" t="s">
        <v>291</v>
      </c>
      <c r="AW36" s="224" t="s">
        <v>308</v>
      </c>
      <c r="AX36" s="225"/>
      <c r="AY36" s="227" t="s">
        <v>292</v>
      </c>
      <c r="AZ36" s="222" t="s">
        <v>309</v>
      </c>
      <c r="BA36" s="229"/>
      <c r="BB36" s="230" t="s">
        <v>292</v>
      </c>
      <c r="BC36" s="231" t="s">
        <v>294</v>
      </c>
      <c r="BD36" s="225"/>
      <c r="BE36" s="221" t="s">
        <v>294</v>
      </c>
      <c r="BF36" s="237" t="s">
        <v>310</v>
      </c>
      <c r="BG36" s="229"/>
      <c r="BH36" s="230" t="s">
        <v>311</v>
      </c>
      <c r="BI36" s="239" t="s">
        <v>312</v>
      </c>
      <c r="BJ36" s="225"/>
      <c r="BK36" s="227" t="s">
        <v>313</v>
      </c>
      <c r="BL36" s="237" t="s">
        <v>314</v>
      </c>
      <c r="BM36" s="229"/>
      <c r="BN36" s="230" t="s">
        <v>337</v>
      </c>
    </row>
    <row r="37" customFormat="false" ht="17.25" hidden="false" customHeight="true" outlineLevel="0" collapsed="false">
      <c r="B37" s="198"/>
      <c r="C37" s="245" t="s">
        <v>338</v>
      </c>
      <c r="D37" s="247" t="s">
        <v>53</v>
      </c>
      <c r="E37" s="248" t="s">
        <v>274</v>
      </c>
      <c r="F37" s="246"/>
      <c r="G37" s="224" t="s">
        <v>275</v>
      </c>
      <c r="H37" s="225"/>
      <c r="I37" s="227" t="s">
        <v>275</v>
      </c>
      <c r="J37" s="222" t="s">
        <v>55</v>
      </c>
      <c r="K37" s="223"/>
      <c r="L37" s="223" t="s">
        <v>55</v>
      </c>
      <c r="M37" s="224" t="s">
        <v>55</v>
      </c>
      <c r="N37" s="225"/>
      <c r="O37" s="226" t="s">
        <v>55</v>
      </c>
      <c r="P37" s="224" t="s">
        <v>55</v>
      </c>
      <c r="Q37" s="225"/>
      <c r="R37" s="227" t="s">
        <v>55</v>
      </c>
      <c r="S37" s="228" t="s">
        <v>277</v>
      </c>
      <c r="T37" s="229"/>
      <c r="U37" s="230" t="s">
        <v>276</v>
      </c>
      <c r="V37" s="231" t="s">
        <v>278</v>
      </c>
      <c r="W37" s="225"/>
      <c r="X37" s="227" t="s">
        <v>314</v>
      </c>
      <c r="Y37" s="237" t="s">
        <v>280</v>
      </c>
      <c r="Z37" s="229"/>
      <c r="AA37" s="234" t="s">
        <v>281</v>
      </c>
      <c r="AB37" s="231" t="s">
        <v>280</v>
      </c>
      <c r="AC37" s="225"/>
      <c r="AD37" s="227" t="s">
        <v>281</v>
      </c>
      <c r="AE37" s="222" t="s">
        <v>339</v>
      </c>
      <c r="AF37" s="229"/>
      <c r="AG37" s="230" t="s">
        <v>340</v>
      </c>
      <c r="AH37" s="224" t="s">
        <v>341</v>
      </c>
      <c r="AI37" s="225"/>
      <c r="AJ37" s="227" t="s">
        <v>342</v>
      </c>
      <c r="AK37" s="249" t="s">
        <v>279</v>
      </c>
      <c r="AL37" s="243"/>
      <c r="AM37" s="244" t="s">
        <v>307</v>
      </c>
      <c r="AN37" s="236" t="s">
        <v>343</v>
      </c>
      <c r="AO37" s="229"/>
      <c r="AP37" s="230" t="s">
        <v>344</v>
      </c>
      <c r="AQ37" s="235" t="s">
        <v>345</v>
      </c>
      <c r="AR37" s="220"/>
      <c r="AS37" s="221" t="s">
        <v>289</v>
      </c>
      <c r="AT37" s="222" t="s">
        <v>290</v>
      </c>
      <c r="AU37" s="229"/>
      <c r="AV37" s="230" t="s">
        <v>291</v>
      </c>
      <c r="AW37" s="224" t="s">
        <v>292</v>
      </c>
      <c r="AX37" s="225"/>
      <c r="AY37" s="227" t="s">
        <v>291</v>
      </c>
      <c r="AZ37" s="222" t="s">
        <v>292</v>
      </c>
      <c r="BA37" s="229"/>
      <c r="BB37" s="230" t="s">
        <v>291</v>
      </c>
      <c r="BC37" s="231" t="s">
        <v>294</v>
      </c>
      <c r="BD37" s="225"/>
      <c r="BE37" s="221" t="s">
        <v>294</v>
      </c>
      <c r="BF37" s="237" t="s">
        <v>279</v>
      </c>
      <c r="BG37" s="229"/>
      <c r="BH37" s="230" t="s">
        <v>346</v>
      </c>
      <c r="BI37" s="239" t="s">
        <v>279</v>
      </c>
      <c r="BJ37" s="225"/>
      <c r="BK37" s="227" t="s">
        <v>279</v>
      </c>
      <c r="BL37" s="237" t="s">
        <v>347</v>
      </c>
      <c r="BM37" s="229"/>
      <c r="BN37" s="230" t="s">
        <v>348</v>
      </c>
    </row>
    <row r="38" customFormat="false" ht="17.25" hidden="false" customHeight="true" outlineLevel="0" collapsed="false">
      <c r="B38" s="198"/>
      <c r="C38" s="245"/>
      <c r="D38" s="247"/>
      <c r="E38" s="201" t="s">
        <v>296</v>
      </c>
      <c r="F38" s="250"/>
      <c r="G38" s="224" t="s">
        <v>275</v>
      </c>
      <c r="H38" s="225"/>
      <c r="I38" s="227" t="s">
        <v>275</v>
      </c>
      <c r="J38" s="222" t="s">
        <v>55</v>
      </c>
      <c r="K38" s="223"/>
      <c r="L38" s="223" t="s">
        <v>55</v>
      </c>
      <c r="M38" s="224" t="s">
        <v>55</v>
      </c>
      <c r="N38" s="225"/>
      <c r="O38" s="226" t="s">
        <v>55</v>
      </c>
      <c r="P38" s="224" t="s">
        <v>55</v>
      </c>
      <c r="Q38" s="225"/>
      <c r="R38" s="227" t="s">
        <v>55</v>
      </c>
      <c r="S38" s="228" t="s">
        <v>277</v>
      </c>
      <c r="T38" s="229"/>
      <c r="U38" s="230" t="s">
        <v>276</v>
      </c>
      <c r="V38" s="231" t="s">
        <v>278</v>
      </c>
      <c r="W38" s="225"/>
      <c r="X38" s="227" t="s">
        <v>314</v>
      </c>
      <c r="Y38" s="237" t="s">
        <v>280</v>
      </c>
      <c r="Z38" s="229"/>
      <c r="AA38" s="234" t="s">
        <v>281</v>
      </c>
      <c r="AB38" s="231" t="s">
        <v>280</v>
      </c>
      <c r="AC38" s="225"/>
      <c r="AD38" s="227" t="s">
        <v>281</v>
      </c>
      <c r="AE38" s="222" t="s">
        <v>339</v>
      </c>
      <c r="AF38" s="229"/>
      <c r="AG38" s="230" t="s">
        <v>340</v>
      </c>
      <c r="AH38" s="224" t="s">
        <v>341</v>
      </c>
      <c r="AI38" s="225"/>
      <c r="AJ38" s="227" t="s">
        <v>342</v>
      </c>
      <c r="AK38" s="249" t="s">
        <v>279</v>
      </c>
      <c r="AL38" s="243"/>
      <c r="AM38" s="244" t="s">
        <v>307</v>
      </c>
      <c r="AN38" s="236" t="s">
        <v>343</v>
      </c>
      <c r="AO38" s="229"/>
      <c r="AP38" s="230" t="s">
        <v>344</v>
      </c>
      <c r="AQ38" s="235" t="s">
        <v>345</v>
      </c>
      <c r="AR38" s="220"/>
      <c r="AS38" s="221" t="s">
        <v>289</v>
      </c>
      <c r="AT38" s="222" t="s">
        <v>290</v>
      </c>
      <c r="AU38" s="229"/>
      <c r="AV38" s="230" t="s">
        <v>291</v>
      </c>
      <c r="AW38" s="224" t="s">
        <v>292</v>
      </c>
      <c r="AX38" s="225"/>
      <c r="AY38" s="227" t="s">
        <v>291</v>
      </c>
      <c r="AZ38" s="222" t="s">
        <v>292</v>
      </c>
      <c r="BA38" s="229"/>
      <c r="BB38" s="230" t="s">
        <v>291</v>
      </c>
      <c r="BC38" s="231" t="s">
        <v>294</v>
      </c>
      <c r="BD38" s="225"/>
      <c r="BE38" s="221" t="s">
        <v>294</v>
      </c>
      <c r="BF38" s="237" t="s">
        <v>279</v>
      </c>
      <c r="BG38" s="229"/>
      <c r="BH38" s="230" t="s">
        <v>346</v>
      </c>
      <c r="BI38" s="239" t="s">
        <v>279</v>
      </c>
      <c r="BJ38" s="225"/>
      <c r="BK38" s="227" t="s">
        <v>279</v>
      </c>
      <c r="BL38" s="237" t="s">
        <v>347</v>
      </c>
      <c r="BM38" s="229"/>
      <c r="BN38" s="230" t="s">
        <v>348</v>
      </c>
    </row>
    <row r="39" customFormat="false" ht="17.25" hidden="false" customHeight="true" outlineLevel="0" collapsed="false">
      <c r="B39" s="198"/>
      <c r="C39" s="245"/>
      <c r="D39" s="247"/>
      <c r="E39" s="201" t="s">
        <v>297</v>
      </c>
      <c r="F39" s="250"/>
      <c r="G39" s="224" t="s">
        <v>275</v>
      </c>
      <c r="H39" s="225"/>
      <c r="I39" s="227" t="s">
        <v>275</v>
      </c>
      <c r="J39" s="222" t="s">
        <v>55</v>
      </c>
      <c r="K39" s="223"/>
      <c r="L39" s="223" t="s">
        <v>55</v>
      </c>
      <c r="M39" s="224" t="s">
        <v>55</v>
      </c>
      <c r="N39" s="225"/>
      <c r="O39" s="226" t="s">
        <v>55</v>
      </c>
      <c r="P39" s="224" t="s">
        <v>55</v>
      </c>
      <c r="Q39" s="225"/>
      <c r="R39" s="227" t="s">
        <v>55</v>
      </c>
      <c r="S39" s="228" t="s">
        <v>277</v>
      </c>
      <c r="T39" s="229"/>
      <c r="U39" s="230" t="s">
        <v>276</v>
      </c>
      <c r="V39" s="231" t="s">
        <v>278</v>
      </c>
      <c r="W39" s="225"/>
      <c r="X39" s="227" t="s">
        <v>314</v>
      </c>
      <c r="Y39" s="237" t="s">
        <v>280</v>
      </c>
      <c r="Z39" s="229"/>
      <c r="AA39" s="234" t="s">
        <v>281</v>
      </c>
      <c r="AB39" s="231" t="s">
        <v>280</v>
      </c>
      <c r="AC39" s="225"/>
      <c r="AD39" s="227" t="s">
        <v>281</v>
      </c>
      <c r="AE39" s="222" t="s">
        <v>339</v>
      </c>
      <c r="AF39" s="229"/>
      <c r="AG39" s="230" t="s">
        <v>340</v>
      </c>
      <c r="AH39" s="224" t="s">
        <v>341</v>
      </c>
      <c r="AI39" s="225"/>
      <c r="AJ39" s="227" t="s">
        <v>342</v>
      </c>
      <c r="AK39" s="249" t="s">
        <v>279</v>
      </c>
      <c r="AL39" s="243"/>
      <c r="AM39" s="244" t="s">
        <v>307</v>
      </c>
      <c r="AN39" s="236" t="s">
        <v>343</v>
      </c>
      <c r="AO39" s="229"/>
      <c r="AP39" s="230" t="s">
        <v>344</v>
      </c>
      <c r="AQ39" s="235" t="s">
        <v>345</v>
      </c>
      <c r="AR39" s="220"/>
      <c r="AS39" s="221" t="s">
        <v>289</v>
      </c>
      <c r="AT39" s="222" t="s">
        <v>290</v>
      </c>
      <c r="AU39" s="229"/>
      <c r="AV39" s="230" t="s">
        <v>291</v>
      </c>
      <c r="AW39" s="224" t="s">
        <v>292</v>
      </c>
      <c r="AX39" s="225"/>
      <c r="AY39" s="227" t="s">
        <v>291</v>
      </c>
      <c r="AZ39" s="222" t="s">
        <v>292</v>
      </c>
      <c r="BA39" s="229"/>
      <c r="BB39" s="230" t="s">
        <v>291</v>
      </c>
      <c r="BC39" s="231" t="s">
        <v>294</v>
      </c>
      <c r="BD39" s="225"/>
      <c r="BE39" s="221" t="s">
        <v>294</v>
      </c>
      <c r="BF39" s="237" t="s">
        <v>279</v>
      </c>
      <c r="BG39" s="229"/>
      <c r="BH39" s="230" t="s">
        <v>346</v>
      </c>
      <c r="BI39" s="239" t="s">
        <v>279</v>
      </c>
      <c r="BJ39" s="225"/>
      <c r="BK39" s="227" t="s">
        <v>279</v>
      </c>
      <c r="BL39" s="237" t="s">
        <v>347</v>
      </c>
      <c r="BM39" s="229"/>
      <c r="BN39" s="230" t="s">
        <v>348</v>
      </c>
    </row>
    <row r="40" customFormat="false" ht="17.25" hidden="false" customHeight="true" outlineLevel="0" collapsed="false">
      <c r="B40" s="198"/>
      <c r="C40" s="245"/>
      <c r="D40" s="247"/>
      <c r="E40" s="201" t="s">
        <v>298</v>
      </c>
      <c r="F40" s="250"/>
      <c r="G40" s="224" t="s">
        <v>275</v>
      </c>
      <c r="H40" s="225"/>
      <c r="I40" s="227" t="s">
        <v>275</v>
      </c>
      <c r="J40" s="222" t="s">
        <v>55</v>
      </c>
      <c r="K40" s="223"/>
      <c r="L40" s="223" t="s">
        <v>55</v>
      </c>
      <c r="M40" s="224" t="s">
        <v>55</v>
      </c>
      <c r="N40" s="225"/>
      <c r="O40" s="226" t="s">
        <v>55</v>
      </c>
      <c r="P40" s="224" t="s">
        <v>55</v>
      </c>
      <c r="Q40" s="225"/>
      <c r="R40" s="227" t="s">
        <v>55</v>
      </c>
      <c r="S40" s="228" t="s">
        <v>277</v>
      </c>
      <c r="T40" s="229"/>
      <c r="U40" s="230" t="s">
        <v>276</v>
      </c>
      <c r="V40" s="231" t="s">
        <v>278</v>
      </c>
      <c r="W40" s="225"/>
      <c r="X40" s="227" t="s">
        <v>314</v>
      </c>
      <c r="Y40" s="237" t="s">
        <v>280</v>
      </c>
      <c r="Z40" s="229"/>
      <c r="AA40" s="234" t="s">
        <v>281</v>
      </c>
      <c r="AB40" s="231" t="s">
        <v>280</v>
      </c>
      <c r="AC40" s="225"/>
      <c r="AD40" s="227" t="s">
        <v>281</v>
      </c>
      <c r="AE40" s="222" t="s">
        <v>339</v>
      </c>
      <c r="AF40" s="229"/>
      <c r="AG40" s="230" t="s">
        <v>340</v>
      </c>
      <c r="AH40" s="224" t="s">
        <v>341</v>
      </c>
      <c r="AI40" s="225"/>
      <c r="AJ40" s="227" t="s">
        <v>342</v>
      </c>
      <c r="AK40" s="249" t="s">
        <v>279</v>
      </c>
      <c r="AL40" s="243"/>
      <c r="AM40" s="244" t="s">
        <v>307</v>
      </c>
      <c r="AN40" s="236" t="s">
        <v>343</v>
      </c>
      <c r="AO40" s="229"/>
      <c r="AP40" s="230" t="s">
        <v>344</v>
      </c>
      <c r="AQ40" s="235" t="s">
        <v>345</v>
      </c>
      <c r="AR40" s="220"/>
      <c r="AS40" s="221" t="s">
        <v>289</v>
      </c>
      <c r="AT40" s="222" t="s">
        <v>290</v>
      </c>
      <c r="AU40" s="229"/>
      <c r="AV40" s="230" t="s">
        <v>291</v>
      </c>
      <c r="AW40" s="224" t="s">
        <v>292</v>
      </c>
      <c r="AX40" s="225"/>
      <c r="AY40" s="227" t="s">
        <v>291</v>
      </c>
      <c r="AZ40" s="222" t="s">
        <v>292</v>
      </c>
      <c r="BA40" s="229"/>
      <c r="BB40" s="230" t="s">
        <v>291</v>
      </c>
      <c r="BC40" s="231" t="s">
        <v>294</v>
      </c>
      <c r="BD40" s="225"/>
      <c r="BE40" s="221" t="s">
        <v>294</v>
      </c>
      <c r="BF40" s="237" t="s">
        <v>279</v>
      </c>
      <c r="BG40" s="229"/>
      <c r="BH40" s="230" t="s">
        <v>346</v>
      </c>
      <c r="BI40" s="239" t="s">
        <v>279</v>
      </c>
      <c r="BJ40" s="225"/>
      <c r="BK40" s="227" t="s">
        <v>279</v>
      </c>
      <c r="BL40" s="237" t="s">
        <v>347</v>
      </c>
      <c r="BM40" s="229"/>
      <c r="BN40" s="230" t="s">
        <v>348</v>
      </c>
    </row>
    <row r="41" customFormat="false" ht="17.25" hidden="false" customHeight="true" outlineLevel="0" collapsed="false">
      <c r="B41" s="198"/>
      <c r="C41" s="245"/>
      <c r="D41" s="240" t="s">
        <v>59</v>
      </c>
      <c r="E41" s="201" t="s">
        <v>274</v>
      </c>
      <c r="F41" s="246"/>
      <c r="G41" s="224" t="s">
        <v>275</v>
      </c>
      <c r="H41" s="225"/>
      <c r="I41" s="227" t="s">
        <v>275</v>
      </c>
      <c r="J41" s="222" t="s">
        <v>55</v>
      </c>
      <c r="K41" s="223"/>
      <c r="L41" s="223" t="s">
        <v>55</v>
      </c>
      <c r="M41" s="224" t="s">
        <v>55</v>
      </c>
      <c r="N41" s="225"/>
      <c r="O41" s="226" t="s">
        <v>55</v>
      </c>
      <c r="P41" s="224" t="s">
        <v>55</v>
      </c>
      <c r="Q41" s="225"/>
      <c r="R41" s="227" t="s">
        <v>55</v>
      </c>
      <c r="S41" s="228" t="s">
        <v>277</v>
      </c>
      <c r="T41" s="229"/>
      <c r="U41" s="230" t="s">
        <v>276</v>
      </c>
      <c r="V41" s="231" t="s">
        <v>278</v>
      </c>
      <c r="W41" s="225"/>
      <c r="X41" s="227" t="s">
        <v>314</v>
      </c>
      <c r="Y41" s="237" t="s">
        <v>280</v>
      </c>
      <c r="Z41" s="229"/>
      <c r="AA41" s="234" t="s">
        <v>281</v>
      </c>
      <c r="AB41" s="231" t="s">
        <v>280</v>
      </c>
      <c r="AC41" s="225"/>
      <c r="AD41" s="227" t="s">
        <v>281</v>
      </c>
      <c r="AE41" s="222" t="s">
        <v>339</v>
      </c>
      <c r="AF41" s="229"/>
      <c r="AG41" s="230" t="s">
        <v>340</v>
      </c>
      <c r="AH41" s="224" t="s">
        <v>349</v>
      </c>
      <c r="AI41" s="225"/>
      <c r="AJ41" s="227" t="s">
        <v>342</v>
      </c>
      <c r="AK41" s="249" t="s">
        <v>279</v>
      </c>
      <c r="AL41" s="243"/>
      <c r="AM41" s="244" t="s">
        <v>307</v>
      </c>
      <c r="AN41" s="236" t="s">
        <v>343</v>
      </c>
      <c r="AO41" s="229"/>
      <c r="AP41" s="230" t="s">
        <v>344</v>
      </c>
      <c r="AQ41" s="235" t="s">
        <v>345</v>
      </c>
      <c r="AR41" s="220"/>
      <c r="AS41" s="221" t="s">
        <v>289</v>
      </c>
      <c r="AT41" s="222" t="s">
        <v>290</v>
      </c>
      <c r="AU41" s="229"/>
      <c r="AV41" s="230" t="s">
        <v>291</v>
      </c>
      <c r="AW41" s="224" t="s">
        <v>292</v>
      </c>
      <c r="AX41" s="225"/>
      <c r="AY41" s="227" t="s">
        <v>291</v>
      </c>
      <c r="AZ41" s="222" t="s">
        <v>292</v>
      </c>
      <c r="BA41" s="229"/>
      <c r="BB41" s="230" t="s">
        <v>291</v>
      </c>
      <c r="BC41" s="231" t="s">
        <v>294</v>
      </c>
      <c r="BD41" s="225"/>
      <c r="BE41" s="221" t="s">
        <v>294</v>
      </c>
      <c r="BF41" s="237" t="s">
        <v>279</v>
      </c>
      <c r="BG41" s="229"/>
      <c r="BH41" s="230" t="s">
        <v>346</v>
      </c>
      <c r="BI41" s="239" t="s">
        <v>279</v>
      </c>
      <c r="BJ41" s="225"/>
      <c r="BK41" s="227" t="s">
        <v>279</v>
      </c>
      <c r="BL41" s="237" t="s">
        <v>347</v>
      </c>
      <c r="BM41" s="229"/>
      <c r="BN41" s="230" t="s">
        <v>348</v>
      </c>
    </row>
    <row r="42" customFormat="false" ht="17.25" hidden="false" customHeight="true" outlineLevel="0" collapsed="false">
      <c r="B42" s="198"/>
      <c r="C42" s="245"/>
      <c r="D42" s="240"/>
      <c r="E42" s="201" t="s">
        <v>296</v>
      </c>
      <c r="F42" s="246"/>
      <c r="G42" s="224" t="s">
        <v>275</v>
      </c>
      <c r="H42" s="225"/>
      <c r="I42" s="227" t="s">
        <v>275</v>
      </c>
      <c r="J42" s="222" t="s">
        <v>55</v>
      </c>
      <c r="K42" s="223"/>
      <c r="L42" s="223" t="s">
        <v>55</v>
      </c>
      <c r="M42" s="224" t="s">
        <v>55</v>
      </c>
      <c r="N42" s="225"/>
      <c r="O42" s="226" t="s">
        <v>55</v>
      </c>
      <c r="P42" s="224" t="s">
        <v>55</v>
      </c>
      <c r="Q42" s="225"/>
      <c r="R42" s="227" t="s">
        <v>55</v>
      </c>
      <c r="S42" s="228" t="s">
        <v>277</v>
      </c>
      <c r="T42" s="229"/>
      <c r="U42" s="230" t="s">
        <v>276</v>
      </c>
      <c r="V42" s="231" t="s">
        <v>278</v>
      </c>
      <c r="W42" s="225"/>
      <c r="X42" s="227" t="s">
        <v>314</v>
      </c>
      <c r="Y42" s="237" t="s">
        <v>280</v>
      </c>
      <c r="Z42" s="229"/>
      <c r="AA42" s="234" t="s">
        <v>281</v>
      </c>
      <c r="AB42" s="231" t="s">
        <v>280</v>
      </c>
      <c r="AC42" s="225"/>
      <c r="AD42" s="227" t="s">
        <v>281</v>
      </c>
      <c r="AE42" s="222" t="s">
        <v>339</v>
      </c>
      <c r="AF42" s="229"/>
      <c r="AG42" s="230" t="s">
        <v>340</v>
      </c>
      <c r="AH42" s="224" t="s">
        <v>349</v>
      </c>
      <c r="AI42" s="225"/>
      <c r="AJ42" s="227" t="s">
        <v>342</v>
      </c>
      <c r="AK42" s="249" t="s">
        <v>279</v>
      </c>
      <c r="AL42" s="243"/>
      <c r="AM42" s="244" t="s">
        <v>307</v>
      </c>
      <c r="AN42" s="236" t="s">
        <v>343</v>
      </c>
      <c r="AO42" s="229"/>
      <c r="AP42" s="230" t="s">
        <v>344</v>
      </c>
      <c r="AQ42" s="235" t="s">
        <v>345</v>
      </c>
      <c r="AR42" s="220"/>
      <c r="AS42" s="221" t="s">
        <v>289</v>
      </c>
      <c r="AT42" s="222" t="s">
        <v>290</v>
      </c>
      <c r="AU42" s="229"/>
      <c r="AV42" s="230" t="s">
        <v>291</v>
      </c>
      <c r="AW42" s="224" t="s">
        <v>292</v>
      </c>
      <c r="AX42" s="225"/>
      <c r="AY42" s="227" t="s">
        <v>291</v>
      </c>
      <c r="AZ42" s="222" t="s">
        <v>292</v>
      </c>
      <c r="BA42" s="229"/>
      <c r="BB42" s="230" t="s">
        <v>291</v>
      </c>
      <c r="BC42" s="231" t="s">
        <v>294</v>
      </c>
      <c r="BD42" s="225"/>
      <c r="BE42" s="221" t="s">
        <v>294</v>
      </c>
      <c r="BF42" s="237" t="s">
        <v>279</v>
      </c>
      <c r="BG42" s="229"/>
      <c r="BH42" s="230" t="s">
        <v>346</v>
      </c>
      <c r="BI42" s="239" t="s">
        <v>279</v>
      </c>
      <c r="BJ42" s="225"/>
      <c r="BK42" s="227" t="s">
        <v>279</v>
      </c>
      <c r="BL42" s="237" t="s">
        <v>347</v>
      </c>
      <c r="BM42" s="229"/>
      <c r="BN42" s="230" t="s">
        <v>348</v>
      </c>
    </row>
    <row r="43" customFormat="false" ht="17.25" hidden="false" customHeight="true" outlineLevel="0" collapsed="false">
      <c r="B43" s="198"/>
      <c r="C43" s="245"/>
      <c r="D43" s="240"/>
      <c r="E43" s="201" t="s">
        <v>297</v>
      </c>
      <c r="F43" s="246"/>
      <c r="G43" s="224" t="s">
        <v>275</v>
      </c>
      <c r="H43" s="225"/>
      <c r="I43" s="227" t="s">
        <v>275</v>
      </c>
      <c r="J43" s="222" t="s">
        <v>55</v>
      </c>
      <c r="K43" s="223"/>
      <c r="L43" s="223" t="s">
        <v>55</v>
      </c>
      <c r="M43" s="224" t="s">
        <v>55</v>
      </c>
      <c r="N43" s="225"/>
      <c r="O43" s="226" t="s">
        <v>55</v>
      </c>
      <c r="P43" s="224" t="s">
        <v>55</v>
      </c>
      <c r="Q43" s="225"/>
      <c r="R43" s="227" t="s">
        <v>55</v>
      </c>
      <c r="S43" s="228" t="s">
        <v>277</v>
      </c>
      <c r="T43" s="229"/>
      <c r="U43" s="230" t="s">
        <v>276</v>
      </c>
      <c r="V43" s="231" t="s">
        <v>278</v>
      </c>
      <c r="W43" s="225"/>
      <c r="X43" s="227" t="s">
        <v>314</v>
      </c>
      <c r="Y43" s="237" t="s">
        <v>280</v>
      </c>
      <c r="Z43" s="229"/>
      <c r="AA43" s="234" t="s">
        <v>281</v>
      </c>
      <c r="AB43" s="231" t="s">
        <v>280</v>
      </c>
      <c r="AC43" s="225"/>
      <c r="AD43" s="227" t="s">
        <v>281</v>
      </c>
      <c r="AE43" s="222" t="s">
        <v>339</v>
      </c>
      <c r="AF43" s="229"/>
      <c r="AG43" s="230" t="s">
        <v>340</v>
      </c>
      <c r="AH43" s="224" t="s">
        <v>349</v>
      </c>
      <c r="AI43" s="225"/>
      <c r="AJ43" s="227" t="s">
        <v>342</v>
      </c>
      <c r="AK43" s="249" t="s">
        <v>279</v>
      </c>
      <c r="AL43" s="243"/>
      <c r="AM43" s="244" t="s">
        <v>307</v>
      </c>
      <c r="AN43" s="236" t="s">
        <v>343</v>
      </c>
      <c r="AO43" s="229"/>
      <c r="AP43" s="230" t="s">
        <v>344</v>
      </c>
      <c r="AQ43" s="235" t="s">
        <v>345</v>
      </c>
      <c r="AR43" s="220"/>
      <c r="AS43" s="221" t="s">
        <v>289</v>
      </c>
      <c r="AT43" s="222" t="s">
        <v>290</v>
      </c>
      <c r="AU43" s="229"/>
      <c r="AV43" s="230" t="s">
        <v>291</v>
      </c>
      <c r="AW43" s="224" t="s">
        <v>292</v>
      </c>
      <c r="AX43" s="225"/>
      <c r="AY43" s="227" t="s">
        <v>291</v>
      </c>
      <c r="AZ43" s="222" t="s">
        <v>292</v>
      </c>
      <c r="BA43" s="229"/>
      <c r="BB43" s="230" t="s">
        <v>291</v>
      </c>
      <c r="BC43" s="231" t="s">
        <v>294</v>
      </c>
      <c r="BD43" s="225"/>
      <c r="BE43" s="221" t="s">
        <v>294</v>
      </c>
      <c r="BF43" s="237" t="s">
        <v>279</v>
      </c>
      <c r="BG43" s="229"/>
      <c r="BH43" s="230" t="s">
        <v>346</v>
      </c>
      <c r="BI43" s="239" t="s">
        <v>279</v>
      </c>
      <c r="BJ43" s="225"/>
      <c r="BK43" s="227" t="s">
        <v>279</v>
      </c>
      <c r="BL43" s="237" t="s">
        <v>347</v>
      </c>
      <c r="BM43" s="229"/>
      <c r="BN43" s="230" t="s">
        <v>348</v>
      </c>
    </row>
    <row r="44" customFormat="false" ht="17.25" hidden="false" customHeight="true" outlineLevel="0" collapsed="false">
      <c r="B44" s="198"/>
      <c r="C44" s="245"/>
      <c r="D44" s="240"/>
      <c r="E44" s="201" t="s">
        <v>298</v>
      </c>
      <c r="F44" s="246"/>
      <c r="G44" s="224" t="s">
        <v>275</v>
      </c>
      <c r="H44" s="225"/>
      <c r="I44" s="227" t="s">
        <v>275</v>
      </c>
      <c r="J44" s="222" t="s">
        <v>55</v>
      </c>
      <c r="K44" s="223"/>
      <c r="L44" s="223" t="s">
        <v>55</v>
      </c>
      <c r="M44" s="224" t="s">
        <v>55</v>
      </c>
      <c r="N44" s="225"/>
      <c r="O44" s="226" t="s">
        <v>55</v>
      </c>
      <c r="P44" s="224" t="s">
        <v>55</v>
      </c>
      <c r="Q44" s="225"/>
      <c r="R44" s="227" t="s">
        <v>55</v>
      </c>
      <c r="S44" s="228" t="s">
        <v>277</v>
      </c>
      <c r="T44" s="229"/>
      <c r="U44" s="230" t="s">
        <v>276</v>
      </c>
      <c r="V44" s="231" t="s">
        <v>278</v>
      </c>
      <c r="W44" s="225"/>
      <c r="X44" s="227" t="s">
        <v>314</v>
      </c>
      <c r="Y44" s="237" t="s">
        <v>280</v>
      </c>
      <c r="Z44" s="229"/>
      <c r="AA44" s="234" t="s">
        <v>281</v>
      </c>
      <c r="AB44" s="231" t="s">
        <v>280</v>
      </c>
      <c r="AC44" s="225"/>
      <c r="AD44" s="227" t="s">
        <v>281</v>
      </c>
      <c r="AE44" s="222" t="s">
        <v>339</v>
      </c>
      <c r="AF44" s="229"/>
      <c r="AG44" s="230" t="s">
        <v>340</v>
      </c>
      <c r="AH44" s="224" t="s">
        <v>349</v>
      </c>
      <c r="AI44" s="225"/>
      <c r="AJ44" s="227" t="s">
        <v>342</v>
      </c>
      <c r="AK44" s="249" t="s">
        <v>279</v>
      </c>
      <c r="AL44" s="243"/>
      <c r="AM44" s="244" t="s">
        <v>307</v>
      </c>
      <c r="AN44" s="236" t="s">
        <v>343</v>
      </c>
      <c r="AO44" s="229"/>
      <c r="AP44" s="230" t="s">
        <v>344</v>
      </c>
      <c r="AQ44" s="235" t="s">
        <v>345</v>
      </c>
      <c r="AR44" s="220"/>
      <c r="AS44" s="221" t="s">
        <v>289</v>
      </c>
      <c r="AT44" s="222" t="s">
        <v>290</v>
      </c>
      <c r="AU44" s="229"/>
      <c r="AV44" s="230" t="s">
        <v>291</v>
      </c>
      <c r="AW44" s="224" t="s">
        <v>292</v>
      </c>
      <c r="AX44" s="225"/>
      <c r="AY44" s="227" t="s">
        <v>291</v>
      </c>
      <c r="AZ44" s="222" t="s">
        <v>292</v>
      </c>
      <c r="BA44" s="229"/>
      <c r="BB44" s="230" t="s">
        <v>291</v>
      </c>
      <c r="BC44" s="231" t="s">
        <v>294</v>
      </c>
      <c r="BD44" s="225"/>
      <c r="BE44" s="221" t="s">
        <v>294</v>
      </c>
      <c r="BF44" s="237" t="s">
        <v>279</v>
      </c>
      <c r="BG44" s="229"/>
      <c r="BH44" s="230" t="s">
        <v>346</v>
      </c>
      <c r="BI44" s="239" t="s">
        <v>279</v>
      </c>
      <c r="BJ44" s="225"/>
      <c r="BK44" s="227" t="s">
        <v>279</v>
      </c>
      <c r="BL44" s="237" t="s">
        <v>347</v>
      </c>
      <c r="BM44" s="229"/>
      <c r="BN44" s="230" t="s">
        <v>348</v>
      </c>
    </row>
    <row r="45" customFormat="false" ht="17.25" hidden="false" customHeight="true" outlineLevel="0" collapsed="false">
      <c r="B45" s="198"/>
      <c r="C45" s="245"/>
      <c r="D45" s="240" t="s">
        <v>60</v>
      </c>
      <c r="E45" s="201" t="s">
        <v>274</v>
      </c>
      <c r="F45" s="246"/>
      <c r="G45" s="224" t="s">
        <v>275</v>
      </c>
      <c r="H45" s="225"/>
      <c r="I45" s="227" t="s">
        <v>275</v>
      </c>
      <c r="J45" s="222" t="s">
        <v>55</v>
      </c>
      <c r="K45" s="223"/>
      <c r="L45" s="223" t="s">
        <v>55</v>
      </c>
      <c r="M45" s="224" t="s">
        <v>55</v>
      </c>
      <c r="N45" s="225"/>
      <c r="O45" s="226" t="s">
        <v>55</v>
      </c>
      <c r="P45" s="224" t="s">
        <v>55</v>
      </c>
      <c r="Q45" s="225"/>
      <c r="R45" s="227" t="s">
        <v>55</v>
      </c>
      <c r="S45" s="228" t="s">
        <v>277</v>
      </c>
      <c r="T45" s="229"/>
      <c r="U45" s="230" t="s">
        <v>276</v>
      </c>
      <c r="V45" s="231" t="s">
        <v>278</v>
      </c>
      <c r="W45" s="225"/>
      <c r="X45" s="227" t="s">
        <v>314</v>
      </c>
      <c r="Y45" s="237" t="s">
        <v>280</v>
      </c>
      <c r="Z45" s="229"/>
      <c r="AA45" s="234" t="s">
        <v>281</v>
      </c>
      <c r="AB45" s="231" t="s">
        <v>280</v>
      </c>
      <c r="AC45" s="225"/>
      <c r="AD45" s="227" t="s">
        <v>281</v>
      </c>
      <c r="AE45" s="222" t="s">
        <v>339</v>
      </c>
      <c r="AF45" s="229"/>
      <c r="AG45" s="230" t="s">
        <v>340</v>
      </c>
      <c r="AH45" s="224" t="s">
        <v>349</v>
      </c>
      <c r="AI45" s="225"/>
      <c r="AJ45" s="227" t="s">
        <v>342</v>
      </c>
      <c r="AK45" s="249" t="s">
        <v>279</v>
      </c>
      <c r="AL45" s="243"/>
      <c r="AM45" s="244" t="s">
        <v>307</v>
      </c>
      <c r="AN45" s="236" t="s">
        <v>343</v>
      </c>
      <c r="AO45" s="229"/>
      <c r="AP45" s="230" t="s">
        <v>344</v>
      </c>
      <c r="AQ45" s="235" t="s">
        <v>345</v>
      </c>
      <c r="AR45" s="220"/>
      <c r="AS45" s="221" t="s">
        <v>289</v>
      </c>
      <c r="AT45" s="222" t="s">
        <v>290</v>
      </c>
      <c r="AU45" s="229"/>
      <c r="AV45" s="230" t="s">
        <v>291</v>
      </c>
      <c r="AW45" s="224" t="s">
        <v>292</v>
      </c>
      <c r="AX45" s="225"/>
      <c r="AY45" s="227" t="s">
        <v>291</v>
      </c>
      <c r="AZ45" s="222" t="s">
        <v>292</v>
      </c>
      <c r="BA45" s="229"/>
      <c r="BB45" s="230" t="s">
        <v>291</v>
      </c>
      <c r="BC45" s="231" t="s">
        <v>294</v>
      </c>
      <c r="BD45" s="225"/>
      <c r="BE45" s="221" t="s">
        <v>294</v>
      </c>
      <c r="BF45" s="237" t="s">
        <v>279</v>
      </c>
      <c r="BG45" s="229"/>
      <c r="BH45" s="230" t="s">
        <v>346</v>
      </c>
      <c r="BI45" s="239" t="s">
        <v>279</v>
      </c>
      <c r="BJ45" s="225"/>
      <c r="BK45" s="227" t="s">
        <v>279</v>
      </c>
      <c r="BL45" s="237" t="s">
        <v>347</v>
      </c>
      <c r="BM45" s="229"/>
      <c r="BN45" s="230" t="s">
        <v>348</v>
      </c>
    </row>
    <row r="46" customFormat="false" ht="17.25" hidden="false" customHeight="true" outlineLevel="0" collapsed="false">
      <c r="B46" s="198"/>
      <c r="C46" s="245"/>
      <c r="D46" s="240"/>
      <c r="E46" s="201" t="s">
        <v>296</v>
      </c>
      <c r="F46" s="246"/>
      <c r="G46" s="224" t="s">
        <v>275</v>
      </c>
      <c r="H46" s="225"/>
      <c r="I46" s="227" t="s">
        <v>275</v>
      </c>
      <c r="J46" s="222" t="s">
        <v>55</v>
      </c>
      <c r="K46" s="223"/>
      <c r="L46" s="223" t="s">
        <v>55</v>
      </c>
      <c r="M46" s="224" t="s">
        <v>55</v>
      </c>
      <c r="N46" s="225"/>
      <c r="O46" s="226" t="s">
        <v>55</v>
      </c>
      <c r="P46" s="224" t="s">
        <v>55</v>
      </c>
      <c r="Q46" s="225"/>
      <c r="R46" s="227" t="s">
        <v>55</v>
      </c>
      <c r="S46" s="228" t="s">
        <v>277</v>
      </c>
      <c r="T46" s="229"/>
      <c r="U46" s="230" t="s">
        <v>276</v>
      </c>
      <c r="V46" s="231" t="s">
        <v>278</v>
      </c>
      <c r="W46" s="225"/>
      <c r="X46" s="227" t="s">
        <v>314</v>
      </c>
      <c r="Y46" s="237" t="s">
        <v>280</v>
      </c>
      <c r="Z46" s="229"/>
      <c r="AA46" s="234" t="s">
        <v>281</v>
      </c>
      <c r="AB46" s="231" t="s">
        <v>280</v>
      </c>
      <c r="AC46" s="225"/>
      <c r="AD46" s="227" t="s">
        <v>281</v>
      </c>
      <c r="AE46" s="222" t="s">
        <v>339</v>
      </c>
      <c r="AF46" s="229"/>
      <c r="AG46" s="230" t="s">
        <v>340</v>
      </c>
      <c r="AH46" s="224" t="s">
        <v>349</v>
      </c>
      <c r="AI46" s="225"/>
      <c r="AJ46" s="227" t="s">
        <v>342</v>
      </c>
      <c r="AK46" s="249" t="s">
        <v>279</v>
      </c>
      <c r="AL46" s="243"/>
      <c r="AM46" s="244" t="s">
        <v>307</v>
      </c>
      <c r="AN46" s="236" t="s">
        <v>343</v>
      </c>
      <c r="AO46" s="229"/>
      <c r="AP46" s="230" t="s">
        <v>344</v>
      </c>
      <c r="AQ46" s="235" t="s">
        <v>345</v>
      </c>
      <c r="AR46" s="220"/>
      <c r="AS46" s="221" t="s">
        <v>289</v>
      </c>
      <c r="AT46" s="222" t="s">
        <v>290</v>
      </c>
      <c r="AU46" s="229"/>
      <c r="AV46" s="230" t="s">
        <v>291</v>
      </c>
      <c r="AW46" s="224" t="s">
        <v>292</v>
      </c>
      <c r="AX46" s="225"/>
      <c r="AY46" s="227" t="s">
        <v>291</v>
      </c>
      <c r="AZ46" s="222" t="s">
        <v>292</v>
      </c>
      <c r="BA46" s="229"/>
      <c r="BB46" s="230" t="s">
        <v>291</v>
      </c>
      <c r="BC46" s="231" t="s">
        <v>294</v>
      </c>
      <c r="BD46" s="225"/>
      <c r="BE46" s="221" t="s">
        <v>294</v>
      </c>
      <c r="BF46" s="237" t="s">
        <v>279</v>
      </c>
      <c r="BG46" s="229"/>
      <c r="BH46" s="230" t="s">
        <v>346</v>
      </c>
      <c r="BI46" s="239" t="s">
        <v>279</v>
      </c>
      <c r="BJ46" s="225"/>
      <c r="BK46" s="227" t="s">
        <v>279</v>
      </c>
      <c r="BL46" s="237" t="s">
        <v>347</v>
      </c>
      <c r="BM46" s="229"/>
      <c r="BN46" s="230" t="s">
        <v>348</v>
      </c>
    </row>
    <row r="47" customFormat="false" ht="17.25" hidden="false" customHeight="true" outlineLevel="0" collapsed="false">
      <c r="B47" s="198"/>
      <c r="C47" s="245"/>
      <c r="D47" s="240"/>
      <c r="E47" s="201" t="s">
        <v>297</v>
      </c>
      <c r="F47" s="246"/>
      <c r="G47" s="224" t="s">
        <v>275</v>
      </c>
      <c r="H47" s="225"/>
      <c r="I47" s="227" t="s">
        <v>275</v>
      </c>
      <c r="J47" s="222" t="s">
        <v>55</v>
      </c>
      <c r="K47" s="223"/>
      <c r="L47" s="223" t="s">
        <v>55</v>
      </c>
      <c r="M47" s="224" t="s">
        <v>55</v>
      </c>
      <c r="N47" s="225"/>
      <c r="O47" s="226" t="s">
        <v>55</v>
      </c>
      <c r="P47" s="224" t="s">
        <v>55</v>
      </c>
      <c r="Q47" s="225"/>
      <c r="R47" s="227" t="s">
        <v>55</v>
      </c>
      <c r="S47" s="228" t="s">
        <v>277</v>
      </c>
      <c r="T47" s="229"/>
      <c r="U47" s="230" t="s">
        <v>276</v>
      </c>
      <c r="V47" s="231" t="s">
        <v>278</v>
      </c>
      <c r="W47" s="225"/>
      <c r="X47" s="227" t="s">
        <v>314</v>
      </c>
      <c r="Y47" s="237" t="s">
        <v>280</v>
      </c>
      <c r="Z47" s="229"/>
      <c r="AA47" s="234" t="s">
        <v>281</v>
      </c>
      <c r="AB47" s="231" t="s">
        <v>280</v>
      </c>
      <c r="AC47" s="225"/>
      <c r="AD47" s="227" t="s">
        <v>281</v>
      </c>
      <c r="AE47" s="222" t="s">
        <v>339</v>
      </c>
      <c r="AF47" s="229"/>
      <c r="AG47" s="230" t="s">
        <v>340</v>
      </c>
      <c r="AH47" s="224" t="s">
        <v>349</v>
      </c>
      <c r="AI47" s="225"/>
      <c r="AJ47" s="227" t="s">
        <v>342</v>
      </c>
      <c r="AK47" s="249" t="s">
        <v>279</v>
      </c>
      <c r="AL47" s="243"/>
      <c r="AM47" s="244" t="s">
        <v>307</v>
      </c>
      <c r="AN47" s="236" t="s">
        <v>343</v>
      </c>
      <c r="AO47" s="229"/>
      <c r="AP47" s="230" t="s">
        <v>344</v>
      </c>
      <c r="AQ47" s="235" t="s">
        <v>345</v>
      </c>
      <c r="AR47" s="220"/>
      <c r="AS47" s="221" t="s">
        <v>289</v>
      </c>
      <c r="AT47" s="222" t="s">
        <v>290</v>
      </c>
      <c r="AU47" s="229"/>
      <c r="AV47" s="230" t="s">
        <v>291</v>
      </c>
      <c r="AW47" s="224" t="s">
        <v>292</v>
      </c>
      <c r="AX47" s="225"/>
      <c r="AY47" s="227" t="s">
        <v>291</v>
      </c>
      <c r="AZ47" s="222" t="s">
        <v>292</v>
      </c>
      <c r="BA47" s="229"/>
      <c r="BB47" s="230" t="s">
        <v>291</v>
      </c>
      <c r="BC47" s="231" t="s">
        <v>294</v>
      </c>
      <c r="BD47" s="225"/>
      <c r="BE47" s="221" t="s">
        <v>294</v>
      </c>
      <c r="BF47" s="237" t="s">
        <v>279</v>
      </c>
      <c r="BG47" s="229"/>
      <c r="BH47" s="230" t="s">
        <v>346</v>
      </c>
      <c r="BI47" s="239" t="s">
        <v>279</v>
      </c>
      <c r="BJ47" s="225"/>
      <c r="BK47" s="227" t="s">
        <v>279</v>
      </c>
      <c r="BL47" s="237" t="s">
        <v>347</v>
      </c>
      <c r="BM47" s="229"/>
      <c r="BN47" s="230" t="s">
        <v>348</v>
      </c>
    </row>
    <row r="48" customFormat="false" ht="17.25" hidden="false" customHeight="true" outlineLevel="0" collapsed="false">
      <c r="B48" s="198"/>
      <c r="C48" s="245"/>
      <c r="D48" s="240"/>
      <c r="E48" s="201" t="s">
        <v>298</v>
      </c>
      <c r="F48" s="246"/>
      <c r="G48" s="224" t="s">
        <v>275</v>
      </c>
      <c r="H48" s="225"/>
      <c r="I48" s="227" t="s">
        <v>275</v>
      </c>
      <c r="J48" s="222" t="s">
        <v>55</v>
      </c>
      <c r="K48" s="223"/>
      <c r="L48" s="223" t="s">
        <v>55</v>
      </c>
      <c r="M48" s="224" t="s">
        <v>55</v>
      </c>
      <c r="N48" s="225"/>
      <c r="O48" s="226" t="s">
        <v>55</v>
      </c>
      <c r="P48" s="224" t="s">
        <v>55</v>
      </c>
      <c r="Q48" s="225"/>
      <c r="R48" s="227" t="s">
        <v>55</v>
      </c>
      <c r="S48" s="228" t="s">
        <v>277</v>
      </c>
      <c r="T48" s="229"/>
      <c r="U48" s="230" t="s">
        <v>276</v>
      </c>
      <c r="V48" s="231" t="s">
        <v>278</v>
      </c>
      <c r="W48" s="225"/>
      <c r="X48" s="227" t="s">
        <v>314</v>
      </c>
      <c r="Y48" s="237" t="s">
        <v>280</v>
      </c>
      <c r="Z48" s="229"/>
      <c r="AA48" s="234" t="s">
        <v>281</v>
      </c>
      <c r="AB48" s="231" t="s">
        <v>280</v>
      </c>
      <c r="AC48" s="225"/>
      <c r="AD48" s="227" t="s">
        <v>281</v>
      </c>
      <c r="AE48" s="222" t="s">
        <v>339</v>
      </c>
      <c r="AF48" s="229"/>
      <c r="AG48" s="230" t="s">
        <v>340</v>
      </c>
      <c r="AH48" s="224" t="s">
        <v>349</v>
      </c>
      <c r="AI48" s="225"/>
      <c r="AJ48" s="227" t="s">
        <v>342</v>
      </c>
      <c r="AK48" s="249" t="s">
        <v>279</v>
      </c>
      <c r="AL48" s="243"/>
      <c r="AM48" s="244" t="s">
        <v>307</v>
      </c>
      <c r="AN48" s="236" t="s">
        <v>343</v>
      </c>
      <c r="AO48" s="229"/>
      <c r="AP48" s="230" t="s">
        <v>344</v>
      </c>
      <c r="AQ48" s="235" t="s">
        <v>345</v>
      </c>
      <c r="AR48" s="220"/>
      <c r="AS48" s="221" t="s">
        <v>289</v>
      </c>
      <c r="AT48" s="222" t="s">
        <v>290</v>
      </c>
      <c r="AU48" s="229"/>
      <c r="AV48" s="230" t="s">
        <v>291</v>
      </c>
      <c r="AW48" s="224" t="s">
        <v>292</v>
      </c>
      <c r="AX48" s="225"/>
      <c r="AY48" s="227" t="s">
        <v>291</v>
      </c>
      <c r="AZ48" s="222" t="s">
        <v>292</v>
      </c>
      <c r="BA48" s="229"/>
      <c r="BB48" s="230" t="s">
        <v>291</v>
      </c>
      <c r="BC48" s="231" t="s">
        <v>294</v>
      </c>
      <c r="BD48" s="225"/>
      <c r="BE48" s="221" t="s">
        <v>294</v>
      </c>
      <c r="BF48" s="237" t="s">
        <v>279</v>
      </c>
      <c r="BG48" s="229"/>
      <c r="BH48" s="230" t="s">
        <v>346</v>
      </c>
      <c r="BI48" s="239" t="s">
        <v>279</v>
      </c>
      <c r="BJ48" s="225"/>
      <c r="BK48" s="227" t="s">
        <v>279</v>
      </c>
      <c r="BL48" s="237" t="s">
        <v>347</v>
      </c>
      <c r="BM48" s="229"/>
      <c r="BN48" s="230" t="s">
        <v>348</v>
      </c>
    </row>
    <row r="49" customFormat="false" ht="17.25" hidden="false" customHeight="true" outlineLevel="0" collapsed="false">
      <c r="B49" s="198"/>
      <c r="C49" s="245" t="s">
        <v>350</v>
      </c>
      <c r="D49" s="240" t="s">
        <v>53</v>
      </c>
      <c r="E49" s="201" t="s">
        <v>274</v>
      </c>
      <c r="F49" s="246"/>
      <c r="G49" s="251" t="s">
        <v>275</v>
      </c>
      <c r="H49" s="252"/>
      <c r="I49" s="253" t="s">
        <v>275</v>
      </c>
      <c r="J49" s="222" t="s">
        <v>55</v>
      </c>
      <c r="K49" s="254"/>
      <c r="L49" s="223" t="s">
        <v>55</v>
      </c>
      <c r="M49" s="224" t="s">
        <v>55</v>
      </c>
      <c r="N49" s="225"/>
      <c r="O49" s="226" t="s">
        <v>55</v>
      </c>
      <c r="P49" s="224" t="s">
        <v>55</v>
      </c>
      <c r="Q49" s="225"/>
      <c r="R49" s="227" t="s">
        <v>55</v>
      </c>
      <c r="S49" s="228" t="s">
        <v>277</v>
      </c>
      <c r="T49" s="229"/>
      <c r="U49" s="230" t="s">
        <v>303</v>
      </c>
      <c r="V49" s="231" t="s">
        <v>278</v>
      </c>
      <c r="W49" s="252"/>
      <c r="X49" s="227" t="s">
        <v>314</v>
      </c>
      <c r="Y49" s="237" t="s">
        <v>280</v>
      </c>
      <c r="Z49" s="255"/>
      <c r="AA49" s="234" t="s">
        <v>351</v>
      </c>
      <c r="AB49" s="256" t="s">
        <v>280</v>
      </c>
      <c r="AC49" s="252"/>
      <c r="AD49" s="253" t="s">
        <v>351</v>
      </c>
      <c r="AE49" s="257" t="s">
        <v>352</v>
      </c>
      <c r="AF49" s="255"/>
      <c r="AG49" s="258" t="s">
        <v>353</v>
      </c>
      <c r="AH49" s="259" t="s">
        <v>341</v>
      </c>
      <c r="AI49" s="252"/>
      <c r="AJ49" s="253" t="s">
        <v>342</v>
      </c>
      <c r="AK49" s="249" t="s">
        <v>329</v>
      </c>
      <c r="AL49" s="260"/>
      <c r="AM49" s="261" t="s">
        <v>354</v>
      </c>
      <c r="AN49" s="236" t="s">
        <v>355</v>
      </c>
      <c r="AO49" s="255"/>
      <c r="AP49" s="230" t="s">
        <v>356</v>
      </c>
      <c r="AQ49" s="235" t="s">
        <v>345</v>
      </c>
      <c r="AR49" s="220"/>
      <c r="AS49" s="221" t="s">
        <v>289</v>
      </c>
      <c r="AT49" s="222" t="s">
        <v>308</v>
      </c>
      <c r="AU49" s="229"/>
      <c r="AV49" s="230" t="s">
        <v>291</v>
      </c>
      <c r="AW49" s="224" t="s">
        <v>308</v>
      </c>
      <c r="AX49" s="225"/>
      <c r="AY49" s="227" t="s">
        <v>292</v>
      </c>
      <c r="AZ49" s="222" t="s">
        <v>309</v>
      </c>
      <c r="BA49" s="229"/>
      <c r="BB49" s="230" t="s">
        <v>292</v>
      </c>
      <c r="BC49" s="231" t="s">
        <v>294</v>
      </c>
      <c r="BD49" s="252"/>
      <c r="BE49" s="221" t="s">
        <v>294</v>
      </c>
      <c r="BF49" s="237" t="s">
        <v>357</v>
      </c>
      <c r="BG49" s="229"/>
      <c r="BH49" s="230" t="s">
        <v>346</v>
      </c>
      <c r="BI49" s="239" t="s">
        <v>358</v>
      </c>
      <c r="BJ49" s="225"/>
      <c r="BK49" s="227" t="s">
        <v>357</v>
      </c>
      <c r="BL49" s="237" t="s">
        <v>357</v>
      </c>
      <c r="BM49" s="229"/>
      <c r="BN49" s="230" t="s">
        <v>348</v>
      </c>
    </row>
    <row r="50" customFormat="false" ht="17.25" hidden="false" customHeight="true" outlineLevel="0" collapsed="false">
      <c r="B50" s="198"/>
      <c r="C50" s="245"/>
      <c r="D50" s="240"/>
      <c r="E50" s="201" t="s">
        <v>296</v>
      </c>
      <c r="F50" s="246"/>
      <c r="G50" s="251" t="s">
        <v>275</v>
      </c>
      <c r="H50" s="252"/>
      <c r="I50" s="253" t="s">
        <v>275</v>
      </c>
      <c r="J50" s="222" t="s">
        <v>55</v>
      </c>
      <c r="K50" s="254"/>
      <c r="L50" s="223" t="s">
        <v>55</v>
      </c>
      <c r="M50" s="224" t="s">
        <v>55</v>
      </c>
      <c r="N50" s="225"/>
      <c r="O50" s="226" t="s">
        <v>55</v>
      </c>
      <c r="P50" s="224" t="s">
        <v>55</v>
      </c>
      <c r="Q50" s="225"/>
      <c r="R50" s="227" t="s">
        <v>55</v>
      </c>
      <c r="S50" s="228" t="s">
        <v>277</v>
      </c>
      <c r="T50" s="229"/>
      <c r="U50" s="230" t="s">
        <v>303</v>
      </c>
      <c r="V50" s="231" t="s">
        <v>278</v>
      </c>
      <c r="W50" s="252"/>
      <c r="X50" s="227" t="s">
        <v>314</v>
      </c>
      <c r="Y50" s="237" t="s">
        <v>280</v>
      </c>
      <c r="Z50" s="255"/>
      <c r="AA50" s="234" t="s">
        <v>351</v>
      </c>
      <c r="AB50" s="256" t="s">
        <v>280</v>
      </c>
      <c r="AC50" s="252"/>
      <c r="AD50" s="253" t="s">
        <v>351</v>
      </c>
      <c r="AE50" s="257" t="s">
        <v>352</v>
      </c>
      <c r="AF50" s="255"/>
      <c r="AG50" s="258" t="s">
        <v>353</v>
      </c>
      <c r="AH50" s="259" t="s">
        <v>341</v>
      </c>
      <c r="AI50" s="252"/>
      <c r="AJ50" s="253" t="s">
        <v>342</v>
      </c>
      <c r="AK50" s="249" t="s">
        <v>329</v>
      </c>
      <c r="AL50" s="260"/>
      <c r="AM50" s="261" t="s">
        <v>354</v>
      </c>
      <c r="AN50" s="236" t="s">
        <v>355</v>
      </c>
      <c r="AO50" s="255"/>
      <c r="AP50" s="230" t="s">
        <v>356</v>
      </c>
      <c r="AQ50" s="235" t="s">
        <v>345</v>
      </c>
      <c r="AR50" s="220"/>
      <c r="AS50" s="221" t="s">
        <v>289</v>
      </c>
      <c r="AT50" s="222" t="s">
        <v>308</v>
      </c>
      <c r="AU50" s="229"/>
      <c r="AV50" s="230" t="s">
        <v>291</v>
      </c>
      <c r="AW50" s="224" t="s">
        <v>308</v>
      </c>
      <c r="AX50" s="225"/>
      <c r="AY50" s="227" t="s">
        <v>292</v>
      </c>
      <c r="AZ50" s="222" t="s">
        <v>309</v>
      </c>
      <c r="BA50" s="229"/>
      <c r="BB50" s="230" t="s">
        <v>292</v>
      </c>
      <c r="BC50" s="231" t="s">
        <v>294</v>
      </c>
      <c r="BD50" s="252"/>
      <c r="BE50" s="221" t="s">
        <v>294</v>
      </c>
      <c r="BF50" s="237" t="s">
        <v>357</v>
      </c>
      <c r="BG50" s="229"/>
      <c r="BH50" s="230" t="s">
        <v>346</v>
      </c>
      <c r="BI50" s="239" t="s">
        <v>358</v>
      </c>
      <c r="BJ50" s="225"/>
      <c r="BK50" s="227" t="s">
        <v>357</v>
      </c>
      <c r="BL50" s="237" t="s">
        <v>357</v>
      </c>
      <c r="BM50" s="229"/>
      <c r="BN50" s="230" t="s">
        <v>348</v>
      </c>
    </row>
    <row r="51" customFormat="false" ht="17.25" hidden="false" customHeight="true" outlineLevel="0" collapsed="false">
      <c r="B51" s="198"/>
      <c r="C51" s="245"/>
      <c r="D51" s="240"/>
      <c r="E51" s="201" t="s">
        <v>297</v>
      </c>
      <c r="F51" s="246"/>
      <c r="G51" s="251" t="s">
        <v>275</v>
      </c>
      <c r="H51" s="252"/>
      <c r="I51" s="253" t="s">
        <v>275</v>
      </c>
      <c r="J51" s="222" t="s">
        <v>55</v>
      </c>
      <c r="K51" s="254"/>
      <c r="L51" s="223" t="s">
        <v>55</v>
      </c>
      <c r="M51" s="224" t="s">
        <v>55</v>
      </c>
      <c r="N51" s="225"/>
      <c r="O51" s="226" t="s">
        <v>55</v>
      </c>
      <c r="P51" s="224" t="s">
        <v>55</v>
      </c>
      <c r="Q51" s="225"/>
      <c r="R51" s="227" t="s">
        <v>55</v>
      </c>
      <c r="S51" s="228" t="s">
        <v>277</v>
      </c>
      <c r="T51" s="229"/>
      <c r="U51" s="230" t="s">
        <v>303</v>
      </c>
      <c r="V51" s="231" t="s">
        <v>278</v>
      </c>
      <c r="W51" s="252"/>
      <c r="X51" s="227" t="s">
        <v>314</v>
      </c>
      <c r="Y51" s="237" t="s">
        <v>280</v>
      </c>
      <c r="Z51" s="255"/>
      <c r="AA51" s="234" t="s">
        <v>351</v>
      </c>
      <c r="AB51" s="256" t="s">
        <v>280</v>
      </c>
      <c r="AC51" s="252"/>
      <c r="AD51" s="253" t="s">
        <v>351</v>
      </c>
      <c r="AE51" s="257" t="s">
        <v>352</v>
      </c>
      <c r="AF51" s="255"/>
      <c r="AG51" s="258" t="s">
        <v>353</v>
      </c>
      <c r="AH51" s="259" t="s">
        <v>341</v>
      </c>
      <c r="AI51" s="252"/>
      <c r="AJ51" s="253" t="s">
        <v>342</v>
      </c>
      <c r="AK51" s="249" t="s">
        <v>329</v>
      </c>
      <c r="AL51" s="260"/>
      <c r="AM51" s="261" t="s">
        <v>354</v>
      </c>
      <c r="AN51" s="236" t="s">
        <v>355</v>
      </c>
      <c r="AO51" s="255"/>
      <c r="AP51" s="230" t="s">
        <v>356</v>
      </c>
      <c r="AQ51" s="235" t="s">
        <v>345</v>
      </c>
      <c r="AR51" s="220"/>
      <c r="AS51" s="221" t="s">
        <v>289</v>
      </c>
      <c r="AT51" s="222" t="s">
        <v>308</v>
      </c>
      <c r="AU51" s="229"/>
      <c r="AV51" s="230" t="s">
        <v>291</v>
      </c>
      <c r="AW51" s="224" t="s">
        <v>308</v>
      </c>
      <c r="AX51" s="225"/>
      <c r="AY51" s="227" t="s">
        <v>292</v>
      </c>
      <c r="AZ51" s="222" t="s">
        <v>309</v>
      </c>
      <c r="BA51" s="229"/>
      <c r="BB51" s="230" t="s">
        <v>292</v>
      </c>
      <c r="BC51" s="231" t="s">
        <v>294</v>
      </c>
      <c r="BD51" s="252"/>
      <c r="BE51" s="221" t="s">
        <v>294</v>
      </c>
      <c r="BF51" s="237" t="s">
        <v>357</v>
      </c>
      <c r="BG51" s="229"/>
      <c r="BH51" s="230" t="s">
        <v>346</v>
      </c>
      <c r="BI51" s="239" t="s">
        <v>358</v>
      </c>
      <c r="BJ51" s="225"/>
      <c r="BK51" s="227" t="s">
        <v>357</v>
      </c>
      <c r="BL51" s="237" t="s">
        <v>357</v>
      </c>
      <c r="BM51" s="229"/>
      <c r="BN51" s="230" t="s">
        <v>348</v>
      </c>
    </row>
    <row r="52" customFormat="false" ht="17.25" hidden="false" customHeight="true" outlineLevel="0" collapsed="false">
      <c r="B52" s="198"/>
      <c r="C52" s="245"/>
      <c r="D52" s="240"/>
      <c r="E52" s="201" t="s">
        <v>298</v>
      </c>
      <c r="F52" s="246"/>
      <c r="G52" s="251" t="s">
        <v>275</v>
      </c>
      <c r="H52" s="252"/>
      <c r="I52" s="253" t="s">
        <v>275</v>
      </c>
      <c r="J52" s="222" t="s">
        <v>55</v>
      </c>
      <c r="K52" s="254"/>
      <c r="L52" s="223" t="s">
        <v>55</v>
      </c>
      <c r="M52" s="224" t="s">
        <v>55</v>
      </c>
      <c r="N52" s="225"/>
      <c r="O52" s="226" t="s">
        <v>55</v>
      </c>
      <c r="P52" s="224" t="s">
        <v>55</v>
      </c>
      <c r="Q52" s="225"/>
      <c r="R52" s="227" t="s">
        <v>55</v>
      </c>
      <c r="S52" s="228" t="s">
        <v>277</v>
      </c>
      <c r="T52" s="229"/>
      <c r="U52" s="230" t="s">
        <v>303</v>
      </c>
      <c r="V52" s="231" t="s">
        <v>278</v>
      </c>
      <c r="W52" s="252"/>
      <c r="X52" s="227" t="s">
        <v>314</v>
      </c>
      <c r="Y52" s="237" t="s">
        <v>280</v>
      </c>
      <c r="Z52" s="255"/>
      <c r="AA52" s="234" t="s">
        <v>351</v>
      </c>
      <c r="AB52" s="256" t="s">
        <v>280</v>
      </c>
      <c r="AC52" s="252"/>
      <c r="AD52" s="253" t="s">
        <v>351</v>
      </c>
      <c r="AE52" s="257" t="s">
        <v>352</v>
      </c>
      <c r="AF52" s="255"/>
      <c r="AG52" s="258" t="s">
        <v>353</v>
      </c>
      <c r="AH52" s="259" t="s">
        <v>341</v>
      </c>
      <c r="AI52" s="252"/>
      <c r="AJ52" s="253" t="s">
        <v>342</v>
      </c>
      <c r="AK52" s="249" t="s">
        <v>329</v>
      </c>
      <c r="AL52" s="260"/>
      <c r="AM52" s="261" t="s">
        <v>354</v>
      </c>
      <c r="AN52" s="236" t="s">
        <v>355</v>
      </c>
      <c r="AO52" s="255"/>
      <c r="AP52" s="230" t="s">
        <v>356</v>
      </c>
      <c r="AQ52" s="235" t="s">
        <v>345</v>
      </c>
      <c r="AR52" s="220"/>
      <c r="AS52" s="221" t="s">
        <v>289</v>
      </c>
      <c r="AT52" s="222" t="s">
        <v>308</v>
      </c>
      <c r="AU52" s="229"/>
      <c r="AV52" s="230" t="s">
        <v>291</v>
      </c>
      <c r="AW52" s="224" t="s">
        <v>308</v>
      </c>
      <c r="AX52" s="225"/>
      <c r="AY52" s="227" t="s">
        <v>292</v>
      </c>
      <c r="AZ52" s="222" t="s">
        <v>309</v>
      </c>
      <c r="BA52" s="229"/>
      <c r="BB52" s="230" t="s">
        <v>292</v>
      </c>
      <c r="BC52" s="231" t="s">
        <v>294</v>
      </c>
      <c r="BD52" s="252"/>
      <c r="BE52" s="221" t="s">
        <v>294</v>
      </c>
      <c r="BF52" s="237" t="s">
        <v>357</v>
      </c>
      <c r="BG52" s="229"/>
      <c r="BH52" s="230" t="s">
        <v>346</v>
      </c>
      <c r="BI52" s="239" t="s">
        <v>358</v>
      </c>
      <c r="BJ52" s="225"/>
      <c r="BK52" s="227" t="s">
        <v>357</v>
      </c>
      <c r="BL52" s="237" t="s">
        <v>357</v>
      </c>
      <c r="BM52" s="229"/>
      <c r="BN52" s="230" t="s">
        <v>348</v>
      </c>
    </row>
    <row r="53" customFormat="false" ht="17.25" hidden="false" customHeight="true" outlineLevel="0" collapsed="false">
      <c r="B53" s="198"/>
      <c r="C53" s="245"/>
      <c r="D53" s="240" t="s">
        <v>59</v>
      </c>
      <c r="E53" s="201" t="s">
        <v>274</v>
      </c>
      <c r="F53" s="246"/>
      <c r="G53" s="251" t="s">
        <v>275</v>
      </c>
      <c r="H53" s="252"/>
      <c r="I53" s="253" t="s">
        <v>275</v>
      </c>
      <c r="J53" s="222" t="s">
        <v>55</v>
      </c>
      <c r="K53" s="254"/>
      <c r="L53" s="223" t="s">
        <v>55</v>
      </c>
      <c r="M53" s="224" t="s">
        <v>55</v>
      </c>
      <c r="N53" s="225"/>
      <c r="O53" s="226" t="s">
        <v>55</v>
      </c>
      <c r="P53" s="224" t="s">
        <v>55</v>
      </c>
      <c r="Q53" s="225"/>
      <c r="R53" s="227" t="s">
        <v>55</v>
      </c>
      <c r="S53" s="228" t="s">
        <v>277</v>
      </c>
      <c r="T53" s="229"/>
      <c r="U53" s="230" t="s">
        <v>303</v>
      </c>
      <c r="V53" s="231" t="s">
        <v>278</v>
      </c>
      <c r="W53" s="252"/>
      <c r="X53" s="227" t="s">
        <v>314</v>
      </c>
      <c r="Y53" s="237" t="s">
        <v>280</v>
      </c>
      <c r="Z53" s="255"/>
      <c r="AA53" s="234" t="s">
        <v>351</v>
      </c>
      <c r="AB53" s="256" t="s">
        <v>280</v>
      </c>
      <c r="AC53" s="252"/>
      <c r="AD53" s="253" t="s">
        <v>351</v>
      </c>
      <c r="AE53" s="257" t="s">
        <v>352</v>
      </c>
      <c r="AF53" s="255"/>
      <c r="AG53" s="258" t="s">
        <v>353</v>
      </c>
      <c r="AH53" s="259" t="s">
        <v>341</v>
      </c>
      <c r="AI53" s="252"/>
      <c r="AJ53" s="253" t="s">
        <v>342</v>
      </c>
      <c r="AK53" s="249" t="s">
        <v>329</v>
      </c>
      <c r="AL53" s="260"/>
      <c r="AM53" s="261" t="s">
        <v>354</v>
      </c>
      <c r="AN53" s="236" t="s">
        <v>355</v>
      </c>
      <c r="AO53" s="255"/>
      <c r="AP53" s="230" t="s">
        <v>356</v>
      </c>
      <c r="AQ53" s="235" t="s">
        <v>345</v>
      </c>
      <c r="AR53" s="220"/>
      <c r="AS53" s="221" t="s">
        <v>289</v>
      </c>
      <c r="AT53" s="222" t="s">
        <v>308</v>
      </c>
      <c r="AU53" s="229"/>
      <c r="AV53" s="230" t="s">
        <v>291</v>
      </c>
      <c r="AW53" s="224" t="s">
        <v>308</v>
      </c>
      <c r="AX53" s="225"/>
      <c r="AY53" s="227" t="s">
        <v>292</v>
      </c>
      <c r="AZ53" s="222" t="s">
        <v>309</v>
      </c>
      <c r="BA53" s="229"/>
      <c r="BB53" s="230" t="s">
        <v>292</v>
      </c>
      <c r="BC53" s="231" t="s">
        <v>294</v>
      </c>
      <c r="BD53" s="252"/>
      <c r="BE53" s="221" t="s">
        <v>294</v>
      </c>
      <c r="BF53" s="237" t="s">
        <v>357</v>
      </c>
      <c r="BG53" s="229"/>
      <c r="BH53" s="230" t="s">
        <v>346</v>
      </c>
      <c r="BI53" s="239" t="s">
        <v>358</v>
      </c>
      <c r="BJ53" s="225"/>
      <c r="BK53" s="227" t="s">
        <v>357</v>
      </c>
      <c r="BL53" s="237" t="s">
        <v>357</v>
      </c>
      <c r="BM53" s="229"/>
      <c r="BN53" s="230" t="s">
        <v>348</v>
      </c>
    </row>
    <row r="54" customFormat="false" ht="17.25" hidden="false" customHeight="true" outlineLevel="0" collapsed="false">
      <c r="B54" s="198"/>
      <c r="C54" s="245"/>
      <c r="D54" s="240"/>
      <c r="E54" s="201" t="s">
        <v>296</v>
      </c>
      <c r="F54" s="246"/>
      <c r="G54" s="251" t="s">
        <v>275</v>
      </c>
      <c r="H54" s="252"/>
      <c r="I54" s="253" t="s">
        <v>275</v>
      </c>
      <c r="J54" s="222" t="s">
        <v>55</v>
      </c>
      <c r="K54" s="254"/>
      <c r="L54" s="223" t="s">
        <v>55</v>
      </c>
      <c r="M54" s="224" t="s">
        <v>55</v>
      </c>
      <c r="N54" s="225"/>
      <c r="O54" s="226" t="s">
        <v>55</v>
      </c>
      <c r="P54" s="224" t="s">
        <v>55</v>
      </c>
      <c r="Q54" s="225"/>
      <c r="R54" s="227" t="s">
        <v>55</v>
      </c>
      <c r="S54" s="228" t="s">
        <v>277</v>
      </c>
      <c r="T54" s="229"/>
      <c r="U54" s="230" t="s">
        <v>303</v>
      </c>
      <c r="V54" s="231" t="s">
        <v>278</v>
      </c>
      <c r="W54" s="252"/>
      <c r="X54" s="227" t="s">
        <v>314</v>
      </c>
      <c r="Y54" s="237" t="s">
        <v>280</v>
      </c>
      <c r="Z54" s="255"/>
      <c r="AA54" s="234" t="s">
        <v>351</v>
      </c>
      <c r="AB54" s="256" t="s">
        <v>280</v>
      </c>
      <c r="AC54" s="252"/>
      <c r="AD54" s="253" t="s">
        <v>351</v>
      </c>
      <c r="AE54" s="257" t="s">
        <v>352</v>
      </c>
      <c r="AF54" s="255"/>
      <c r="AG54" s="258" t="s">
        <v>353</v>
      </c>
      <c r="AH54" s="259" t="s">
        <v>341</v>
      </c>
      <c r="AI54" s="252"/>
      <c r="AJ54" s="253" t="s">
        <v>342</v>
      </c>
      <c r="AK54" s="249" t="s">
        <v>329</v>
      </c>
      <c r="AL54" s="260"/>
      <c r="AM54" s="261" t="s">
        <v>354</v>
      </c>
      <c r="AN54" s="236" t="s">
        <v>355</v>
      </c>
      <c r="AO54" s="255"/>
      <c r="AP54" s="230" t="s">
        <v>356</v>
      </c>
      <c r="AQ54" s="235" t="s">
        <v>345</v>
      </c>
      <c r="AR54" s="220"/>
      <c r="AS54" s="221" t="s">
        <v>289</v>
      </c>
      <c r="AT54" s="222" t="s">
        <v>308</v>
      </c>
      <c r="AU54" s="229"/>
      <c r="AV54" s="230" t="s">
        <v>291</v>
      </c>
      <c r="AW54" s="224" t="s">
        <v>308</v>
      </c>
      <c r="AX54" s="225"/>
      <c r="AY54" s="227" t="s">
        <v>292</v>
      </c>
      <c r="AZ54" s="222" t="s">
        <v>309</v>
      </c>
      <c r="BA54" s="229"/>
      <c r="BB54" s="230" t="s">
        <v>292</v>
      </c>
      <c r="BC54" s="231" t="s">
        <v>294</v>
      </c>
      <c r="BD54" s="252"/>
      <c r="BE54" s="221" t="s">
        <v>294</v>
      </c>
      <c r="BF54" s="237" t="s">
        <v>357</v>
      </c>
      <c r="BG54" s="229"/>
      <c r="BH54" s="230" t="s">
        <v>346</v>
      </c>
      <c r="BI54" s="239" t="s">
        <v>358</v>
      </c>
      <c r="BJ54" s="225"/>
      <c r="BK54" s="227" t="s">
        <v>357</v>
      </c>
      <c r="BL54" s="237" t="s">
        <v>357</v>
      </c>
      <c r="BM54" s="229"/>
      <c r="BN54" s="230" t="s">
        <v>348</v>
      </c>
    </row>
    <row r="55" customFormat="false" ht="17.25" hidden="false" customHeight="true" outlineLevel="0" collapsed="false">
      <c r="B55" s="198"/>
      <c r="C55" s="245"/>
      <c r="D55" s="240"/>
      <c r="E55" s="201" t="s">
        <v>297</v>
      </c>
      <c r="F55" s="246"/>
      <c r="G55" s="251" t="s">
        <v>275</v>
      </c>
      <c r="H55" s="252"/>
      <c r="I55" s="253" t="s">
        <v>275</v>
      </c>
      <c r="J55" s="222" t="s">
        <v>55</v>
      </c>
      <c r="K55" s="254"/>
      <c r="L55" s="223" t="s">
        <v>55</v>
      </c>
      <c r="M55" s="224" t="s">
        <v>55</v>
      </c>
      <c r="N55" s="225"/>
      <c r="O55" s="226" t="s">
        <v>55</v>
      </c>
      <c r="P55" s="224" t="s">
        <v>55</v>
      </c>
      <c r="Q55" s="225"/>
      <c r="R55" s="227" t="s">
        <v>55</v>
      </c>
      <c r="S55" s="228" t="s">
        <v>277</v>
      </c>
      <c r="T55" s="229"/>
      <c r="U55" s="230" t="s">
        <v>303</v>
      </c>
      <c r="V55" s="231" t="s">
        <v>278</v>
      </c>
      <c r="W55" s="252"/>
      <c r="X55" s="227" t="s">
        <v>314</v>
      </c>
      <c r="Y55" s="237" t="s">
        <v>280</v>
      </c>
      <c r="Z55" s="255"/>
      <c r="AA55" s="234" t="s">
        <v>351</v>
      </c>
      <c r="AB55" s="256" t="s">
        <v>280</v>
      </c>
      <c r="AC55" s="252"/>
      <c r="AD55" s="253" t="s">
        <v>351</v>
      </c>
      <c r="AE55" s="257" t="s">
        <v>352</v>
      </c>
      <c r="AF55" s="255"/>
      <c r="AG55" s="258" t="s">
        <v>353</v>
      </c>
      <c r="AH55" s="259" t="s">
        <v>341</v>
      </c>
      <c r="AI55" s="252"/>
      <c r="AJ55" s="253" t="s">
        <v>342</v>
      </c>
      <c r="AK55" s="249" t="s">
        <v>329</v>
      </c>
      <c r="AL55" s="260"/>
      <c r="AM55" s="261" t="s">
        <v>354</v>
      </c>
      <c r="AN55" s="236" t="s">
        <v>355</v>
      </c>
      <c r="AO55" s="255"/>
      <c r="AP55" s="230" t="s">
        <v>356</v>
      </c>
      <c r="AQ55" s="235" t="s">
        <v>345</v>
      </c>
      <c r="AR55" s="220"/>
      <c r="AS55" s="221" t="s">
        <v>289</v>
      </c>
      <c r="AT55" s="222" t="s">
        <v>308</v>
      </c>
      <c r="AU55" s="229"/>
      <c r="AV55" s="230" t="s">
        <v>291</v>
      </c>
      <c r="AW55" s="224" t="s">
        <v>308</v>
      </c>
      <c r="AX55" s="225"/>
      <c r="AY55" s="227" t="s">
        <v>292</v>
      </c>
      <c r="AZ55" s="222" t="s">
        <v>309</v>
      </c>
      <c r="BA55" s="229"/>
      <c r="BB55" s="230" t="s">
        <v>292</v>
      </c>
      <c r="BC55" s="231" t="s">
        <v>294</v>
      </c>
      <c r="BD55" s="252"/>
      <c r="BE55" s="221" t="s">
        <v>294</v>
      </c>
      <c r="BF55" s="237" t="s">
        <v>357</v>
      </c>
      <c r="BG55" s="229"/>
      <c r="BH55" s="230" t="s">
        <v>346</v>
      </c>
      <c r="BI55" s="239" t="s">
        <v>358</v>
      </c>
      <c r="BJ55" s="225"/>
      <c r="BK55" s="227" t="s">
        <v>357</v>
      </c>
      <c r="BL55" s="237" t="s">
        <v>357</v>
      </c>
      <c r="BM55" s="229"/>
      <c r="BN55" s="230" t="s">
        <v>348</v>
      </c>
    </row>
    <row r="56" customFormat="false" ht="17.25" hidden="false" customHeight="true" outlineLevel="0" collapsed="false">
      <c r="B56" s="198"/>
      <c r="C56" s="245"/>
      <c r="D56" s="240"/>
      <c r="E56" s="201" t="s">
        <v>298</v>
      </c>
      <c r="F56" s="246"/>
      <c r="G56" s="251" t="s">
        <v>275</v>
      </c>
      <c r="H56" s="252"/>
      <c r="I56" s="253" t="s">
        <v>275</v>
      </c>
      <c r="J56" s="222" t="s">
        <v>55</v>
      </c>
      <c r="K56" s="254"/>
      <c r="L56" s="223" t="s">
        <v>55</v>
      </c>
      <c r="M56" s="224" t="s">
        <v>55</v>
      </c>
      <c r="N56" s="225"/>
      <c r="O56" s="226" t="s">
        <v>55</v>
      </c>
      <c r="P56" s="224" t="s">
        <v>55</v>
      </c>
      <c r="Q56" s="225"/>
      <c r="R56" s="227" t="s">
        <v>55</v>
      </c>
      <c r="S56" s="228" t="s">
        <v>277</v>
      </c>
      <c r="T56" s="229"/>
      <c r="U56" s="230" t="s">
        <v>303</v>
      </c>
      <c r="V56" s="231" t="s">
        <v>278</v>
      </c>
      <c r="W56" s="252"/>
      <c r="X56" s="227" t="s">
        <v>314</v>
      </c>
      <c r="Y56" s="237" t="s">
        <v>280</v>
      </c>
      <c r="Z56" s="255"/>
      <c r="AA56" s="234" t="s">
        <v>351</v>
      </c>
      <c r="AB56" s="256" t="s">
        <v>280</v>
      </c>
      <c r="AC56" s="252"/>
      <c r="AD56" s="253" t="s">
        <v>351</v>
      </c>
      <c r="AE56" s="257" t="s">
        <v>352</v>
      </c>
      <c r="AF56" s="255"/>
      <c r="AG56" s="258" t="s">
        <v>353</v>
      </c>
      <c r="AH56" s="259" t="s">
        <v>341</v>
      </c>
      <c r="AI56" s="252"/>
      <c r="AJ56" s="253" t="s">
        <v>342</v>
      </c>
      <c r="AK56" s="249" t="s">
        <v>329</v>
      </c>
      <c r="AL56" s="260"/>
      <c r="AM56" s="261" t="s">
        <v>354</v>
      </c>
      <c r="AN56" s="236" t="s">
        <v>355</v>
      </c>
      <c r="AO56" s="255"/>
      <c r="AP56" s="230" t="s">
        <v>356</v>
      </c>
      <c r="AQ56" s="235" t="s">
        <v>345</v>
      </c>
      <c r="AR56" s="220"/>
      <c r="AS56" s="221" t="s">
        <v>289</v>
      </c>
      <c r="AT56" s="222" t="s">
        <v>308</v>
      </c>
      <c r="AU56" s="229"/>
      <c r="AV56" s="230" t="s">
        <v>291</v>
      </c>
      <c r="AW56" s="224" t="s">
        <v>308</v>
      </c>
      <c r="AX56" s="225"/>
      <c r="AY56" s="227" t="s">
        <v>292</v>
      </c>
      <c r="AZ56" s="222" t="s">
        <v>309</v>
      </c>
      <c r="BA56" s="229"/>
      <c r="BB56" s="230" t="s">
        <v>292</v>
      </c>
      <c r="BC56" s="231" t="s">
        <v>294</v>
      </c>
      <c r="BD56" s="252"/>
      <c r="BE56" s="221" t="s">
        <v>294</v>
      </c>
      <c r="BF56" s="237" t="s">
        <v>357</v>
      </c>
      <c r="BG56" s="229"/>
      <c r="BH56" s="230" t="s">
        <v>346</v>
      </c>
      <c r="BI56" s="239" t="s">
        <v>358</v>
      </c>
      <c r="BJ56" s="225"/>
      <c r="BK56" s="227" t="s">
        <v>357</v>
      </c>
      <c r="BL56" s="237" t="s">
        <v>357</v>
      </c>
      <c r="BM56" s="229"/>
      <c r="BN56" s="230" t="s">
        <v>348</v>
      </c>
    </row>
    <row r="57" customFormat="false" ht="17.25" hidden="false" customHeight="true" outlineLevel="0" collapsed="false">
      <c r="B57" s="198"/>
      <c r="C57" s="245"/>
      <c r="D57" s="240" t="s">
        <v>60</v>
      </c>
      <c r="E57" s="201" t="s">
        <v>274</v>
      </c>
      <c r="F57" s="246"/>
      <c r="G57" s="251" t="s">
        <v>275</v>
      </c>
      <c r="H57" s="252"/>
      <c r="I57" s="253" t="s">
        <v>275</v>
      </c>
      <c r="J57" s="222" t="s">
        <v>55</v>
      </c>
      <c r="K57" s="254"/>
      <c r="L57" s="223" t="s">
        <v>55</v>
      </c>
      <c r="M57" s="224" t="s">
        <v>55</v>
      </c>
      <c r="N57" s="225"/>
      <c r="O57" s="226" t="s">
        <v>55</v>
      </c>
      <c r="P57" s="224" t="s">
        <v>55</v>
      </c>
      <c r="Q57" s="225"/>
      <c r="R57" s="227" t="s">
        <v>55</v>
      </c>
      <c r="S57" s="228" t="s">
        <v>277</v>
      </c>
      <c r="T57" s="229"/>
      <c r="U57" s="230" t="s">
        <v>303</v>
      </c>
      <c r="V57" s="231" t="s">
        <v>278</v>
      </c>
      <c r="W57" s="252"/>
      <c r="X57" s="227" t="s">
        <v>314</v>
      </c>
      <c r="Y57" s="237" t="s">
        <v>280</v>
      </c>
      <c r="Z57" s="255"/>
      <c r="AA57" s="234" t="s">
        <v>351</v>
      </c>
      <c r="AB57" s="256" t="s">
        <v>280</v>
      </c>
      <c r="AC57" s="252"/>
      <c r="AD57" s="253" t="s">
        <v>351</v>
      </c>
      <c r="AE57" s="257" t="s">
        <v>352</v>
      </c>
      <c r="AF57" s="255"/>
      <c r="AG57" s="258" t="s">
        <v>353</v>
      </c>
      <c r="AH57" s="259" t="s">
        <v>349</v>
      </c>
      <c r="AI57" s="252"/>
      <c r="AJ57" s="253" t="s">
        <v>342</v>
      </c>
      <c r="AK57" s="249" t="s">
        <v>329</v>
      </c>
      <c r="AL57" s="260"/>
      <c r="AM57" s="261" t="s">
        <v>354</v>
      </c>
      <c r="AN57" s="236" t="s">
        <v>355</v>
      </c>
      <c r="AO57" s="255"/>
      <c r="AP57" s="230" t="s">
        <v>356</v>
      </c>
      <c r="AQ57" s="235" t="s">
        <v>345</v>
      </c>
      <c r="AR57" s="220"/>
      <c r="AS57" s="221" t="s">
        <v>289</v>
      </c>
      <c r="AT57" s="222" t="s">
        <v>308</v>
      </c>
      <c r="AU57" s="229"/>
      <c r="AV57" s="230" t="s">
        <v>291</v>
      </c>
      <c r="AW57" s="224" t="s">
        <v>308</v>
      </c>
      <c r="AX57" s="225"/>
      <c r="AY57" s="227" t="s">
        <v>292</v>
      </c>
      <c r="AZ57" s="222" t="s">
        <v>309</v>
      </c>
      <c r="BA57" s="229"/>
      <c r="BB57" s="230" t="s">
        <v>292</v>
      </c>
      <c r="BC57" s="231" t="s">
        <v>294</v>
      </c>
      <c r="BD57" s="252"/>
      <c r="BE57" s="221" t="s">
        <v>294</v>
      </c>
      <c r="BF57" s="237" t="s">
        <v>357</v>
      </c>
      <c r="BG57" s="229"/>
      <c r="BH57" s="230" t="s">
        <v>346</v>
      </c>
      <c r="BI57" s="239" t="s">
        <v>358</v>
      </c>
      <c r="BJ57" s="225"/>
      <c r="BK57" s="227" t="s">
        <v>357</v>
      </c>
      <c r="BL57" s="237" t="s">
        <v>357</v>
      </c>
      <c r="BM57" s="229"/>
      <c r="BN57" s="230" t="s">
        <v>348</v>
      </c>
    </row>
    <row r="58" customFormat="false" ht="17.25" hidden="false" customHeight="true" outlineLevel="0" collapsed="false">
      <c r="B58" s="198"/>
      <c r="C58" s="245"/>
      <c r="D58" s="240"/>
      <c r="E58" s="201" t="s">
        <v>296</v>
      </c>
      <c r="F58" s="246"/>
      <c r="G58" s="251" t="s">
        <v>275</v>
      </c>
      <c r="H58" s="252"/>
      <c r="I58" s="253" t="s">
        <v>275</v>
      </c>
      <c r="J58" s="222" t="s">
        <v>55</v>
      </c>
      <c r="K58" s="254"/>
      <c r="L58" s="223" t="s">
        <v>55</v>
      </c>
      <c r="M58" s="224" t="s">
        <v>55</v>
      </c>
      <c r="N58" s="225"/>
      <c r="O58" s="226" t="s">
        <v>55</v>
      </c>
      <c r="P58" s="224" t="s">
        <v>55</v>
      </c>
      <c r="Q58" s="225"/>
      <c r="R58" s="227" t="s">
        <v>55</v>
      </c>
      <c r="S58" s="228" t="s">
        <v>277</v>
      </c>
      <c r="T58" s="229"/>
      <c r="U58" s="230" t="s">
        <v>303</v>
      </c>
      <c r="V58" s="231" t="s">
        <v>278</v>
      </c>
      <c r="W58" s="252"/>
      <c r="X58" s="227" t="s">
        <v>314</v>
      </c>
      <c r="Y58" s="237" t="s">
        <v>280</v>
      </c>
      <c r="Z58" s="255"/>
      <c r="AA58" s="234" t="s">
        <v>351</v>
      </c>
      <c r="AB58" s="256" t="s">
        <v>280</v>
      </c>
      <c r="AC58" s="252"/>
      <c r="AD58" s="253" t="s">
        <v>351</v>
      </c>
      <c r="AE58" s="257" t="s">
        <v>352</v>
      </c>
      <c r="AF58" s="255"/>
      <c r="AG58" s="258" t="s">
        <v>353</v>
      </c>
      <c r="AH58" s="259" t="s">
        <v>349</v>
      </c>
      <c r="AI58" s="252"/>
      <c r="AJ58" s="253" t="s">
        <v>342</v>
      </c>
      <c r="AK58" s="249" t="s">
        <v>329</v>
      </c>
      <c r="AL58" s="260"/>
      <c r="AM58" s="261" t="s">
        <v>354</v>
      </c>
      <c r="AN58" s="236" t="s">
        <v>355</v>
      </c>
      <c r="AO58" s="255"/>
      <c r="AP58" s="230" t="s">
        <v>356</v>
      </c>
      <c r="AQ58" s="235" t="s">
        <v>345</v>
      </c>
      <c r="AR58" s="220"/>
      <c r="AS58" s="221" t="s">
        <v>289</v>
      </c>
      <c r="AT58" s="222" t="s">
        <v>308</v>
      </c>
      <c r="AU58" s="229"/>
      <c r="AV58" s="230" t="s">
        <v>291</v>
      </c>
      <c r="AW58" s="224" t="s">
        <v>308</v>
      </c>
      <c r="AX58" s="225"/>
      <c r="AY58" s="227" t="s">
        <v>292</v>
      </c>
      <c r="AZ58" s="222" t="s">
        <v>309</v>
      </c>
      <c r="BA58" s="229"/>
      <c r="BB58" s="230" t="s">
        <v>292</v>
      </c>
      <c r="BC58" s="231" t="s">
        <v>294</v>
      </c>
      <c r="BD58" s="252"/>
      <c r="BE58" s="221" t="s">
        <v>294</v>
      </c>
      <c r="BF58" s="237" t="s">
        <v>357</v>
      </c>
      <c r="BG58" s="229"/>
      <c r="BH58" s="230" t="s">
        <v>346</v>
      </c>
      <c r="BI58" s="239" t="s">
        <v>358</v>
      </c>
      <c r="BJ58" s="225"/>
      <c r="BK58" s="227" t="s">
        <v>357</v>
      </c>
      <c r="BL58" s="237" t="s">
        <v>357</v>
      </c>
      <c r="BM58" s="229"/>
      <c r="BN58" s="230" t="s">
        <v>348</v>
      </c>
    </row>
    <row r="59" customFormat="false" ht="17.25" hidden="false" customHeight="true" outlineLevel="0" collapsed="false">
      <c r="B59" s="198"/>
      <c r="C59" s="245"/>
      <c r="D59" s="240"/>
      <c r="E59" s="201" t="s">
        <v>297</v>
      </c>
      <c r="F59" s="246"/>
      <c r="G59" s="251" t="s">
        <v>275</v>
      </c>
      <c r="H59" s="252"/>
      <c r="I59" s="253" t="s">
        <v>275</v>
      </c>
      <c r="J59" s="222" t="s">
        <v>55</v>
      </c>
      <c r="K59" s="254"/>
      <c r="L59" s="223" t="s">
        <v>55</v>
      </c>
      <c r="M59" s="224" t="s">
        <v>55</v>
      </c>
      <c r="N59" s="225"/>
      <c r="O59" s="226" t="s">
        <v>55</v>
      </c>
      <c r="P59" s="224" t="s">
        <v>55</v>
      </c>
      <c r="Q59" s="225"/>
      <c r="R59" s="227" t="s">
        <v>55</v>
      </c>
      <c r="S59" s="228" t="s">
        <v>277</v>
      </c>
      <c r="T59" s="229"/>
      <c r="U59" s="230" t="s">
        <v>303</v>
      </c>
      <c r="V59" s="231" t="s">
        <v>278</v>
      </c>
      <c r="W59" s="252"/>
      <c r="X59" s="227" t="s">
        <v>314</v>
      </c>
      <c r="Y59" s="237" t="s">
        <v>280</v>
      </c>
      <c r="Z59" s="255"/>
      <c r="AA59" s="234" t="s">
        <v>351</v>
      </c>
      <c r="AB59" s="256" t="s">
        <v>280</v>
      </c>
      <c r="AC59" s="252"/>
      <c r="AD59" s="253" t="s">
        <v>351</v>
      </c>
      <c r="AE59" s="257" t="s">
        <v>352</v>
      </c>
      <c r="AF59" s="255"/>
      <c r="AG59" s="258" t="s">
        <v>353</v>
      </c>
      <c r="AH59" s="259" t="s">
        <v>349</v>
      </c>
      <c r="AI59" s="252"/>
      <c r="AJ59" s="253" t="s">
        <v>342</v>
      </c>
      <c r="AK59" s="249" t="s">
        <v>329</v>
      </c>
      <c r="AL59" s="260"/>
      <c r="AM59" s="261" t="s">
        <v>354</v>
      </c>
      <c r="AN59" s="236" t="s">
        <v>355</v>
      </c>
      <c r="AO59" s="255"/>
      <c r="AP59" s="230" t="s">
        <v>356</v>
      </c>
      <c r="AQ59" s="235" t="s">
        <v>345</v>
      </c>
      <c r="AR59" s="220"/>
      <c r="AS59" s="221" t="s">
        <v>289</v>
      </c>
      <c r="AT59" s="222" t="s">
        <v>308</v>
      </c>
      <c r="AU59" s="229"/>
      <c r="AV59" s="230" t="s">
        <v>291</v>
      </c>
      <c r="AW59" s="224" t="s">
        <v>308</v>
      </c>
      <c r="AX59" s="225"/>
      <c r="AY59" s="227" t="s">
        <v>292</v>
      </c>
      <c r="AZ59" s="222" t="s">
        <v>309</v>
      </c>
      <c r="BA59" s="229"/>
      <c r="BB59" s="230" t="s">
        <v>292</v>
      </c>
      <c r="BC59" s="231" t="s">
        <v>294</v>
      </c>
      <c r="BD59" s="252"/>
      <c r="BE59" s="221" t="s">
        <v>294</v>
      </c>
      <c r="BF59" s="237" t="s">
        <v>357</v>
      </c>
      <c r="BG59" s="229"/>
      <c r="BH59" s="230" t="s">
        <v>346</v>
      </c>
      <c r="BI59" s="239" t="s">
        <v>358</v>
      </c>
      <c r="BJ59" s="225"/>
      <c r="BK59" s="227" t="s">
        <v>357</v>
      </c>
      <c r="BL59" s="237" t="s">
        <v>357</v>
      </c>
      <c r="BM59" s="229"/>
      <c r="BN59" s="230" t="s">
        <v>348</v>
      </c>
    </row>
    <row r="60" customFormat="false" ht="17.25" hidden="false" customHeight="true" outlineLevel="0" collapsed="false">
      <c r="B60" s="198"/>
      <c r="C60" s="245"/>
      <c r="D60" s="240"/>
      <c r="E60" s="201" t="s">
        <v>298</v>
      </c>
      <c r="F60" s="246"/>
      <c r="G60" s="251" t="s">
        <v>275</v>
      </c>
      <c r="H60" s="252"/>
      <c r="I60" s="253" t="s">
        <v>275</v>
      </c>
      <c r="J60" s="222" t="s">
        <v>55</v>
      </c>
      <c r="K60" s="254"/>
      <c r="L60" s="223" t="s">
        <v>55</v>
      </c>
      <c r="M60" s="224" t="s">
        <v>55</v>
      </c>
      <c r="N60" s="225"/>
      <c r="O60" s="226" t="s">
        <v>55</v>
      </c>
      <c r="P60" s="224" t="s">
        <v>55</v>
      </c>
      <c r="Q60" s="225"/>
      <c r="R60" s="227" t="s">
        <v>55</v>
      </c>
      <c r="S60" s="228" t="s">
        <v>277</v>
      </c>
      <c r="T60" s="229"/>
      <c r="U60" s="230" t="s">
        <v>303</v>
      </c>
      <c r="V60" s="231" t="s">
        <v>278</v>
      </c>
      <c r="W60" s="252"/>
      <c r="X60" s="227" t="s">
        <v>314</v>
      </c>
      <c r="Y60" s="237" t="s">
        <v>280</v>
      </c>
      <c r="Z60" s="255"/>
      <c r="AA60" s="234" t="s">
        <v>351</v>
      </c>
      <c r="AB60" s="256" t="s">
        <v>280</v>
      </c>
      <c r="AC60" s="252"/>
      <c r="AD60" s="253" t="s">
        <v>351</v>
      </c>
      <c r="AE60" s="257" t="s">
        <v>352</v>
      </c>
      <c r="AF60" s="255"/>
      <c r="AG60" s="258" t="s">
        <v>353</v>
      </c>
      <c r="AH60" s="259" t="s">
        <v>349</v>
      </c>
      <c r="AI60" s="252"/>
      <c r="AJ60" s="253" t="s">
        <v>342</v>
      </c>
      <c r="AK60" s="249" t="s">
        <v>329</v>
      </c>
      <c r="AL60" s="260"/>
      <c r="AM60" s="261" t="s">
        <v>354</v>
      </c>
      <c r="AN60" s="236" t="s">
        <v>355</v>
      </c>
      <c r="AO60" s="255"/>
      <c r="AP60" s="230" t="s">
        <v>356</v>
      </c>
      <c r="AQ60" s="235" t="s">
        <v>345</v>
      </c>
      <c r="AR60" s="220"/>
      <c r="AS60" s="221" t="s">
        <v>289</v>
      </c>
      <c r="AT60" s="222" t="s">
        <v>308</v>
      </c>
      <c r="AU60" s="229"/>
      <c r="AV60" s="230" t="s">
        <v>291</v>
      </c>
      <c r="AW60" s="224" t="s">
        <v>308</v>
      </c>
      <c r="AX60" s="225"/>
      <c r="AY60" s="227" t="s">
        <v>292</v>
      </c>
      <c r="AZ60" s="222" t="s">
        <v>309</v>
      </c>
      <c r="BA60" s="229"/>
      <c r="BB60" s="230" t="s">
        <v>292</v>
      </c>
      <c r="BC60" s="231" t="s">
        <v>294</v>
      </c>
      <c r="BD60" s="252"/>
      <c r="BE60" s="221" t="s">
        <v>294</v>
      </c>
      <c r="BF60" s="237" t="s">
        <v>357</v>
      </c>
      <c r="BG60" s="229"/>
      <c r="BH60" s="230" t="s">
        <v>346</v>
      </c>
      <c r="BI60" s="239" t="s">
        <v>358</v>
      </c>
      <c r="BJ60" s="225"/>
      <c r="BK60" s="227" t="s">
        <v>357</v>
      </c>
      <c r="BL60" s="237" t="s">
        <v>357</v>
      </c>
      <c r="BM60" s="229"/>
      <c r="BN60" s="230" t="s">
        <v>348</v>
      </c>
    </row>
    <row r="61" customFormat="false" ht="17.25" hidden="false" customHeight="true" outlineLevel="0" collapsed="false">
      <c r="B61" s="198"/>
      <c r="C61" s="245" t="s">
        <v>359</v>
      </c>
      <c r="D61" s="240" t="s">
        <v>53</v>
      </c>
      <c r="E61" s="201" t="s">
        <v>274</v>
      </c>
      <c r="F61" s="246"/>
      <c r="G61" s="251" t="s">
        <v>275</v>
      </c>
      <c r="H61" s="252"/>
      <c r="I61" s="253" t="s">
        <v>275</v>
      </c>
      <c r="J61" s="222" t="s">
        <v>55</v>
      </c>
      <c r="K61" s="254"/>
      <c r="L61" s="223" t="s">
        <v>55</v>
      </c>
      <c r="M61" s="224" t="s">
        <v>55</v>
      </c>
      <c r="N61" s="225"/>
      <c r="O61" s="226" t="s">
        <v>55</v>
      </c>
      <c r="P61" s="224" t="s">
        <v>55</v>
      </c>
      <c r="Q61" s="225"/>
      <c r="R61" s="227" t="s">
        <v>55</v>
      </c>
      <c r="S61" s="228" t="s">
        <v>277</v>
      </c>
      <c r="T61" s="229"/>
      <c r="U61" s="230" t="s">
        <v>303</v>
      </c>
      <c r="V61" s="231" t="s">
        <v>278</v>
      </c>
      <c r="W61" s="252"/>
      <c r="X61" s="227" t="s">
        <v>314</v>
      </c>
      <c r="Y61" s="237" t="s">
        <v>280</v>
      </c>
      <c r="Z61" s="255"/>
      <c r="AA61" s="234" t="s">
        <v>351</v>
      </c>
      <c r="AB61" s="256" t="s">
        <v>280</v>
      </c>
      <c r="AC61" s="252"/>
      <c r="AD61" s="253" t="s">
        <v>351</v>
      </c>
      <c r="AE61" s="257" t="s">
        <v>352</v>
      </c>
      <c r="AF61" s="255"/>
      <c r="AG61" s="258" t="s">
        <v>353</v>
      </c>
      <c r="AH61" s="259" t="s">
        <v>341</v>
      </c>
      <c r="AI61" s="252"/>
      <c r="AJ61" s="253" t="s">
        <v>342</v>
      </c>
      <c r="AK61" s="249" t="s">
        <v>329</v>
      </c>
      <c r="AL61" s="260"/>
      <c r="AM61" s="261" t="s">
        <v>354</v>
      </c>
      <c r="AN61" s="236" t="s">
        <v>355</v>
      </c>
      <c r="AO61" s="255"/>
      <c r="AP61" s="230" t="s">
        <v>356</v>
      </c>
      <c r="AQ61" s="235" t="s">
        <v>345</v>
      </c>
      <c r="AR61" s="220"/>
      <c r="AS61" s="221" t="s">
        <v>289</v>
      </c>
      <c r="AT61" s="222" t="s">
        <v>308</v>
      </c>
      <c r="AU61" s="229"/>
      <c r="AV61" s="230" t="s">
        <v>291</v>
      </c>
      <c r="AW61" s="224" t="s">
        <v>308</v>
      </c>
      <c r="AX61" s="225"/>
      <c r="AY61" s="227" t="s">
        <v>292</v>
      </c>
      <c r="AZ61" s="222" t="s">
        <v>309</v>
      </c>
      <c r="BA61" s="229"/>
      <c r="BB61" s="230" t="s">
        <v>292</v>
      </c>
      <c r="BC61" s="231" t="s">
        <v>294</v>
      </c>
      <c r="BD61" s="252"/>
      <c r="BE61" s="221" t="s">
        <v>294</v>
      </c>
      <c r="BF61" s="237" t="s">
        <v>357</v>
      </c>
      <c r="BG61" s="229"/>
      <c r="BH61" s="230" t="s">
        <v>346</v>
      </c>
      <c r="BI61" s="239" t="s">
        <v>358</v>
      </c>
      <c r="BJ61" s="225"/>
      <c r="BK61" s="227" t="s">
        <v>357</v>
      </c>
      <c r="BL61" s="237" t="s">
        <v>357</v>
      </c>
      <c r="BM61" s="229"/>
      <c r="BN61" s="230" t="s">
        <v>348</v>
      </c>
    </row>
    <row r="62" customFormat="false" ht="17.25" hidden="false" customHeight="true" outlineLevel="0" collapsed="false">
      <c r="B62" s="198"/>
      <c r="C62" s="245"/>
      <c r="D62" s="240"/>
      <c r="E62" s="201" t="s">
        <v>296</v>
      </c>
      <c r="F62" s="246"/>
      <c r="G62" s="251" t="s">
        <v>275</v>
      </c>
      <c r="H62" s="252"/>
      <c r="I62" s="253" t="s">
        <v>275</v>
      </c>
      <c r="J62" s="222" t="s">
        <v>55</v>
      </c>
      <c r="K62" s="254"/>
      <c r="L62" s="223" t="s">
        <v>55</v>
      </c>
      <c r="M62" s="224" t="s">
        <v>55</v>
      </c>
      <c r="N62" s="225"/>
      <c r="O62" s="226" t="s">
        <v>55</v>
      </c>
      <c r="P62" s="224" t="s">
        <v>55</v>
      </c>
      <c r="Q62" s="225"/>
      <c r="R62" s="227" t="s">
        <v>55</v>
      </c>
      <c r="S62" s="228" t="s">
        <v>277</v>
      </c>
      <c r="T62" s="229"/>
      <c r="U62" s="230" t="s">
        <v>303</v>
      </c>
      <c r="V62" s="231" t="s">
        <v>278</v>
      </c>
      <c r="W62" s="252"/>
      <c r="X62" s="227" t="s">
        <v>314</v>
      </c>
      <c r="Y62" s="237" t="s">
        <v>280</v>
      </c>
      <c r="Z62" s="255"/>
      <c r="AA62" s="234" t="s">
        <v>351</v>
      </c>
      <c r="AB62" s="256" t="s">
        <v>280</v>
      </c>
      <c r="AC62" s="252"/>
      <c r="AD62" s="253" t="s">
        <v>351</v>
      </c>
      <c r="AE62" s="257" t="s">
        <v>352</v>
      </c>
      <c r="AF62" s="255"/>
      <c r="AG62" s="258" t="s">
        <v>353</v>
      </c>
      <c r="AH62" s="259" t="s">
        <v>341</v>
      </c>
      <c r="AI62" s="252"/>
      <c r="AJ62" s="253" t="s">
        <v>342</v>
      </c>
      <c r="AK62" s="249" t="s">
        <v>329</v>
      </c>
      <c r="AL62" s="260"/>
      <c r="AM62" s="261" t="s">
        <v>354</v>
      </c>
      <c r="AN62" s="236" t="s">
        <v>355</v>
      </c>
      <c r="AO62" s="255"/>
      <c r="AP62" s="230" t="s">
        <v>356</v>
      </c>
      <c r="AQ62" s="235" t="s">
        <v>345</v>
      </c>
      <c r="AR62" s="220"/>
      <c r="AS62" s="221" t="s">
        <v>289</v>
      </c>
      <c r="AT62" s="222" t="s">
        <v>308</v>
      </c>
      <c r="AU62" s="229"/>
      <c r="AV62" s="230" t="s">
        <v>291</v>
      </c>
      <c r="AW62" s="224" t="s">
        <v>308</v>
      </c>
      <c r="AX62" s="225"/>
      <c r="AY62" s="227" t="s">
        <v>292</v>
      </c>
      <c r="AZ62" s="222" t="s">
        <v>309</v>
      </c>
      <c r="BA62" s="229"/>
      <c r="BB62" s="230" t="s">
        <v>292</v>
      </c>
      <c r="BC62" s="231" t="s">
        <v>294</v>
      </c>
      <c r="BD62" s="252"/>
      <c r="BE62" s="221" t="s">
        <v>294</v>
      </c>
      <c r="BF62" s="237" t="s">
        <v>357</v>
      </c>
      <c r="BG62" s="229"/>
      <c r="BH62" s="230" t="s">
        <v>346</v>
      </c>
      <c r="BI62" s="239" t="s">
        <v>358</v>
      </c>
      <c r="BJ62" s="225"/>
      <c r="BK62" s="227" t="s">
        <v>357</v>
      </c>
      <c r="BL62" s="237" t="s">
        <v>357</v>
      </c>
      <c r="BM62" s="229"/>
      <c r="BN62" s="230" t="s">
        <v>348</v>
      </c>
    </row>
    <row r="63" customFormat="false" ht="17.25" hidden="false" customHeight="true" outlineLevel="0" collapsed="false">
      <c r="B63" s="198"/>
      <c r="C63" s="245"/>
      <c r="D63" s="240"/>
      <c r="E63" s="201" t="s">
        <v>297</v>
      </c>
      <c r="F63" s="246"/>
      <c r="G63" s="251" t="s">
        <v>275</v>
      </c>
      <c r="H63" s="252"/>
      <c r="I63" s="253" t="s">
        <v>275</v>
      </c>
      <c r="J63" s="222" t="s">
        <v>55</v>
      </c>
      <c r="K63" s="254"/>
      <c r="L63" s="223" t="s">
        <v>55</v>
      </c>
      <c r="M63" s="224" t="s">
        <v>55</v>
      </c>
      <c r="N63" s="225"/>
      <c r="O63" s="226" t="s">
        <v>55</v>
      </c>
      <c r="P63" s="224" t="s">
        <v>55</v>
      </c>
      <c r="Q63" s="225"/>
      <c r="R63" s="227" t="s">
        <v>55</v>
      </c>
      <c r="S63" s="228" t="s">
        <v>277</v>
      </c>
      <c r="T63" s="229"/>
      <c r="U63" s="230" t="s">
        <v>303</v>
      </c>
      <c r="V63" s="231" t="s">
        <v>278</v>
      </c>
      <c r="W63" s="252"/>
      <c r="X63" s="227" t="s">
        <v>314</v>
      </c>
      <c r="Y63" s="237" t="s">
        <v>280</v>
      </c>
      <c r="Z63" s="255"/>
      <c r="AA63" s="234" t="s">
        <v>351</v>
      </c>
      <c r="AB63" s="256" t="s">
        <v>280</v>
      </c>
      <c r="AC63" s="252"/>
      <c r="AD63" s="253" t="s">
        <v>351</v>
      </c>
      <c r="AE63" s="257" t="s">
        <v>352</v>
      </c>
      <c r="AF63" s="255"/>
      <c r="AG63" s="258" t="s">
        <v>353</v>
      </c>
      <c r="AH63" s="259" t="s">
        <v>341</v>
      </c>
      <c r="AI63" s="252"/>
      <c r="AJ63" s="253" t="s">
        <v>342</v>
      </c>
      <c r="AK63" s="249" t="s">
        <v>329</v>
      </c>
      <c r="AL63" s="260"/>
      <c r="AM63" s="261" t="s">
        <v>354</v>
      </c>
      <c r="AN63" s="236" t="s">
        <v>355</v>
      </c>
      <c r="AO63" s="255"/>
      <c r="AP63" s="230" t="s">
        <v>356</v>
      </c>
      <c r="AQ63" s="235" t="s">
        <v>345</v>
      </c>
      <c r="AR63" s="220"/>
      <c r="AS63" s="221" t="s">
        <v>289</v>
      </c>
      <c r="AT63" s="222" t="s">
        <v>308</v>
      </c>
      <c r="AU63" s="229"/>
      <c r="AV63" s="230" t="s">
        <v>291</v>
      </c>
      <c r="AW63" s="224" t="s">
        <v>308</v>
      </c>
      <c r="AX63" s="225"/>
      <c r="AY63" s="227" t="s">
        <v>292</v>
      </c>
      <c r="AZ63" s="222" t="s">
        <v>309</v>
      </c>
      <c r="BA63" s="229"/>
      <c r="BB63" s="230" t="s">
        <v>292</v>
      </c>
      <c r="BC63" s="231" t="s">
        <v>294</v>
      </c>
      <c r="BD63" s="252"/>
      <c r="BE63" s="221" t="s">
        <v>294</v>
      </c>
      <c r="BF63" s="237" t="s">
        <v>357</v>
      </c>
      <c r="BG63" s="229"/>
      <c r="BH63" s="230" t="s">
        <v>346</v>
      </c>
      <c r="BI63" s="239" t="s">
        <v>358</v>
      </c>
      <c r="BJ63" s="225"/>
      <c r="BK63" s="227" t="s">
        <v>357</v>
      </c>
      <c r="BL63" s="237" t="s">
        <v>357</v>
      </c>
      <c r="BM63" s="229"/>
      <c r="BN63" s="230" t="s">
        <v>348</v>
      </c>
    </row>
    <row r="64" customFormat="false" ht="17.25" hidden="false" customHeight="true" outlineLevel="0" collapsed="false">
      <c r="B64" s="198"/>
      <c r="C64" s="245"/>
      <c r="D64" s="240"/>
      <c r="E64" s="201" t="s">
        <v>298</v>
      </c>
      <c r="F64" s="246"/>
      <c r="G64" s="251" t="s">
        <v>275</v>
      </c>
      <c r="H64" s="252"/>
      <c r="I64" s="253" t="s">
        <v>275</v>
      </c>
      <c r="J64" s="222" t="s">
        <v>55</v>
      </c>
      <c r="K64" s="254"/>
      <c r="L64" s="223" t="s">
        <v>55</v>
      </c>
      <c r="M64" s="224" t="s">
        <v>55</v>
      </c>
      <c r="N64" s="225"/>
      <c r="O64" s="226" t="s">
        <v>55</v>
      </c>
      <c r="P64" s="224" t="s">
        <v>55</v>
      </c>
      <c r="Q64" s="225"/>
      <c r="R64" s="227" t="s">
        <v>55</v>
      </c>
      <c r="S64" s="228" t="s">
        <v>277</v>
      </c>
      <c r="T64" s="229"/>
      <c r="U64" s="230" t="s">
        <v>303</v>
      </c>
      <c r="V64" s="231" t="s">
        <v>278</v>
      </c>
      <c r="W64" s="252"/>
      <c r="X64" s="227" t="s">
        <v>314</v>
      </c>
      <c r="Y64" s="237" t="s">
        <v>280</v>
      </c>
      <c r="Z64" s="255"/>
      <c r="AA64" s="234" t="s">
        <v>351</v>
      </c>
      <c r="AB64" s="256" t="s">
        <v>280</v>
      </c>
      <c r="AC64" s="252"/>
      <c r="AD64" s="253" t="s">
        <v>351</v>
      </c>
      <c r="AE64" s="257" t="s">
        <v>352</v>
      </c>
      <c r="AF64" s="255"/>
      <c r="AG64" s="258" t="s">
        <v>353</v>
      </c>
      <c r="AH64" s="259" t="s">
        <v>341</v>
      </c>
      <c r="AI64" s="252"/>
      <c r="AJ64" s="253" t="s">
        <v>342</v>
      </c>
      <c r="AK64" s="249" t="s">
        <v>329</v>
      </c>
      <c r="AL64" s="260"/>
      <c r="AM64" s="261" t="s">
        <v>354</v>
      </c>
      <c r="AN64" s="236" t="s">
        <v>355</v>
      </c>
      <c r="AO64" s="255"/>
      <c r="AP64" s="230" t="s">
        <v>356</v>
      </c>
      <c r="AQ64" s="235" t="s">
        <v>345</v>
      </c>
      <c r="AR64" s="220"/>
      <c r="AS64" s="221" t="s">
        <v>289</v>
      </c>
      <c r="AT64" s="222" t="s">
        <v>308</v>
      </c>
      <c r="AU64" s="229"/>
      <c r="AV64" s="230" t="s">
        <v>291</v>
      </c>
      <c r="AW64" s="224" t="s">
        <v>308</v>
      </c>
      <c r="AX64" s="225"/>
      <c r="AY64" s="227" t="s">
        <v>292</v>
      </c>
      <c r="AZ64" s="222" t="s">
        <v>309</v>
      </c>
      <c r="BA64" s="229"/>
      <c r="BB64" s="230" t="s">
        <v>292</v>
      </c>
      <c r="BC64" s="231" t="s">
        <v>294</v>
      </c>
      <c r="BD64" s="252"/>
      <c r="BE64" s="221" t="s">
        <v>294</v>
      </c>
      <c r="BF64" s="237" t="s">
        <v>357</v>
      </c>
      <c r="BG64" s="229"/>
      <c r="BH64" s="230" t="s">
        <v>346</v>
      </c>
      <c r="BI64" s="239" t="s">
        <v>358</v>
      </c>
      <c r="BJ64" s="225"/>
      <c r="BK64" s="227" t="s">
        <v>357</v>
      </c>
      <c r="BL64" s="237" t="s">
        <v>357</v>
      </c>
      <c r="BM64" s="229"/>
      <c r="BN64" s="230" t="s">
        <v>348</v>
      </c>
    </row>
    <row r="65" customFormat="false" ht="17.25" hidden="false" customHeight="true" outlineLevel="0" collapsed="false">
      <c r="B65" s="198"/>
      <c r="C65" s="245"/>
      <c r="D65" s="240" t="s">
        <v>64</v>
      </c>
      <c r="E65" s="201" t="s">
        <v>274</v>
      </c>
      <c r="F65" s="246"/>
      <c r="G65" s="251" t="s">
        <v>275</v>
      </c>
      <c r="H65" s="252"/>
      <c r="I65" s="253" t="s">
        <v>275</v>
      </c>
      <c r="J65" s="222" t="s">
        <v>55</v>
      </c>
      <c r="K65" s="254"/>
      <c r="L65" s="223" t="s">
        <v>55</v>
      </c>
      <c r="M65" s="224" t="s">
        <v>55</v>
      </c>
      <c r="N65" s="225"/>
      <c r="O65" s="226" t="s">
        <v>55</v>
      </c>
      <c r="P65" s="224" t="s">
        <v>55</v>
      </c>
      <c r="Q65" s="225"/>
      <c r="R65" s="227" t="s">
        <v>55</v>
      </c>
      <c r="S65" s="228" t="s">
        <v>277</v>
      </c>
      <c r="T65" s="229"/>
      <c r="U65" s="230" t="s">
        <v>303</v>
      </c>
      <c r="V65" s="231" t="s">
        <v>278</v>
      </c>
      <c r="W65" s="252"/>
      <c r="X65" s="227" t="s">
        <v>314</v>
      </c>
      <c r="Y65" s="237" t="s">
        <v>280</v>
      </c>
      <c r="Z65" s="255"/>
      <c r="AA65" s="234" t="s">
        <v>351</v>
      </c>
      <c r="AB65" s="256" t="s">
        <v>280</v>
      </c>
      <c r="AC65" s="252"/>
      <c r="AD65" s="253" t="s">
        <v>351</v>
      </c>
      <c r="AE65" s="257" t="s">
        <v>352</v>
      </c>
      <c r="AF65" s="255"/>
      <c r="AG65" s="258" t="s">
        <v>353</v>
      </c>
      <c r="AH65" s="259" t="s">
        <v>341</v>
      </c>
      <c r="AI65" s="252"/>
      <c r="AJ65" s="253" t="s">
        <v>342</v>
      </c>
      <c r="AK65" s="249" t="s">
        <v>329</v>
      </c>
      <c r="AL65" s="260"/>
      <c r="AM65" s="261" t="s">
        <v>354</v>
      </c>
      <c r="AN65" s="236" t="s">
        <v>355</v>
      </c>
      <c r="AO65" s="255"/>
      <c r="AP65" s="230" t="s">
        <v>356</v>
      </c>
      <c r="AQ65" s="235" t="s">
        <v>345</v>
      </c>
      <c r="AR65" s="220"/>
      <c r="AS65" s="221" t="s">
        <v>289</v>
      </c>
      <c r="AT65" s="222" t="s">
        <v>308</v>
      </c>
      <c r="AU65" s="229"/>
      <c r="AV65" s="230" t="s">
        <v>291</v>
      </c>
      <c r="AW65" s="224" t="s">
        <v>308</v>
      </c>
      <c r="AX65" s="225"/>
      <c r="AY65" s="227" t="s">
        <v>292</v>
      </c>
      <c r="AZ65" s="222" t="s">
        <v>309</v>
      </c>
      <c r="BA65" s="229"/>
      <c r="BB65" s="230" t="s">
        <v>292</v>
      </c>
      <c r="BC65" s="231" t="s">
        <v>294</v>
      </c>
      <c r="BD65" s="252"/>
      <c r="BE65" s="221" t="s">
        <v>294</v>
      </c>
      <c r="BF65" s="237" t="s">
        <v>357</v>
      </c>
      <c r="BG65" s="229"/>
      <c r="BH65" s="230" t="s">
        <v>346</v>
      </c>
      <c r="BI65" s="239" t="s">
        <v>358</v>
      </c>
      <c r="BJ65" s="225"/>
      <c r="BK65" s="227" t="s">
        <v>357</v>
      </c>
      <c r="BL65" s="237" t="s">
        <v>357</v>
      </c>
      <c r="BM65" s="229"/>
      <c r="BN65" s="230" t="s">
        <v>348</v>
      </c>
    </row>
    <row r="66" customFormat="false" ht="17.25" hidden="false" customHeight="true" outlineLevel="0" collapsed="false">
      <c r="B66" s="198"/>
      <c r="C66" s="245"/>
      <c r="D66" s="240"/>
      <c r="E66" s="201" t="s">
        <v>296</v>
      </c>
      <c r="F66" s="246"/>
      <c r="G66" s="251" t="s">
        <v>275</v>
      </c>
      <c r="H66" s="252"/>
      <c r="I66" s="253" t="s">
        <v>275</v>
      </c>
      <c r="J66" s="222" t="s">
        <v>55</v>
      </c>
      <c r="K66" s="254"/>
      <c r="L66" s="223" t="s">
        <v>55</v>
      </c>
      <c r="M66" s="224" t="s">
        <v>55</v>
      </c>
      <c r="N66" s="225"/>
      <c r="O66" s="226" t="s">
        <v>55</v>
      </c>
      <c r="P66" s="224" t="s">
        <v>55</v>
      </c>
      <c r="Q66" s="225"/>
      <c r="R66" s="227" t="s">
        <v>55</v>
      </c>
      <c r="S66" s="228" t="s">
        <v>277</v>
      </c>
      <c r="T66" s="229"/>
      <c r="U66" s="230" t="s">
        <v>303</v>
      </c>
      <c r="V66" s="231" t="s">
        <v>278</v>
      </c>
      <c r="W66" s="252"/>
      <c r="X66" s="227" t="s">
        <v>314</v>
      </c>
      <c r="Y66" s="237" t="s">
        <v>280</v>
      </c>
      <c r="Z66" s="255"/>
      <c r="AA66" s="234" t="s">
        <v>351</v>
      </c>
      <c r="AB66" s="256" t="s">
        <v>280</v>
      </c>
      <c r="AC66" s="252"/>
      <c r="AD66" s="253" t="s">
        <v>351</v>
      </c>
      <c r="AE66" s="257" t="s">
        <v>352</v>
      </c>
      <c r="AF66" s="255"/>
      <c r="AG66" s="258" t="s">
        <v>353</v>
      </c>
      <c r="AH66" s="259" t="s">
        <v>341</v>
      </c>
      <c r="AI66" s="252"/>
      <c r="AJ66" s="253" t="s">
        <v>342</v>
      </c>
      <c r="AK66" s="249" t="s">
        <v>329</v>
      </c>
      <c r="AL66" s="260"/>
      <c r="AM66" s="261" t="s">
        <v>354</v>
      </c>
      <c r="AN66" s="236" t="s">
        <v>355</v>
      </c>
      <c r="AO66" s="255"/>
      <c r="AP66" s="230" t="s">
        <v>356</v>
      </c>
      <c r="AQ66" s="235" t="s">
        <v>345</v>
      </c>
      <c r="AR66" s="220"/>
      <c r="AS66" s="221" t="s">
        <v>289</v>
      </c>
      <c r="AT66" s="222" t="s">
        <v>308</v>
      </c>
      <c r="AU66" s="229"/>
      <c r="AV66" s="230" t="s">
        <v>291</v>
      </c>
      <c r="AW66" s="224" t="s">
        <v>308</v>
      </c>
      <c r="AX66" s="225"/>
      <c r="AY66" s="227" t="s">
        <v>292</v>
      </c>
      <c r="AZ66" s="222" t="s">
        <v>309</v>
      </c>
      <c r="BA66" s="229"/>
      <c r="BB66" s="230" t="s">
        <v>292</v>
      </c>
      <c r="BC66" s="231" t="s">
        <v>294</v>
      </c>
      <c r="BD66" s="252"/>
      <c r="BE66" s="221" t="s">
        <v>294</v>
      </c>
      <c r="BF66" s="237" t="s">
        <v>357</v>
      </c>
      <c r="BG66" s="229"/>
      <c r="BH66" s="230" t="s">
        <v>346</v>
      </c>
      <c r="BI66" s="239" t="s">
        <v>358</v>
      </c>
      <c r="BJ66" s="225"/>
      <c r="BK66" s="227" t="s">
        <v>357</v>
      </c>
      <c r="BL66" s="237" t="s">
        <v>357</v>
      </c>
      <c r="BM66" s="229"/>
      <c r="BN66" s="230" t="s">
        <v>348</v>
      </c>
    </row>
    <row r="67" customFormat="false" ht="17.25" hidden="false" customHeight="true" outlineLevel="0" collapsed="false">
      <c r="B67" s="198"/>
      <c r="C67" s="245"/>
      <c r="D67" s="240"/>
      <c r="E67" s="201" t="s">
        <v>297</v>
      </c>
      <c r="F67" s="246"/>
      <c r="G67" s="251" t="s">
        <v>275</v>
      </c>
      <c r="H67" s="252"/>
      <c r="I67" s="253" t="s">
        <v>275</v>
      </c>
      <c r="J67" s="222" t="s">
        <v>55</v>
      </c>
      <c r="K67" s="254"/>
      <c r="L67" s="223" t="s">
        <v>55</v>
      </c>
      <c r="M67" s="224" t="s">
        <v>55</v>
      </c>
      <c r="N67" s="225"/>
      <c r="O67" s="226" t="s">
        <v>55</v>
      </c>
      <c r="P67" s="224" t="s">
        <v>55</v>
      </c>
      <c r="Q67" s="225"/>
      <c r="R67" s="227" t="s">
        <v>55</v>
      </c>
      <c r="S67" s="228" t="s">
        <v>277</v>
      </c>
      <c r="T67" s="229"/>
      <c r="U67" s="230" t="s">
        <v>303</v>
      </c>
      <c r="V67" s="231" t="s">
        <v>278</v>
      </c>
      <c r="W67" s="252"/>
      <c r="X67" s="227" t="s">
        <v>314</v>
      </c>
      <c r="Y67" s="237" t="s">
        <v>280</v>
      </c>
      <c r="Z67" s="255"/>
      <c r="AA67" s="234" t="s">
        <v>351</v>
      </c>
      <c r="AB67" s="256" t="s">
        <v>280</v>
      </c>
      <c r="AC67" s="252"/>
      <c r="AD67" s="253" t="s">
        <v>351</v>
      </c>
      <c r="AE67" s="257" t="s">
        <v>352</v>
      </c>
      <c r="AF67" s="255"/>
      <c r="AG67" s="258" t="s">
        <v>353</v>
      </c>
      <c r="AH67" s="259" t="s">
        <v>341</v>
      </c>
      <c r="AI67" s="252"/>
      <c r="AJ67" s="253" t="s">
        <v>342</v>
      </c>
      <c r="AK67" s="249" t="s">
        <v>329</v>
      </c>
      <c r="AL67" s="260"/>
      <c r="AM67" s="261" t="s">
        <v>354</v>
      </c>
      <c r="AN67" s="236" t="s">
        <v>355</v>
      </c>
      <c r="AO67" s="255"/>
      <c r="AP67" s="230" t="s">
        <v>356</v>
      </c>
      <c r="AQ67" s="235" t="s">
        <v>345</v>
      </c>
      <c r="AR67" s="220"/>
      <c r="AS67" s="221" t="s">
        <v>289</v>
      </c>
      <c r="AT67" s="222" t="s">
        <v>308</v>
      </c>
      <c r="AU67" s="229"/>
      <c r="AV67" s="230" t="s">
        <v>291</v>
      </c>
      <c r="AW67" s="224" t="s">
        <v>308</v>
      </c>
      <c r="AX67" s="225"/>
      <c r="AY67" s="227" t="s">
        <v>292</v>
      </c>
      <c r="AZ67" s="222" t="s">
        <v>309</v>
      </c>
      <c r="BA67" s="229"/>
      <c r="BB67" s="230" t="s">
        <v>292</v>
      </c>
      <c r="BC67" s="231" t="s">
        <v>294</v>
      </c>
      <c r="BD67" s="252"/>
      <c r="BE67" s="221" t="s">
        <v>294</v>
      </c>
      <c r="BF67" s="237" t="s">
        <v>357</v>
      </c>
      <c r="BG67" s="229"/>
      <c r="BH67" s="230" t="s">
        <v>346</v>
      </c>
      <c r="BI67" s="239" t="s">
        <v>358</v>
      </c>
      <c r="BJ67" s="225"/>
      <c r="BK67" s="227" t="s">
        <v>357</v>
      </c>
      <c r="BL67" s="237" t="s">
        <v>357</v>
      </c>
      <c r="BM67" s="229"/>
      <c r="BN67" s="230" t="s">
        <v>348</v>
      </c>
    </row>
    <row r="68" customFormat="false" ht="17.25" hidden="false" customHeight="true" outlineLevel="0" collapsed="false">
      <c r="B68" s="198"/>
      <c r="C68" s="245"/>
      <c r="D68" s="240"/>
      <c r="E68" s="201" t="s">
        <v>298</v>
      </c>
      <c r="F68" s="246"/>
      <c r="G68" s="251" t="s">
        <v>275</v>
      </c>
      <c r="H68" s="252"/>
      <c r="I68" s="253" t="s">
        <v>275</v>
      </c>
      <c r="J68" s="222" t="s">
        <v>55</v>
      </c>
      <c r="K68" s="254"/>
      <c r="L68" s="223" t="s">
        <v>55</v>
      </c>
      <c r="M68" s="224" t="s">
        <v>55</v>
      </c>
      <c r="N68" s="225"/>
      <c r="O68" s="226" t="s">
        <v>55</v>
      </c>
      <c r="P68" s="224" t="s">
        <v>55</v>
      </c>
      <c r="Q68" s="225"/>
      <c r="R68" s="227" t="s">
        <v>55</v>
      </c>
      <c r="S68" s="228" t="s">
        <v>277</v>
      </c>
      <c r="T68" s="229"/>
      <c r="U68" s="230" t="s">
        <v>303</v>
      </c>
      <c r="V68" s="231" t="s">
        <v>278</v>
      </c>
      <c r="W68" s="252"/>
      <c r="X68" s="227" t="s">
        <v>314</v>
      </c>
      <c r="Y68" s="237" t="s">
        <v>280</v>
      </c>
      <c r="Z68" s="255"/>
      <c r="AA68" s="234" t="s">
        <v>351</v>
      </c>
      <c r="AB68" s="256" t="s">
        <v>280</v>
      </c>
      <c r="AC68" s="252"/>
      <c r="AD68" s="253" t="s">
        <v>351</v>
      </c>
      <c r="AE68" s="257" t="s">
        <v>352</v>
      </c>
      <c r="AF68" s="255"/>
      <c r="AG68" s="258" t="s">
        <v>353</v>
      </c>
      <c r="AH68" s="259" t="s">
        <v>341</v>
      </c>
      <c r="AI68" s="252"/>
      <c r="AJ68" s="253" t="s">
        <v>342</v>
      </c>
      <c r="AK68" s="249" t="s">
        <v>329</v>
      </c>
      <c r="AL68" s="260"/>
      <c r="AM68" s="261" t="s">
        <v>354</v>
      </c>
      <c r="AN68" s="236" t="s">
        <v>355</v>
      </c>
      <c r="AO68" s="255"/>
      <c r="AP68" s="230" t="s">
        <v>356</v>
      </c>
      <c r="AQ68" s="235" t="s">
        <v>345</v>
      </c>
      <c r="AR68" s="220"/>
      <c r="AS68" s="221" t="s">
        <v>289</v>
      </c>
      <c r="AT68" s="222" t="s">
        <v>308</v>
      </c>
      <c r="AU68" s="229"/>
      <c r="AV68" s="230" t="s">
        <v>291</v>
      </c>
      <c r="AW68" s="224" t="s">
        <v>308</v>
      </c>
      <c r="AX68" s="225"/>
      <c r="AY68" s="227" t="s">
        <v>292</v>
      </c>
      <c r="AZ68" s="222" t="s">
        <v>309</v>
      </c>
      <c r="BA68" s="229"/>
      <c r="BB68" s="230" t="s">
        <v>292</v>
      </c>
      <c r="BC68" s="231" t="s">
        <v>294</v>
      </c>
      <c r="BD68" s="252"/>
      <c r="BE68" s="221" t="s">
        <v>294</v>
      </c>
      <c r="BF68" s="237" t="s">
        <v>357</v>
      </c>
      <c r="BG68" s="229"/>
      <c r="BH68" s="230" t="s">
        <v>346</v>
      </c>
      <c r="BI68" s="239" t="s">
        <v>358</v>
      </c>
      <c r="BJ68" s="225"/>
      <c r="BK68" s="227" t="s">
        <v>357</v>
      </c>
      <c r="BL68" s="237" t="s">
        <v>357</v>
      </c>
      <c r="BM68" s="229"/>
      <c r="BN68" s="230" t="s">
        <v>348</v>
      </c>
    </row>
    <row r="69" customFormat="false" ht="17.25" hidden="false" customHeight="true" outlineLevel="0" collapsed="false">
      <c r="B69" s="198"/>
      <c r="C69" s="262" t="s">
        <v>360</v>
      </c>
      <c r="D69" s="240"/>
      <c r="E69" s="201" t="s">
        <v>274</v>
      </c>
      <c r="F69" s="241"/>
      <c r="G69" s="224" t="s">
        <v>329</v>
      </c>
      <c r="H69" s="225"/>
      <c r="I69" s="227" t="s">
        <v>287</v>
      </c>
      <c r="J69" s="222" t="s">
        <v>55</v>
      </c>
      <c r="K69" s="223"/>
      <c r="L69" s="223" t="s">
        <v>55</v>
      </c>
      <c r="M69" s="224" t="s">
        <v>55</v>
      </c>
      <c r="N69" s="225"/>
      <c r="O69" s="226" t="s">
        <v>55</v>
      </c>
      <c r="P69" s="224" t="s">
        <v>55</v>
      </c>
      <c r="Q69" s="225"/>
      <c r="R69" s="227" t="s">
        <v>55</v>
      </c>
      <c r="S69" s="228" t="s">
        <v>361</v>
      </c>
      <c r="T69" s="229" t="s">
        <v>361</v>
      </c>
      <c r="U69" s="230" t="s">
        <v>361</v>
      </c>
      <c r="V69" s="231" t="s">
        <v>362</v>
      </c>
      <c r="W69" s="225"/>
      <c r="X69" s="227" t="s">
        <v>362</v>
      </c>
      <c r="Y69" s="237" t="s">
        <v>362</v>
      </c>
      <c r="Z69" s="223"/>
      <c r="AA69" s="230" t="s">
        <v>362</v>
      </c>
      <c r="AB69" s="231" t="s">
        <v>362</v>
      </c>
      <c r="AC69" s="225"/>
      <c r="AD69" s="227" t="s">
        <v>362</v>
      </c>
      <c r="AE69" s="222" t="s">
        <v>68</v>
      </c>
      <c r="AF69" s="229"/>
      <c r="AG69" s="230" t="s">
        <v>68</v>
      </c>
      <c r="AH69" s="224" t="s">
        <v>68</v>
      </c>
      <c r="AI69" s="225"/>
      <c r="AJ69" s="227" t="s">
        <v>68</v>
      </c>
      <c r="AK69" s="249" t="s">
        <v>363</v>
      </c>
      <c r="AL69" s="260"/>
      <c r="AM69" s="261" t="s">
        <v>364</v>
      </c>
      <c r="AN69" s="222" t="s">
        <v>365</v>
      </c>
      <c r="AO69" s="229"/>
      <c r="AP69" s="230" t="s">
        <v>287</v>
      </c>
      <c r="AQ69" s="231" t="s">
        <v>362</v>
      </c>
      <c r="AR69" s="225"/>
      <c r="AS69" s="221" t="s">
        <v>354</v>
      </c>
      <c r="AT69" s="222" t="s">
        <v>68</v>
      </c>
      <c r="AU69" s="229"/>
      <c r="AV69" s="230" t="s">
        <v>68</v>
      </c>
      <c r="AW69" s="224" t="s">
        <v>68</v>
      </c>
      <c r="AX69" s="225"/>
      <c r="AY69" s="227" t="s">
        <v>68</v>
      </c>
      <c r="AZ69" s="222" t="s">
        <v>68</v>
      </c>
      <c r="BA69" s="229"/>
      <c r="BB69" s="230" t="s">
        <v>68</v>
      </c>
      <c r="BC69" s="231" t="s">
        <v>68</v>
      </c>
      <c r="BD69" s="225"/>
      <c r="BE69" s="227" t="s">
        <v>68</v>
      </c>
      <c r="BF69" s="263" t="s">
        <v>362</v>
      </c>
      <c r="BG69" s="264"/>
      <c r="BH69" s="265" t="s">
        <v>362</v>
      </c>
      <c r="BI69" s="249" t="s">
        <v>362</v>
      </c>
      <c r="BJ69" s="243"/>
      <c r="BK69" s="266" t="s">
        <v>362</v>
      </c>
      <c r="BL69" s="263" t="s">
        <v>362</v>
      </c>
      <c r="BM69" s="264"/>
      <c r="BN69" s="265" t="s">
        <v>362</v>
      </c>
    </row>
    <row r="70" customFormat="false" ht="17.25" hidden="false" customHeight="true" outlineLevel="0" collapsed="false">
      <c r="B70" s="198"/>
      <c r="C70" s="262"/>
      <c r="D70" s="240"/>
      <c r="E70" s="201" t="s">
        <v>296</v>
      </c>
      <c r="F70" s="241"/>
      <c r="G70" s="224" t="s">
        <v>329</v>
      </c>
      <c r="H70" s="225"/>
      <c r="I70" s="227" t="s">
        <v>287</v>
      </c>
      <c r="J70" s="222" t="s">
        <v>55</v>
      </c>
      <c r="K70" s="223"/>
      <c r="L70" s="223" t="s">
        <v>55</v>
      </c>
      <c r="M70" s="224" t="s">
        <v>55</v>
      </c>
      <c r="N70" s="225"/>
      <c r="O70" s="226" t="s">
        <v>55</v>
      </c>
      <c r="P70" s="224" t="s">
        <v>55</v>
      </c>
      <c r="Q70" s="225"/>
      <c r="R70" s="227" t="s">
        <v>55</v>
      </c>
      <c r="S70" s="228" t="s">
        <v>361</v>
      </c>
      <c r="T70" s="229" t="s">
        <v>361</v>
      </c>
      <c r="U70" s="230" t="s">
        <v>361</v>
      </c>
      <c r="V70" s="231" t="s">
        <v>362</v>
      </c>
      <c r="W70" s="225"/>
      <c r="X70" s="227" t="s">
        <v>362</v>
      </c>
      <c r="Y70" s="237" t="s">
        <v>362</v>
      </c>
      <c r="Z70" s="223"/>
      <c r="AA70" s="230" t="s">
        <v>362</v>
      </c>
      <c r="AB70" s="231" t="s">
        <v>362</v>
      </c>
      <c r="AC70" s="225"/>
      <c r="AD70" s="227" t="s">
        <v>362</v>
      </c>
      <c r="AE70" s="222" t="s">
        <v>68</v>
      </c>
      <c r="AF70" s="229"/>
      <c r="AG70" s="230" t="s">
        <v>68</v>
      </c>
      <c r="AH70" s="224" t="s">
        <v>68</v>
      </c>
      <c r="AI70" s="225"/>
      <c r="AJ70" s="227" t="s">
        <v>68</v>
      </c>
      <c r="AK70" s="249" t="s">
        <v>363</v>
      </c>
      <c r="AL70" s="260"/>
      <c r="AM70" s="261" t="s">
        <v>364</v>
      </c>
      <c r="AN70" s="222" t="s">
        <v>365</v>
      </c>
      <c r="AO70" s="229"/>
      <c r="AP70" s="230" t="s">
        <v>287</v>
      </c>
      <c r="AQ70" s="231" t="s">
        <v>362</v>
      </c>
      <c r="AR70" s="225"/>
      <c r="AS70" s="221" t="s">
        <v>354</v>
      </c>
      <c r="AT70" s="222" t="s">
        <v>68</v>
      </c>
      <c r="AU70" s="229"/>
      <c r="AV70" s="230" t="s">
        <v>68</v>
      </c>
      <c r="AW70" s="224" t="s">
        <v>68</v>
      </c>
      <c r="AX70" s="225"/>
      <c r="AY70" s="227" t="s">
        <v>68</v>
      </c>
      <c r="AZ70" s="222" t="s">
        <v>68</v>
      </c>
      <c r="BA70" s="229"/>
      <c r="BB70" s="230" t="s">
        <v>68</v>
      </c>
      <c r="BC70" s="231" t="s">
        <v>68</v>
      </c>
      <c r="BD70" s="225"/>
      <c r="BE70" s="227" t="s">
        <v>68</v>
      </c>
      <c r="BF70" s="263" t="s">
        <v>362</v>
      </c>
      <c r="BG70" s="264"/>
      <c r="BH70" s="265" t="s">
        <v>362</v>
      </c>
      <c r="BI70" s="249" t="s">
        <v>362</v>
      </c>
      <c r="BJ70" s="243"/>
      <c r="BK70" s="266" t="s">
        <v>362</v>
      </c>
      <c r="BL70" s="263" t="s">
        <v>362</v>
      </c>
      <c r="BM70" s="264"/>
      <c r="BN70" s="265" t="s">
        <v>362</v>
      </c>
    </row>
    <row r="71" customFormat="false" ht="17.25" hidden="false" customHeight="true" outlineLevel="0" collapsed="false">
      <c r="B71" s="198"/>
      <c r="C71" s="262"/>
      <c r="D71" s="240"/>
      <c r="E71" s="201" t="s">
        <v>297</v>
      </c>
      <c r="F71" s="241"/>
      <c r="G71" s="224" t="s">
        <v>329</v>
      </c>
      <c r="H71" s="225"/>
      <c r="I71" s="227" t="s">
        <v>287</v>
      </c>
      <c r="J71" s="222" t="s">
        <v>55</v>
      </c>
      <c r="K71" s="223"/>
      <c r="L71" s="223" t="s">
        <v>55</v>
      </c>
      <c r="M71" s="224" t="s">
        <v>55</v>
      </c>
      <c r="N71" s="225"/>
      <c r="O71" s="226" t="s">
        <v>55</v>
      </c>
      <c r="P71" s="224" t="s">
        <v>55</v>
      </c>
      <c r="Q71" s="225"/>
      <c r="R71" s="227" t="s">
        <v>55</v>
      </c>
      <c r="S71" s="228" t="s">
        <v>361</v>
      </c>
      <c r="T71" s="229" t="s">
        <v>361</v>
      </c>
      <c r="U71" s="230" t="s">
        <v>361</v>
      </c>
      <c r="V71" s="231" t="s">
        <v>362</v>
      </c>
      <c r="W71" s="225"/>
      <c r="X71" s="227" t="s">
        <v>362</v>
      </c>
      <c r="Y71" s="237" t="s">
        <v>362</v>
      </c>
      <c r="Z71" s="223"/>
      <c r="AA71" s="230" t="s">
        <v>362</v>
      </c>
      <c r="AB71" s="231" t="s">
        <v>362</v>
      </c>
      <c r="AC71" s="225"/>
      <c r="AD71" s="227" t="s">
        <v>362</v>
      </c>
      <c r="AE71" s="222" t="s">
        <v>68</v>
      </c>
      <c r="AF71" s="229"/>
      <c r="AG71" s="230" t="s">
        <v>68</v>
      </c>
      <c r="AH71" s="224" t="s">
        <v>68</v>
      </c>
      <c r="AI71" s="225"/>
      <c r="AJ71" s="227" t="s">
        <v>68</v>
      </c>
      <c r="AK71" s="249" t="s">
        <v>363</v>
      </c>
      <c r="AL71" s="260"/>
      <c r="AM71" s="261" t="s">
        <v>364</v>
      </c>
      <c r="AN71" s="222" t="s">
        <v>365</v>
      </c>
      <c r="AO71" s="229"/>
      <c r="AP71" s="230" t="s">
        <v>287</v>
      </c>
      <c r="AQ71" s="231" t="s">
        <v>362</v>
      </c>
      <c r="AR71" s="225"/>
      <c r="AS71" s="221" t="s">
        <v>354</v>
      </c>
      <c r="AT71" s="222" t="s">
        <v>68</v>
      </c>
      <c r="AU71" s="229"/>
      <c r="AV71" s="230" t="s">
        <v>68</v>
      </c>
      <c r="AW71" s="224" t="s">
        <v>68</v>
      </c>
      <c r="AX71" s="225"/>
      <c r="AY71" s="227" t="s">
        <v>68</v>
      </c>
      <c r="AZ71" s="222" t="s">
        <v>68</v>
      </c>
      <c r="BA71" s="229"/>
      <c r="BB71" s="230" t="s">
        <v>68</v>
      </c>
      <c r="BC71" s="231" t="s">
        <v>68</v>
      </c>
      <c r="BD71" s="225"/>
      <c r="BE71" s="227" t="s">
        <v>68</v>
      </c>
      <c r="BF71" s="263" t="s">
        <v>362</v>
      </c>
      <c r="BG71" s="264"/>
      <c r="BH71" s="265" t="s">
        <v>362</v>
      </c>
      <c r="BI71" s="249" t="s">
        <v>362</v>
      </c>
      <c r="BJ71" s="243"/>
      <c r="BK71" s="266" t="s">
        <v>362</v>
      </c>
      <c r="BL71" s="263" t="s">
        <v>362</v>
      </c>
      <c r="BM71" s="264"/>
      <c r="BN71" s="265" t="s">
        <v>362</v>
      </c>
    </row>
    <row r="72" customFormat="false" ht="17.25" hidden="false" customHeight="true" outlineLevel="0" collapsed="false">
      <c r="B72" s="198"/>
      <c r="C72" s="262"/>
      <c r="D72" s="240"/>
      <c r="E72" s="201" t="s">
        <v>298</v>
      </c>
      <c r="F72" s="241"/>
      <c r="G72" s="224" t="s">
        <v>329</v>
      </c>
      <c r="H72" s="225"/>
      <c r="I72" s="227" t="s">
        <v>287</v>
      </c>
      <c r="J72" s="222" t="s">
        <v>55</v>
      </c>
      <c r="K72" s="223"/>
      <c r="L72" s="223" t="s">
        <v>55</v>
      </c>
      <c r="M72" s="224" t="s">
        <v>55</v>
      </c>
      <c r="N72" s="225"/>
      <c r="O72" s="226" t="s">
        <v>55</v>
      </c>
      <c r="P72" s="224" t="s">
        <v>55</v>
      </c>
      <c r="Q72" s="225"/>
      <c r="R72" s="227" t="s">
        <v>55</v>
      </c>
      <c r="S72" s="228" t="s">
        <v>361</v>
      </c>
      <c r="T72" s="229" t="s">
        <v>361</v>
      </c>
      <c r="U72" s="230" t="s">
        <v>361</v>
      </c>
      <c r="V72" s="231" t="s">
        <v>362</v>
      </c>
      <c r="W72" s="225"/>
      <c r="X72" s="227" t="s">
        <v>362</v>
      </c>
      <c r="Y72" s="237" t="s">
        <v>362</v>
      </c>
      <c r="Z72" s="223"/>
      <c r="AA72" s="230" t="s">
        <v>362</v>
      </c>
      <c r="AB72" s="231" t="s">
        <v>362</v>
      </c>
      <c r="AC72" s="225"/>
      <c r="AD72" s="227" t="s">
        <v>362</v>
      </c>
      <c r="AE72" s="222" t="s">
        <v>68</v>
      </c>
      <c r="AF72" s="229"/>
      <c r="AG72" s="230" t="s">
        <v>68</v>
      </c>
      <c r="AH72" s="224" t="s">
        <v>68</v>
      </c>
      <c r="AI72" s="225"/>
      <c r="AJ72" s="227" t="s">
        <v>68</v>
      </c>
      <c r="AK72" s="249" t="s">
        <v>363</v>
      </c>
      <c r="AL72" s="260"/>
      <c r="AM72" s="261" t="s">
        <v>364</v>
      </c>
      <c r="AN72" s="222" t="s">
        <v>365</v>
      </c>
      <c r="AO72" s="229"/>
      <c r="AP72" s="230" t="s">
        <v>287</v>
      </c>
      <c r="AQ72" s="231" t="s">
        <v>362</v>
      </c>
      <c r="AR72" s="225"/>
      <c r="AS72" s="221" t="s">
        <v>354</v>
      </c>
      <c r="AT72" s="222" t="s">
        <v>68</v>
      </c>
      <c r="AU72" s="229"/>
      <c r="AV72" s="230" t="s">
        <v>68</v>
      </c>
      <c r="AW72" s="224" t="s">
        <v>68</v>
      </c>
      <c r="AX72" s="225"/>
      <c r="AY72" s="227" t="s">
        <v>68</v>
      </c>
      <c r="AZ72" s="222" t="s">
        <v>68</v>
      </c>
      <c r="BA72" s="229"/>
      <c r="BB72" s="230" t="s">
        <v>68</v>
      </c>
      <c r="BC72" s="231" t="s">
        <v>68</v>
      </c>
      <c r="BD72" s="225"/>
      <c r="BE72" s="227" t="s">
        <v>68</v>
      </c>
      <c r="BF72" s="263" t="s">
        <v>362</v>
      </c>
      <c r="BG72" s="264"/>
      <c r="BH72" s="265" t="s">
        <v>362</v>
      </c>
      <c r="BI72" s="249" t="s">
        <v>362</v>
      </c>
      <c r="BJ72" s="243"/>
      <c r="BK72" s="266" t="s">
        <v>362</v>
      </c>
      <c r="BL72" s="263" t="s">
        <v>362</v>
      </c>
      <c r="BM72" s="264"/>
      <c r="BN72" s="265" t="s">
        <v>362</v>
      </c>
    </row>
    <row r="73" customFormat="false" ht="17.25" hidden="false" customHeight="true" outlineLevel="0" collapsed="false">
      <c r="B73" s="198"/>
      <c r="C73" s="245" t="s">
        <v>366</v>
      </c>
      <c r="D73" s="267"/>
      <c r="E73" s="201" t="s">
        <v>274</v>
      </c>
      <c r="F73" s="268"/>
      <c r="G73" s="224" t="s">
        <v>55</v>
      </c>
      <c r="H73" s="225"/>
      <c r="I73" s="269" t="s">
        <v>55</v>
      </c>
      <c r="J73" s="222" t="s">
        <v>367</v>
      </c>
      <c r="K73" s="223"/>
      <c r="L73" s="223" t="s">
        <v>367</v>
      </c>
      <c r="M73" s="224" t="s">
        <v>367</v>
      </c>
      <c r="N73" s="225"/>
      <c r="O73" s="226" t="s">
        <v>367</v>
      </c>
      <c r="P73" s="224" t="s">
        <v>367</v>
      </c>
      <c r="Q73" s="225"/>
      <c r="R73" s="227" t="s">
        <v>367</v>
      </c>
      <c r="S73" s="228" t="s">
        <v>368</v>
      </c>
      <c r="T73" s="229"/>
      <c r="U73" s="230" t="s">
        <v>369</v>
      </c>
      <c r="V73" s="231" t="s">
        <v>370</v>
      </c>
      <c r="W73" s="252"/>
      <c r="X73" s="224" t="s">
        <v>370</v>
      </c>
      <c r="Y73" s="237" t="s">
        <v>371</v>
      </c>
      <c r="Z73" s="229"/>
      <c r="AA73" s="222" t="s">
        <v>371</v>
      </c>
      <c r="AB73" s="231" t="s">
        <v>371</v>
      </c>
      <c r="AC73" s="225"/>
      <c r="AD73" s="224" t="s">
        <v>371</v>
      </c>
      <c r="AE73" s="222" t="s">
        <v>68</v>
      </c>
      <c r="AF73" s="229"/>
      <c r="AG73" s="230" t="s">
        <v>68</v>
      </c>
      <c r="AH73" s="224" t="s">
        <v>68</v>
      </c>
      <c r="AI73" s="225"/>
      <c r="AJ73" s="227" t="s">
        <v>68</v>
      </c>
      <c r="AK73" s="249" t="s">
        <v>372</v>
      </c>
      <c r="AL73" s="243"/>
      <c r="AM73" s="266" t="s">
        <v>373</v>
      </c>
      <c r="AN73" s="237" t="s">
        <v>373</v>
      </c>
      <c r="AO73" s="229"/>
      <c r="AP73" s="230" t="s">
        <v>372</v>
      </c>
      <c r="AQ73" s="231" t="s">
        <v>68</v>
      </c>
      <c r="AR73" s="225"/>
      <c r="AS73" s="227" t="s">
        <v>68</v>
      </c>
      <c r="AT73" s="222" t="s">
        <v>68</v>
      </c>
      <c r="AU73" s="229"/>
      <c r="AV73" s="230" t="s">
        <v>68</v>
      </c>
      <c r="AW73" s="224" t="s">
        <v>68</v>
      </c>
      <c r="AX73" s="225"/>
      <c r="AY73" s="227" t="s">
        <v>68</v>
      </c>
      <c r="AZ73" s="222" t="s">
        <v>68</v>
      </c>
      <c r="BA73" s="229"/>
      <c r="BB73" s="230" t="s">
        <v>68</v>
      </c>
      <c r="BC73" s="231" t="s">
        <v>68</v>
      </c>
      <c r="BD73" s="225"/>
      <c r="BE73" s="227" t="s">
        <v>68</v>
      </c>
      <c r="BF73" s="263"/>
      <c r="BG73" s="264"/>
      <c r="BH73" s="265"/>
      <c r="BI73" s="249"/>
      <c r="BJ73" s="243"/>
      <c r="BK73" s="266"/>
      <c r="BL73" s="263"/>
      <c r="BM73" s="264"/>
      <c r="BN73" s="265"/>
    </row>
    <row r="74" customFormat="false" ht="17.25" hidden="false" customHeight="true" outlineLevel="0" collapsed="false">
      <c r="B74" s="198"/>
      <c r="C74" s="245"/>
      <c r="D74" s="267"/>
      <c r="E74" s="201" t="s">
        <v>296</v>
      </c>
      <c r="F74" s="270"/>
      <c r="G74" s="259" t="s">
        <v>55</v>
      </c>
      <c r="H74" s="252"/>
      <c r="I74" s="251" t="s">
        <v>55</v>
      </c>
      <c r="J74" s="222" t="s">
        <v>367</v>
      </c>
      <c r="K74" s="254"/>
      <c r="L74" s="223" t="s">
        <v>367</v>
      </c>
      <c r="M74" s="224" t="s">
        <v>367</v>
      </c>
      <c r="N74" s="225"/>
      <c r="O74" s="226" t="s">
        <v>367</v>
      </c>
      <c r="P74" s="224" t="s">
        <v>367</v>
      </c>
      <c r="Q74" s="225"/>
      <c r="R74" s="227" t="s">
        <v>367</v>
      </c>
      <c r="S74" s="228" t="s">
        <v>368</v>
      </c>
      <c r="T74" s="229"/>
      <c r="U74" s="230" t="s">
        <v>369</v>
      </c>
      <c r="V74" s="231" t="s">
        <v>370</v>
      </c>
      <c r="W74" s="252"/>
      <c r="X74" s="224" t="s">
        <v>370</v>
      </c>
      <c r="Y74" s="237" t="s">
        <v>371</v>
      </c>
      <c r="Z74" s="255"/>
      <c r="AA74" s="222" t="s">
        <v>371</v>
      </c>
      <c r="AB74" s="231" t="s">
        <v>371</v>
      </c>
      <c r="AC74" s="252"/>
      <c r="AD74" s="224" t="s">
        <v>371</v>
      </c>
      <c r="AE74" s="257" t="s">
        <v>68</v>
      </c>
      <c r="AF74" s="255"/>
      <c r="AG74" s="258" t="s">
        <v>68</v>
      </c>
      <c r="AH74" s="259" t="s">
        <v>68</v>
      </c>
      <c r="AI74" s="252"/>
      <c r="AJ74" s="253" t="s">
        <v>68</v>
      </c>
      <c r="AK74" s="249" t="s">
        <v>372</v>
      </c>
      <c r="AL74" s="260"/>
      <c r="AM74" s="266" t="s">
        <v>373</v>
      </c>
      <c r="AN74" s="237" t="s">
        <v>373</v>
      </c>
      <c r="AO74" s="255"/>
      <c r="AP74" s="230" t="s">
        <v>372</v>
      </c>
      <c r="AQ74" s="231" t="s">
        <v>68</v>
      </c>
      <c r="AR74" s="252"/>
      <c r="AS74" s="227" t="s">
        <v>68</v>
      </c>
      <c r="AT74" s="222" t="s">
        <v>68</v>
      </c>
      <c r="AU74" s="229"/>
      <c r="AV74" s="230" t="s">
        <v>68</v>
      </c>
      <c r="AW74" s="224" t="s">
        <v>68</v>
      </c>
      <c r="AX74" s="225"/>
      <c r="AY74" s="227" t="s">
        <v>68</v>
      </c>
      <c r="AZ74" s="222" t="s">
        <v>68</v>
      </c>
      <c r="BA74" s="229"/>
      <c r="BB74" s="230" t="s">
        <v>68</v>
      </c>
      <c r="BC74" s="256" t="s">
        <v>68</v>
      </c>
      <c r="BD74" s="252"/>
      <c r="BE74" s="253" t="s">
        <v>68</v>
      </c>
      <c r="BF74" s="263"/>
      <c r="BG74" s="264"/>
      <c r="BH74" s="265"/>
      <c r="BI74" s="249"/>
      <c r="BJ74" s="243"/>
      <c r="BK74" s="266"/>
      <c r="BL74" s="263"/>
      <c r="BM74" s="264"/>
      <c r="BN74" s="265"/>
    </row>
    <row r="75" customFormat="false" ht="17.25" hidden="false" customHeight="true" outlineLevel="0" collapsed="false">
      <c r="B75" s="198"/>
      <c r="C75" s="245"/>
      <c r="D75" s="267"/>
      <c r="E75" s="201" t="s">
        <v>297</v>
      </c>
      <c r="F75" s="270"/>
      <c r="G75" s="224" t="s">
        <v>55</v>
      </c>
      <c r="H75" s="252"/>
      <c r="I75" s="269" t="s">
        <v>55</v>
      </c>
      <c r="J75" s="222" t="s">
        <v>367</v>
      </c>
      <c r="K75" s="254"/>
      <c r="L75" s="223" t="s">
        <v>367</v>
      </c>
      <c r="M75" s="224" t="s">
        <v>367</v>
      </c>
      <c r="N75" s="225"/>
      <c r="O75" s="226" t="s">
        <v>367</v>
      </c>
      <c r="P75" s="224" t="s">
        <v>367</v>
      </c>
      <c r="Q75" s="225"/>
      <c r="R75" s="227" t="s">
        <v>367</v>
      </c>
      <c r="S75" s="228" t="s">
        <v>368</v>
      </c>
      <c r="T75" s="229"/>
      <c r="U75" s="230" t="s">
        <v>369</v>
      </c>
      <c r="V75" s="231" t="s">
        <v>370</v>
      </c>
      <c r="W75" s="252"/>
      <c r="X75" s="224" t="s">
        <v>370</v>
      </c>
      <c r="Y75" s="237" t="s">
        <v>371</v>
      </c>
      <c r="Z75" s="255"/>
      <c r="AA75" s="222" t="s">
        <v>371</v>
      </c>
      <c r="AB75" s="231" t="s">
        <v>371</v>
      </c>
      <c r="AC75" s="252"/>
      <c r="AD75" s="224" t="s">
        <v>371</v>
      </c>
      <c r="AE75" s="257" t="s">
        <v>68</v>
      </c>
      <c r="AF75" s="255"/>
      <c r="AG75" s="258" t="s">
        <v>68</v>
      </c>
      <c r="AH75" s="259" t="s">
        <v>68</v>
      </c>
      <c r="AI75" s="252"/>
      <c r="AJ75" s="253" t="s">
        <v>68</v>
      </c>
      <c r="AK75" s="249" t="s">
        <v>372</v>
      </c>
      <c r="AL75" s="260"/>
      <c r="AM75" s="266" t="s">
        <v>373</v>
      </c>
      <c r="AN75" s="237" t="s">
        <v>373</v>
      </c>
      <c r="AO75" s="255"/>
      <c r="AP75" s="230" t="s">
        <v>372</v>
      </c>
      <c r="AQ75" s="231" t="s">
        <v>68</v>
      </c>
      <c r="AR75" s="252"/>
      <c r="AS75" s="227" t="s">
        <v>68</v>
      </c>
      <c r="AT75" s="222" t="s">
        <v>68</v>
      </c>
      <c r="AU75" s="229"/>
      <c r="AV75" s="230" t="s">
        <v>68</v>
      </c>
      <c r="AW75" s="224" t="s">
        <v>68</v>
      </c>
      <c r="AX75" s="225"/>
      <c r="AY75" s="227" t="s">
        <v>68</v>
      </c>
      <c r="AZ75" s="222" t="s">
        <v>68</v>
      </c>
      <c r="BA75" s="229"/>
      <c r="BB75" s="230" t="s">
        <v>68</v>
      </c>
      <c r="BC75" s="256" t="s">
        <v>68</v>
      </c>
      <c r="BD75" s="252"/>
      <c r="BE75" s="253" t="s">
        <v>68</v>
      </c>
      <c r="BF75" s="263"/>
      <c r="BG75" s="264"/>
      <c r="BH75" s="265"/>
      <c r="BI75" s="249"/>
      <c r="BJ75" s="243"/>
      <c r="BK75" s="266"/>
      <c r="BL75" s="263"/>
      <c r="BM75" s="264"/>
      <c r="BN75" s="265"/>
    </row>
    <row r="76" customFormat="false" ht="17.25" hidden="false" customHeight="true" outlineLevel="0" collapsed="false">
      <c r="B76" s="198"/>
      <c r="C76" s="245"/>
      <c r="D76" s="267"/>
      <c r="E76" s="201" t="s">
        <v>298</v>
      </c>
      <c r="F76" s="270"/>
      <c r="G76" s="259" t="s">
        <v>55</v>
      </c>
      <c r="H76" s="252"/>
      <c r="I76" s="251" t="s">
        <v>55</v>
      </c>
      <c r="J76" s="222" t="s">
        <v>367</v>
      </c>
      <c r="K76" s="254"/>
      <c r="L76" s="223" t="s">
        <v>367</v>
      </c>
      <c r="M76" s="224" t="s">
        <v>367</v>
      </c>
      <c r="N76" s="225"/>
      <c r="O76" s="226" t="s">
        <v>367</v>
      </c>
      <c r="P76" s="224" t="s">
        <v>367</v>
      </c>
      <c r="Q76" s="225"/>
      <c r="R76" s="227" t="s">
        <v>367</v>
      </c>
      <c r="S76" s="228" t="s">
        <v>368</v>
      </c>
      <c r="T76" s="229"/>
      <c r="U76" s="230" t="s">
        <v>369</v>
      </c>
      <c r="V76" s="231" t="s">
        <v>370</v>
      </c>
      <c r="W76" s="252"/>
      <c r="X76" s="224" t="s">
        <v>370</v>
      </c>
      <c r="Y76" s="237" t="s">
        <v>371</v>
      </c>
      <c r="Z76" s="255"/>
      <c r="AA76" s="222" t="s">
        <v>371</v>
      </c>
      <c r="AB76" s="231" t="s">
        <v>371</v>
      </c>
      <c r="AC76" s="252"/>
      <c r="AD76" s="224" t="s">
        <v>371</v>
      </c>
      <c r="AE76" s="257" t="s">
        <v>68</v>
      </c>
      <c r="AF76" s="255"/>
      <c r="AG76" s="258" t="s">
        <v>68</v>
      </c>
      <c r="AH76" s="259" t="s">
        <v>68</v>
      </c>
      <c r="AI76" s="252"/>
      <c r="AJ76" s="253" t="s">
        <v>68</v>
      </c>
      <c r="AK76" s="249" t="s">
        <v>372</v>
      </c>
      <c r="AL76" s="260"/>
      <c r="AM76" s="266" t="s">
        <v>373</v>
      </c>
      <c r="AN76" s="237" t="s">
        <v>373</v>
      </c>
      <c r="AO76" s="255"/>
      <c r="AP76" s="230" t="s">
        <v>372</v>
      </c>
      <c r="AQ76" s="231" t="s">
        <v>68</v>
      </c>
      <c r="AR76" s="252"/>
      <c r="AS76" s="227" t="s">
        <v>68</v>
      </c>
      <c r="AT76" s="222" t="s">
        <v>68</v>
      </c>
      <c r="AU76" s="229"/>
      <c r="AV76" s="230" t="s">
        <v>68</v>
      </c>
      <c r="AW76" s="224" t="s">
        <v>68</v>
      </c>
      <c r="AX76" s="225"/>
      <c r="AY76" s="227" t="s">
        <v>68</v>
      </c>
      <c r="AZ76" s="222" t="s">
        <v>68</v>
      </c>
      <c r="BA76" s="229"/>
      <c r="BB76" s="230" t="s">
        <v>68</v>
      </c>
      <c r="BC76" s="256" t="s">
        <v>68</v>
      </c>
      <c r="BD76" s="252"/>
      <c r="BE76" s="253" t="s">
        <v>68</v>
      </c>
      <c r="BF76" s="263"/>
      <c r="BG76" s="264"/>
      <c r="BH76" s="265"/>
      <c r="BI76" s="249"/>
      <c r="BJ76" s="243"/>
      <c r="BK76" s="266"/>
      <c r="BL76" s="263"/>
      <c r="BM76" s="264"/>
      <c r="BN76" s="265"/>
    </row>
    <row r="77" customFormat="false" ht="17.25" hidden="false" customHeight="true" outlineLevel="0" collapsed="false">
      <c r="B77" s="198"/>
      <c r="C77" s="271" t="s">
        <v>374</v>
      </c>
      <c r="D77" s="272"/>
      <c r="E77" s="273" t="s">
        <v>274</v>
      </c>
      <c r="F77" s="270"/>
      <c r="G77" s="224" t="s">
        <v>55</v>
      </c>
      <c r="H77" s="252"/>
      <c r="I77" s="269" t="s">
        <v>55</v>
      </c>
      <c r="J77" s="222" t="s">
        <v>367</v>
      </c>
      <c r="K77" s="254"/>
      <c r="L77" s="223" t="s">
        <v>367</v>
      </c>
      <c r="M77" s="224" t="s">
        <v>367</v>
      </c>
      <c r="N77" s="225"/>
      <c r="O77" s="226" t="s">
        <v>367</v>
      </c>
      <c r="P77" s="224" t="s">
        <v>367</v>
      </c>
      <c r="Q77" s="225"/>
      <c r="R77" s="227" t="s">
        <v>367</v>
      </c>
      <c r="S77" s="228" t="s">
        <v>368</v>
      </c>
      <c r="T77" s="229"/>
      <c r="U77" s="230" t="s">
        <v>369</v>
      </c>
      <c r="V77" s="231" t="s">
        <v>370</v>
      </c>
      <c r="W77" s="252"/>
      <c r="X77" s="224" t="s">
        <v>370</v>
      </c>
      <c r="Y77" s="237" t="s">
        <v>371</v>
      </c>
      <c r="Z77" s="255"/>
      <c r="AA77" s="222" t="s">
        <v>371</v>
      </c>
      <c r="AB77" s="231" t="s">
        <v>371</v>
      </c>
      <c r="AC77" s="252"/>
      <c r="AD77" s="224" t="s">
        <v>371</v>
      </c>
      <c r="AE77" s="257" t="s">
        <v>68</v>
      </c>
      <c r="AF77" s="255"/>
      <c r="AG77" s="258" t="s">
        <v>68</v>
      </c>
      <c r="AH77" s="259" t="s">
        <v>68</v>
      </c>
      <c r="AI77" s="252"/>
      <c r="AJ77" s="253" t="s">
        <v>68</v>
      </c>
      <c r="AK77" s="249" t="s">
        <v>372</v>
      </c>
      <c r="AL77" s="260"/>
      <c r="AM77" s="266" t="s">
        <v>373</v>
      </c>
      <c r="AN77" s="237" t="s">
        <v>373</v>
      </c>
      <c r="AO77" s="255"/>
      <c r="AP77" s="230" t="s">
        <v>372</v>
      </c>
      <c r="AQ77" s="231" t="s">
        <v>68</v>
      </c>
      <c r="AR77" s="252"/>
      <c r="AS77" s="227" t="s">
        <v>68</v>
      </c>
      <c r="AT77" s="222" t="s">
        <v>68</v>
      </c>
      <c r="AU77" s="229"/>
      <c r="AV77" s="230" t="s">
        <v>68</v>
      </c>
      <c r="AW77" s="224" t="s">
        <v>68</v>
      </c>
      <c r="AX77" s="225"/>
      <c r="AY77" s="227" t="s">
        <v>68</v>
      </c>
      <c r="AZ77" s="222" t="s">
        <v>68</v>
      </c>
      <c r="BA77" s="229"/>
      <c r="BB77" s="230" t="s">
        <v>68</v>
      </c>
      <c r="BC77" s="256" t="s">
        <v>68</v>
      </c>
      <c r="BD77" s="252"/>
      <c r="BE77" s="253" t="s">
        <v>68</v>
      </c>
      <c r="BF77" s="263"/>
      <c r="BG77" s="264"/>
      <c r="BH77" s="265"/>
      <c r="BI77" s="249"/>
      <c r="BJ77" s="243"/>
      <c r="BK77" s="266"/>
      <c r="BL77" s="263"/>
      <c r="BM77" s="264"/>
      <c r="BN77" s="265"/>
    </row>
    <row r="78" customFormat="false" ht="17.25" hidden="false" customHeight="true" outlineLevel="0" collapsed="false">
      <c r="B78" s="198"/>
      <c r="C78" s="271"/>
      <c r="D78" s="274"/>
      <c r="E78" s="273" t="s">
        <v>296</v>
      </c>
      <c r="F78" s="270"/>
      <c r="G78" s="259" t="s">
        <v>55</v>
      </c>
      <c r="H78" s="252"/>
      <c r="I78" s="251" t="s">
        <v>55</v>
      </c>
      <c r="J78" s="222" t="s">
        <v>367</v>
      </c>
      <c r="K78" s="254"/>
      <c r="L78" s="223" t="s">
        <v>367</v>
      </c>
      <c r="M78" s="224" t="s">
        <v>367</v>
      </c>
      <c r="N78" s="225"/>
      <c r="O78" s="226" t="s">
        <v>367</v>
      </c>
      <c r="P78" s="224" t="s">
        <v>367</v>
      </c>
      <c r="Q78" s="225"/>
      <c r="R78" s="227" t="s">
        <v>367</v>
      </c>
      <c r="S78" s="228" t="s">
        <v>368</v>
      </c>
      <c r="T78" s="229"/>
      <c r="U78" s="230" t="s">
        <v>369</v>
      </c>
      <c r="V78" s="231" t="s">
        <v>370</v>
      </c>
      <c r="W78" s="252"/>
      <c r="X78" s="224" t="s">
        <v>370</v>
      </c>
      <c r="Y78" s="237" t="s">
        <v>371</v>
      </c>
      <c r="Z78" s="255"/>
      <c r="AA78" s="222" t="s">
        <v>371</v>
      </c>
      <c r="AB78" s="231" t="s">
        <v>371</v>
      </c>
      <c r="AC78" s="252"/>
      <c r="AD78" s="224" t="s">
        <v>371</v>
      </c>
      <c r="AE78" s="257" t="s">
        <v>68</v>
      </c>
      <c r="AF78" s="255"/>
      <c r="AG78" s="258" t="s">
        <v>68</v>
      </c>
      <c r="AH78" s="259" t="s">
        <v>68</v>
      </c>
      <c r="AI78" s="252"/>
      <c r="AJ78" s="253" t="s">
        <v>68</v>
      </c>
      <c r="AK78" s="249" t="s">
        <v>372</v>
      </c>
      <c r="AL78" s="260"/>
      <c r="AM78" s="266" t="s">
        <v>373</v>
      </c>
      <c r="AN78" s="237" t="s">
        <v>373</v>
      </c>
      <c r="AO78" s="255"/>
      <c r="AP78" s="230" t="s">
        <v>372</v>
      </c>
      <c r="AQ78" s="231" t="s">
        <v>68</v>
      </c>
      <c r="AR78" s="252"/>
      <c r="AS78" s="227" t="s">
        <v>68</v>
      </c>
      <c r="AT78" s="222" t="s">
        <v>68</v>
      </c>
      <c r="AU78" s="229"/>
      <c r="AV78" s="230" t="s">
        <v>68</v>
      </c>
      <c r="AW78" s="224" t="s">
        <v>68</v>
      </c>
      <c r="AX78" s="225"/>
      <c r="AY78" s="227" t="s">
        <v>68</v>
      </c>
      <c r="AZ78" s="222" t="s">
        <v>68</v>
      </c>
      <c r="BA78" s="229"/>
      <c r="BB78" s="230" t="s">
        <v>68</v>
      </c>
      <c r="BC78" s="256" t="s">
        <v>68</v>
      </c>
      <c r="BD78" s="252"/>
      <c r="BE78" s="253" t="s">
        <v>68</v>
      </c>
      <c r="BF78" s="263"/>
      <c r="BG78" s="264"/>
      <c r="BH78" s="265"/>
      <c r="BI78" s="249"/>
      <c r="BJ78" s="243"/>
      <c r="BK78" s="266"/>
      <c r="BL78" s="263"/>
      <c r="BM78" s="264"/>
      <c r="BN78" s="265"/>
    </row>
    <row r="79" customFormat="false" ht="17.25" hidden="false" customHeight="true" outlineLevel="0" collapsed="false">
      <c r="B79" s="198"/>
      <c r="C79" s="271"/>
      <c r="D79" s="274"/>
      <c r="E79" s="273" t="s">
        <v>297</v>
      </c>
      <c r="F79" s="270"/>
      <c r="G79" s="224" t="s">
        <v>55</v>
      </c>
      <c r="H79" s="252"/>
      <c r="I79" s="269" t="s">
        <v>55</v>
      </c>
      <c r="J79" s="222" t="s">
        <v>367</v>
      </c>
      <c r="K79" s="254"/>
      <c r="L79" s="223" t="s">
        <v>367</v>
      </c>
      <c r="M79" s="224" t="s">
        <v>367</v>
      </c>
      <c r="N79" s="225"/>
      <c r="O79" s="226" t="s">
        <v>367</v>
      </c>
      <c r="P79" s="224" t="s">
        <v>367</v>
      </c>
      <c r="Q79" s="225"/>
      <c r="R79" s="227" t="s">
        <v>367</v>
      </c>
      <c r="S79" s="228" t="s">
        <v>368</v>
      </c>
      <c r="T79" s="229"/>
      <c r="U79" s="230" t="s">
        <v>369</v>
      </c>
      <c r="V79" s="231" t="s">
        <v>370</v>
      </c>
      <c r="W79" s="252"/>
      <c r="X79" s="224" t="s">
        <v>370</v>
      </c>
      <c r="Y79" s="237" t="s">
        <v>371</v>
      </c>
      <c r="Z79" s="255"/>
      <c r="AA79" s="222" t="s">
        <v>371</v>
      </c>
      <c r="AB79" s="231" t="s">
        <v>371</v>
      </c>
      <c r="AC79" s="252"/>
      <c r="AD79" s="224" t="s">
        <v>371</v>
      </c>
      <c r="AE79" s="257" t="s">
        <v>68</v>
      </c>
      <c r="AF79" s="255"/>
      <c r="AG79" s="258" t="s">
        <v>68</v>
      </c>
      <c r="AH79" s="259" t="s">
        <v>68</v>
      </c>
      <c r="AI79" s="252"/>
      <c r="AJ79" s="253" t="s">
        <v>68</v>
      </c>
      <c r="AK79" s="249" t="s">
        <v>372</v>
      </c>
      <c r="AL79" s="260"/>
      <c r="AM79" s="266" t="s">
        <v>373</v>
      </c>
      <c r="AN79" s="237" t="s">
        <v>373</v>
      </c>
      <c r="AO79" s="255"/>
      <c r="AP79" s="230" t="s">
        <v>372</v>
      </c>
      <c r="AQ79" s="231" t="s">
        <v>68</v>
      </c>
      <c r="AR79" s="252"/>
      <c r="AS79" s="227" t="s">
        <v>68</v>
      </c>
      <c r="AT79" s="222" t="s">
        <v>68</v>
      </c>
      <c r="AU79" s="229"/>
      <c r="AV79" s="230" t="s">
        <v>68</v>
      </c>
      <c r="AW79" s="224" t="s">
        <v>68</v>
      </c>
      <c r="AX79" s="225"/>
      <c r="AY79" s="227" t="s">
        <v>68</v>
      </c>
      <c r="AZ79" s="222" t="s">
        <v>68</v>
      </c>
      <c r="BA79" s="229"/>
      <c r="BB79" s="230" t="s">
        <v>68</v>
      </c>
      <c r="BC79" s="256" t="s">
        <v>68</v>
      </c>
      <c r="BD79" s="252"/>
      <c r="BE79" s="253" t="s">
        <v>68</v>
      </c>
      <c r="BF79" s="263"/>
      <c r="BG79" s="264"/>
      <c r="BH79" s="265"/>
      <c r="BI79" s="249"/>
      <c r="BJ79" s="243"/>
      <c r="BK79" s="266"/>
      <c r="BL79" s="263"/>
      <c r="BM79" s="264"/>
      <c r="BN79" s="265"/>
    </row>
    <row r="80" customFormat="false" ht="17.25" hidden="false" customHeight="true" outlineLevel="0" collapsed="false">
      <c r="B80" s="198"/>
      <c r="C80" s="271"/>
      <c r="D80" s="274"/>
      <c r="E80" s="273" t="s">
        <v>298</v>
      </c>
      <c r="F80" s="270"/>
      <c r="G80" s="259" t="s">
        <v>55</v>
      </c>
      <c r="H80" s="275"/>
      <c r="I80" s="251" t="s">
        <v>55</v>
      </c>
      <c r="J80" s="257" t="s">
        <v>367</v>
      </c>
      <c r="K80" s="254"/>
      <c r="L80" s="276" t="s">
        <v>367</v>
      </c>
      <c r="M80" s="277" t="s">
        <v>367</v>
      </c>
      <c r="N80" s="278"/>
      <c r="O80" s="279" t="s">
        <v>367</v>
      </c>
      <c r="P80" s="277" t="s">
        <v>367</v>
      </c>
      <c r="Q80" s="278"/>
      <c r="R80" s="280" t="s">
        <v>367</v>
      </c>
      <c r="S80" s="228" t="s">
        <v>368</v>
      </c>
      <c r="T80" s="281"/>
      <c r="U80" s="230" t="s">
        <v>369</v>
      </c>
      <c r="V80" s="231" t="s">
        <v>370</v>
      </c>
      <c r="W80" s="252"/>
      <c r="X80" s="224" t="s">
        <v>370</v>
      </c>
      <c r="Y80" s="237" t="s">
        <v>371</v>
      </c>
      <c r="Z80" s="255"/>
      <c r="AA80" s="222" t="s">
        <v>371</v>
      </c>
      <c r="AB80" s="231" t="s">
        <v>371</v>
      </c>
      <c r="AC80" s="252"/>
      <c r="AD80" s="224" t="s">
        <v>371</v>
      </c>
      <c r="AE80" s="257" t="s">
        <v>68</v>
      </c>
      <c r="AF80" s="255"/>
      <c r="AG80" s="258" t="s">
        <v>68</v>
      </c>
      <c r="AH80" s="259" t="s">
        <v>68</v>
      </c>
      <c r="AI80" s="252"/>
      <c r="AJ80" s="253" t="s">
        <v>68</v>
      </c>
      <c r="AK80" s="249" t="s">
        <v>372</v>
      </c>
      <c r="AL80" s="260"/>
      <c r="AM80" s="266" t="s">
        <v>373</v>
      </c>
      <c r="AN80" s="237" t="s">
        <v>373</v>
      </c>
      <c r="AO80" s="255"/>
      <c r="AP80" s="230" t="s">
        <v>372</v>
      </c>
      <c r="AQ80" s="231" t="s">
        <v>68</v>
      </c>
      <c r="AR80" s="252"/>
      <c r="AS80" s="227" t="s">
        <v>68</v>
      </c>
      <c r="AT80" s="282" t="s">
        <v>68</v>
      </c>
      <c r="AU80" s="281"/>
      <c r="AV80" s="283" t="s">
        <v>68</v>
      </c>
      <c r="AW80" s="277" t="s">
        <v>68</v>
      </c>
      <c r="AX80" s="278"/>
      <c r="AY80" s="280" t="s">
        <v>68</v>
      </c>
      <c r="AZ80" s="282" t="s">
        <v>68</v>
      </c>
      <c r="BA80" s="281"/>
      <c r="BB80" s="283" t="s">
        <v>68</v>
      </c>
      <c r="BC80" s="256" t="s">
        <v>68</v>
      </c>
      <c r="BD80" s="252"/>
      <c r="BE80" s="253" t="s">
        <v>68</v>
      </c>
      <c r="BF80" s="284"/>
      <c r="BG80" s="285"/>
      <c r="BH80" s="286"/>
      <c r="BI80" s="287"/>
      <c r="BJ80" s="288"/>
      <c r="BK80" s="289"/>
      <c r="BL80" s="284"/>
      <c r="BM80" s="285"/>
      <c r="BN80" s="286"/>
    </row>
    <row r="81" customFormat="false" ht="17.25" hidden="false" customHeight="true" outlineLevel="0" collapsed="false">
      <c r="B81" s="290" t="s">
        <v>74</v>
      </c>
      <c r="C81" s="291" t="s">
        <v>375</v>
      </c>
      <c r="D81" s="292"/>
      <c r="E81" s="293" t="s">
        <v>376</v>
      </c>
      <c r="F81" s="294"/>
      <c r="G81" s="203" t="s">
        <v>275</v>
      </c>
      <c r="H81" s="220"/>
      <c r="I81" s="209" t="s">
        <v>275</v>
      </c>
      <c r="J81" s="205" t="s">
        <v>55</v>
      </c>
      <c r="K81" s="211"/>
      <c r="L81" s="206" t="s">
        <v>55</v>
      </c>
      <c r="M81" s="203" t="s">
        <v>55</v>
      </c>
      <c r="N81" s="204"/>
      <c r="O81" s="208" t="s">
        <v>55</v>
      </c>
      <c r="P81" s="203" t="s">
        <v>55</v>
      </c>
      <c r="Q81" s="204"/>
      <c r="R81" s="209" t="s">
        <v>55</v>
      </c>
      <c r="S81" s="295" t="s">
        <v>377</v>
      </c>
      <c r="T81" s="233"/>
      <c r="U81" s="234" t="s">
        <v>378</v>
      </c>
      <c r="V81" s="213" t="s">
        <v>314</v>
      </c>
      <c r="W81" s="204"/>
      <c r="X81" s="209" t="s">
        <v>314</v>
      </c>
      <c r="Y81" s="214" t="s">
        <v>304</v>
      </c>
      <c r="Z81" s="211"/>
      <c r="AA81" s="212" t="s">
        <v>281</v>
      </c>
      <c r="AB81" s="213" t="s">
        <v>304</v>
      </c>
      <c r="AC81" s="204"/>
      <c r="AD81" s="209" t="s">
        <v>281</v>
      </c>
      <c r="AE81" s="205" t="s">
        <v>379</v>
      </c>
      <c r="AF81" s="211"/>
      <c r="AG81" s="212" t="s">
        <v>379</v>
      </c>
      <c r="AH81" s="203" t="s">
        <v>380</v>
      </c>
      <c r="AI81" s="204"/>
      <c r="AJ81" s="209" t="s">
        <v>379</v>
      </c>
      <c r="AK81" s="296" t="s">
        <v>380</v>
      </c>
      <c r="AL81" s="297"/>
      <c r="AM81" s="298" t="s">
        <v>381</v>
      </c>
      <c r="AN81" s="205" t="s">
        <v>382</v>
      </c>
      <c r="AO81" s="211"/>
      <c r="AP81" s="212" t="s">
        <v>383</v>
      </c>
      <c r="AQ81" s="213" t="s">
        <v>288</v>
      </c>
      <c r="AR81" s="204"/>
      <c r="AS81" s="209" t="s">
        <v>289</v>
      </c>
      <c r="AT81" s="236" t="s">
        <v>384</v>
      </c>
      <c r="AU81" s="233"/>
      <c r="AV81" s="234" t="s">
        <v>385</v>
      </c>
      <c r="AW81" s="219" t="s">
        <v>384</v>
      </c>
      <c r="AX81" s="220"/>
      <c r="AY81" s="221" t="s">
        <v>385</v>
      </c>
      <c r="AZ81" s="236" t="s">
        <v>386</v>
      </c>
      <c r="BA81" s="233"/>
      <c r="BB81" s="234" t="s">
        <v>387</v>
      </c>
      <c r="BC81" s="213" t="s">
        <v>293</v>
      </c>
      <c r="BD81" s="204"/>
      <c r="BE81" s="209" t="s">
        <v>294</v>
      </c>
      <c r="BF81" s="232"/>
      <c r="BG81" s="233"/>
      <c r="BH81" s="234"/>
      <c r="BI81" s="235"/>
      <c r="BJ81" s="220"/>
      <c r="BK81" s="221"/>
      <c r="BL81" s="232"/>
      <c r="BM81" s="233"/>
      <c r="BN81" s="234"/>
    </row>
    <row r="82" customFormat="false" ht="17.25" hidden="false" customHeight="true" outlineLevel="0" collapsed="false">
      <c r="B82" s="290"/>
      <c r="C82" s="291"/>
      <c r="D82" s="292"/>
      <c r="E82" s="299" t="s">
        <v>388</v>
      </c>
      <c r="F82" s="294"/>
      <c r="G82" s="219" t="s">
        <v>275</v>
      </c>
      <c r="H82" s="220"/>
      <c r="I82" s="221" t="s">
        <v>275</v>
      </c>
      <c r="J82" s="236" t="s">
        <v>55</v>
      </c>
      <c r="K82" s="233"/>
      <c r="L82" s="207" t="s">
        <v>55</v>
      </c>
      <c r="M82" s="224" t="s">
        <v>55</v>
      </c>
      <c r="N82" s="225"/>
      <c r="O82" s="226" t="s">
        <v>55</v>
      </c>
      <c r="P82" s="224" t="s">
        <v>55</v>
      </c>
      <c r="Q82" s="225"/>
      <c r="R82" s="227" t="s">
        <v>55</v>
      </c>
      <c r="S82" s="228" t="s">
        <v>389</v>
      </c>
      <c r="T82" s="233"/>
      <c r="U82" s="230" t="s">
        <v>378</v>
      </c>
      <c r="V82" s="231" t="s">
        <v>314</v>
      </c>
      <c r="W82" s="220"/>
      <c r="X82" s="225" t="s">
        <v>314</v>
      </c>
      <c r="Y82" s="237" t="s">
        <v>304</v>
      </c>
      <c r="Z82" s="229"/>
      <c r="AA82" s="234" t="s">
        <v>281</v>
      </c>
      <c r="AB82" s="235" t="s">
        <v>304</v>
      </c>
      <c r="AC82" s="220"/>
      <c r="AD82" s="221" t="s">
        <v>281</v>
      </c>
      <c r="AE82" s="236" t="s">
        <v>379</v>
      </c>
      <c r="AF82" s="233"/>
      <c r="AG82" s="234" t="s">
        <v>379</v>
      </c>
      <c r="AH82" s="219" t="s">
        <v>380</v>
      </c>
      <c r="AI82" s="220"/>
      <c r="AJ82" s="221" t="s">
        <v>379</v>
      </c>
      <c r="AK82" s="296" t="s">
        <v>380</v>
      </c>
      <c r="AL82" s="300"/>
      <c r="AM82" s="298" t="s">
        <v>381</v>
      </c>
      <c r="AN82" s="236" t="s">
        <v>382</v>
      </c>
      <c r="AO82" s="233"/>
      <c r="AP82" s="234" t="s">
        <v>383</v>
      </c>
      <c r="AQ82" s="235" t="s">
        <v>288</v>
      </c>
      <c r="AR82" s="220"/>
      <c r="AS82" s="221" t="s">
        <v>289</v>
      </c>
      <c r="AT82" s="222" t="s">
        <v>384</v>
      </c>
      <c r="AU82" s="229"/>
      <c r="AV82" s="230" t="s">
        <v>385</v>
      </c>
      <c r="AW82" s="224" t="s">
        <v>384</v>
      </c>
      <c r="AX82" s="225"/>
      <c r="AY82" s="227" t="s">
        <v>385</v>
      </c>
      <c r="AZ82" s="222" t="s">
        <v>386</v>
      </c>
      <c r="BA82" s="229"/>
      <c r="BB82" s="230" t="s">
        <v>387</v>
      </c>
      <c r="BC82" s="235" t="s">
        <v>293</v>
      </c>
      <c r="BD82" s="220"/>
      <c r="BE82" s="221" t="s">
        <v>294</v>
      </c>
      <c r="BF82" s="237"/>
      <c r="BG82" s="229"/>
      <c r="BH82" s="230"/>
      <c r="BI82" s="231"/>
      <c r="BJ82" s="225"/>
      <c r="BK82" s="227"/>
      <c r="BL82" s="237"/>
      <c r="BM82" s="229"/>
      <c r="BN82" s="230"/>
    </row>
    <row r="83" customFormat="false" ht="17.25" hidden="false" customHeight="true" outlineLevel="0" collapsed="false">
      <c r="B83" s="290"/>
      <c r="C83" s="291"/>
      <c r="D83" s="292"/>
      <c r="E83" s="299" t="s">
        <v>390</v>
      </c>
      <c r="F83" s="294"/>
      <c r="G83" s="219" t="s">
        <v>275</v>
      </c>
      <c r="H83" s="220"/>
      <c r="I83" s="221" t="s">
        <v>275</v>
      </c>
      <c r="J83" s="236" t="s">
        <v>55</v>
      </c>
      <c r="K83" s="233"/>
      <c r="L83" s="207" t="s">
        <v>55</v>
      </c>
      <c r="M83" s="224" t="s">
        <v>55</v>
      </c>
      <c r="N83" s="225"/>
      <c r="O83" s="226" t="s">
        <v>55</v>
      </c>
      <c r="P83" s="224" t="s">
        <v>55</v>
      </c>
      <c r="Q83" s="225"/>
      <c r="R83" s="227" t="s">
        <v>55</v>
      </c>
      <c r="S83" s="228" t="s">
        <v>389</v>
      </c>
      <c r="T83" s="233"/>
      <c r="U83" s="230" t="s">
        <v>378</v>
      </c>
      <c r="V83" s="231" t="s">
        <v>314</v>
      </c>
      <c r="W83" s="220"/>
      <c r="X83" s="225" t="s">
        <v>314</v>
      </c>
      <c r="Y83" s="237" t="s">
        <v>304</v>
      </c>
      <c r="Z83" s="229"/>
      <c r="AA83" s="234" t="s">
        <v>281</v>
      </c>
      <c r="AB83" s="235" t="s">
        <v>304</v>
      </c>
      <c r="AC83" s="220"/>
      <c r="AD83" s="221" t="s">
        <v>281</v>
      </c>
      <c r="AE83" s="236" t="s">
        <v>379</v>
      </c>
      <c r="AF83" s="233"/>
      <c r="AG83" s="234" t="s">
        <v>379</v>
      </c>
      <c r="AH83" s="219" t="s">
        <v>380</v>
      </c>
      <c r="AI83" s="220"/>
      <c r="AJ83" s="221" t="s">
        <v>379</v>
      </c>
      <c r="AK83" s="296" t="s">
        <v>380</v>
      </c>
      <c r="AL83" s="300"/>
      <c r="AM83" s="298" t="s">
        <v>381</v>
      </c>
      <c r="AN83" s="236" t="s">
        <v>382</v>
      </c>
      <c r="AO83" s="233"/>
      <c r="AP83" s="234" t="s">
        <v>383</v>
      </c>
      <c r="AQ83" s="235" t="s">
        <v>288</v>
      </c>
      <c r="AR83" s="220"/>
      <c r="AS83" s="221" t="s">
        <v>289</v>
      </c>
      <c r="AT83" s="222" t="s">
        <v>384</v>
      </c>
      <c r="AU83" s="229"/>
      <c r="AV83" s="230" t="s">
        <v>385</v>
      </c>
      <c r="AW83" s="224" t="s">
        <v>384</v>
      </c>
      <c r="AX83" s="225"/>
      <c r="AY83" s="227" t="s">
        <v>385</v>
      </c>
      <c r="AZ83" s="222" t="s">
        <v>386</v>
      </c>
      <c r="BA83" s="229"/>
      <c r="BB83" s="230" t="s">
        <v>387</v>
      </c>
      <c r="BC83" s="235" t="s">
        <v>293</v>
      </c>
      <c r="BD83" s="220"/>
      <c r="BE83" s="221" t="s">
        <v>294</v>
      </c>
      <c r="BF83" s="237"/>
      <c r="BG83" s="229"/>
      <c r="BH83" s="230"/>
      <c r="BI83" s="231"/>
      <c r="BJ83" s="225"/>
      <c r="BK83" s="227"/>
      <c r="BL83" s="237"/>
      <c r="BM83" s="229"/>
      <c r="BN83" s="230"/>
    </row>
    <row r="84" customFormat="false" ht="17.25" hidden="false" customHeight="true" outlineLevel="0" collapsed="false">
      <c r="B84" s="290"/>
      <c r="C84" s="291"/>
      <c r="D84" s="292"/>
      <c r="E84" s="299" t="s">
        <v>391</v>
      </c>
      <c r="F84" s="294"/>
      <c r="G84" s="219" t="s">
        <v>275</v>
      </c>
      <c r="H84" s="220"/>
      <c r="I84" s="221" t="s">
        <v>275</v>
      </c>
      <c r="J84" s="236" t="s">
        <v>55</v>
      </c>
      <c r="K84" s="233"/>
      <c r="L84" s="207" t="s">
        <v>55</v>
      </c>
      <c r="M84" s="224" t="s">
        <v>55</v>
      </c>
      <c r="N84" s="225"/>
      <c r="O84" s="226" t="s">
        <v>55</v>
      </c>
      <c r="P84" s="224" t="s">
        <v>55</v>
      </c>
      <c r="Q84" s="225"/>
      <c r="R84" s="227" t="s">
        <v>55</v>
      </c>
      <c r="S84" s="228" t="s">
        <v>389</v>
      </c>
      <c r="T84" s="233"/>
      <c r="U84" s="230" t="s">
        <v>378</v>
      </c>
      <c r="V84" s="231" t="s">
        <v>314</v>
      </c>
      <c r="W84" s="220"/>
      <c r="X84" s="225" t="s">
        <v>314</v>
      </c>
      <c r="Y84" s="237" t="s">
        <v>304</v>
      </c>
      <c r="Z84" s="229"/>
      <c r="AA84" s="234" t="s">
        <v>281</v>
      </c>
      <c r="AB84" s="235" t="s">
        <v>304</v>
      </c>
      <c r="AC84" s="220"/>
      <c r="AD84" s="221" t="s">
        <v>281</v>
      </c>
      <c r="AE84" s="236" t="s">
        <v>379</v>
      </c>
      <c r="AF84" s="233"/>
      <c r="AG84" s="234" t="s">
        <v>379</v>
      </c>
      <c r="AH84" s="219" t="s">
        <v>380</v>
      </c>
      <c r="AI84" s="220"/>
      <c r="AJ84" s="221" t="s">
        <v>379</v>
      </c>
      <c r="AK84" s="296" t="s">
        <v>380</v>
      </c>
      <c r="AL84" s="300"/>
      <c r="AM84" s="298" t="s">
        <v>381</v>
      </c>
      <c r="AN84" s="236" t="s">
        <v>382</v>
      </c>
      <c r="AO84" s="233"/>
      <c r="AP84" s="234" t="s">
        <v>383</v>
      </c>
      <c r="AQ84" s="235" t="s">
        <v>288</v>
      </c>
      <c r="AR84" s="220"/>
      <c r="AS84" s="221" t="s">
        <v>289</v>
      </c>
      <c r="AT84" s="222" t="s">
        <v>384</v>
      </c>
      <c r="AU84" s="229"/>
      <c r="AV84" s="230" t="s">
        <v>385</v>
      </c>
      <c r="AW84" s="224" t="s">
        <v>384</v>
      </c>
      <c r="AX84" s="225"/>
      <c r="AY84" s="227" t="s">
        <v>385</v>
      </c>
      <c r="AZ84" s="222" t="s">
        <v>386</v>
      </c>
      <c r="BA84" s="229"/>
      <c r="BB84" s="230" t="s">
        <v>387</v>
      </c>
      <c r="BC84" s="235" t="s">
        <v>293</v>
      </c>
      <c r="BD84" s="220"/>
      <c r="BE84" s="221" t="s">
        <v>294</v>
      </c>
      <c r="BF84" s="237"/>
      <c r="BG84" s="229"/>
      <c r="BH84" s="230"/>
      <c r="BI84" s="231"/>
      <c r="BJ84" s="225"/>
      <c r="BK84" s="227"/>
      <c r="BL84" s="237"/>
      <c r="BM84" s="229"/>
      <c r="BN84" s="230"/>
    </row>
    <row r="85" customFormat="false" ht="17.25" hidden="false" customHeight="true" outlineLevel="0" collapsed="false">
      <c r="B85" s="290"/>
      <c r="C85" s="301" t="s">
        <v>392</v>
      </c>
      <c r="D85" s="302" t="s">
        <v>82</v>
      </c>
      <c r="E85" s="303" t="s">
        <v>376</v>
      </c>
      <c r="F85" s="304" t="s">
        <v>84</v>
      </c>
      <c r="G85" s="224" t="s">
        <v>275</v>
      </c>
      <c r="H85" s="225"/>
      <c r="I85" s="227" t="s">
        <v>275</v>
      </c>
      <c r="J85" s="222" t="s">
        <v>55</v>
      </c>
      <c r="K85" s="229"/>
      <c r="L85" s="223" t="s">
        <v>55</v>
      </c>
      <c r="M85" s="224" t="s">
        <v>55</v>
      </c>
      <c r="N85" s="225"/>
      <c r="O85" s="226" t="s">
        <v>55</v>
      </c>
      <c r="P85" s="224" t="s">
        <v>55</v>
      </c>
      <c r="Q85" s="225"/>
      <c r="R85" s="227" t="s">
        <v>55</v>
      </c>
      <c r="S85" s="228" t="s">
        <v>389</v>
      </c>
      <c r="T85" s="229"/>
      <c r="U85" s="230" t="s">
        <v>378</v>
      </c>
      <c r="V85" s="231" t="s">
        <v>393</v>
      </c>
      <c r="W85" s="225"/>
      <c r="X85" s="225" t="s">
        <v>314</v>
      </c>
      <c r="Y85" s="237" t="s">
        <v>304</v>
      </c>
      <c r="Z85" s="229"/>
      <c r="AA85" s="234" t="s">
        <v>281</v>
      </c>
      <c r="AB85" s="231" t="s">
        <v>304</v>
      </c>
      <c r="AC85" s="225"/>
      <c r="AD85" s="227" t="s">
        <v>281</v>
      </c>
      <c r="AE85" s="222" t="s">
        <v>379</v>
      </c>
      <c r="AF85" s="229"/>
      <c r="AG85" s="230" t="s">
        <v>394</v>
      </c>
      <c r="AH85" s="224" t="s">
        <v>380</v>
      </c>
      <c r="AI85" s="225"/>
      <c r="AJ85" s="227" t="s">
        <v>379</v>
      </c>
      <c r="AK85" s="296" t="s">
        <v>380</v>
      </c>
      <c r="AL85" s="243"/>
      <c r="AM85" s="244" t="s">
        <v>307</v>
      </c>
      <c r="AN85" s="234" t="s">
        <v>395</v>
      </c>
      <c r="AO85" s="233"/>
      <c r="AP85" s="234" t="s">
        <v>395</v>
      </c>
      <c r="AQ85" s="235" t="s">
        <v>396</v>
      </c>
      <c r="AR85" s="220"/>
      <c r="AS85" s="221" t="s">
        <v>289</v>
      </c>
      <c r="AT85" s="222" t="s">
        <v>308</v>
      </c>
      <c r="AU85" s="229"/>
      <c r="AV85" s="230" t="s">
        <v>291</v>
      </c>
      <c r="AW85" s="224" t="s">
        <v>308</v>
      </c>
      <c r="AX85" s="225"/>
      <c r="AY85" s="227" t="s">
        <v>291</v>
      </c>
      <c r="AZ85" s="222" t="s">
        <v>308</v>
      </c>
      <c r="BA85" s="229"/>
      <c r="BB85" s="230" t="s">
        <v>288</v>
      </c>
      <c r="BC85" s="235" t="s">
        <v>293</v>
      </c>
      <c r="BD85" s="220"/>
      <c r="BE85" s="221" t="s">
        <v>294</v>
      </c>
      <c r="BF85" s="237" t="s">
        <v>357</v>
      </c>
      <c r="BG85" s="229"/>
      <c r="BH85" s="230" t="s">
        <v>279</v>
      </c>
      <c r="BI85" s="231" t="s">
        <v>357</v>
      </c>
      <c r="BJ85" s="225"/>
      <c r="BK85" s="227" t="s">
        <v>397</v>
      </c>
      <c r="BL85" s="237" t="s">
        <v>279</v>
      </c>
      <c r="BM85" s="229"/>
      <c r="BN85" s="230" t="s">
        <v>315</v>
      </c>
    </row>
    <row r="86" customFormat="false" ht="17.25" hidden="false" customHeight="true" outlineLevel="0" collapsed="false">
      <c r="B86" s="290"/>
      <c r="C86" s="301"/>
      <c r="D86" s="302"/>
      <c r="E86" s="303" t="s">
        <v>388</v>
      </c>
      <c r="F86" s="304"/>
      <c r="G86" s="224" t="s">
        <v>275</v>
      </c>
      <c r="H86" s="225"/>
      <c r="I86" s="227" t="s">
        <v>275</v>
      </c>
      <c r="J86" s="222" t="s">
        <v>55</v>
      </c>
      <c r="K86" s="229"/>
      <c r="L86" s="223" t="s">
        <v>55</v>
      </c>
      <c r="M86" s="224" t="s">
        <v>55</v>
      </c>
      <c r="N86" s="225"/>
      <c r="O86" s="226" t="s">
        <v>55</v>
      </c>
      <c r="P86" s="224" t="s">
        <v>55</v>
      </c>
      <c r="Q86" s="225"/>
      <c r="R86" s="227" t="s">
        <v>55</v>
      </c>
      <c r="S86" s="228" t="s">
        <v>389</v>
      </c>
      <c r="T86" s="229"/>
      <c r="U86" s="230" t="s">
        <v>378</v>
      </c>
      <c r="V86" s="231" t="s">
        <v>393</v>
      </c>
      <c r="W86" s="225"/>
      <c r="X86" s="225" t="s">
        <v>314</v>
      </c>
      <c r="Y86" s="237" t="s">
        <v>304</v>
      </c>
      <c r="Z86" s="229"/>
      <c r="AA86" s="234" t="s">
        <v>281</v>
      </c>
      <c r="AB86" s="231" t="s">
        <v>304</v>
      </c>
      <c r="AC86" s="225"/>
      <c r="AD86" s="227" t="s">
        <v>281</v>
      </c>
      <c r="AE86" s="222" t="s">
        <v>379</v>
      </c>
      <c r="AF86" s="229"/>
      <c r="AG86" s="230" t="s">
        <v>394</v>
      </c>
      <c r="AH86" s="224" t="s">
        <v>380</v>
      </c>
      <c r="AI86" s="225"/>
      <c r="AJ86" s="227" t="s">
        <v>379</v>
      </c>
      <c r="AK86" s="296" t="s">
        <v>380</v>
      </c>
      <c r="AL86" s="243"/>
      <c r="AM86" s="244" t="s">
        <v>307</v>
      </c>
      <c r="AN86" s="234" t="s">
        <v>395</v>
      </c>
      <c r="AO86" s="233"/>
      <c r="AP86" s="234" t="s">
        <v>395</v>
      </c>
      <c r="AQ86" s="235" t="s">
        <v>396</v>
      </c>
      <c r="AR86" s="220"/>
      <c r="AS86" s="221" t="s">
        <v>289</v>
      </c>
      <c r="AT86" s="222" t="s">
        <v>308</v>
      </c>
      <c r="AU86" s="229"/>
      <c r="AV86" s="230" t="s">
        <v>291</v>
      </c>
      <c r="AW86" s="224" t="s">
        <v>308</v>
      </c>
      <c r="AX86" s="225"/>
      <c r="AY86" s="227" t="s">
        <v>291</v>
      </c>
      <c r="AZ86" s="222" t="s">
        <v>308</v>
      </c>
      <c r="BA86" s="229"/>
      <c r="BB86" s="230" t="s">
        <v>288</v>
      </c>
      <c r="BC86" s="235" t="s">
        <v>293</v>
      </c>
      <c r="BD86" s="220"/>
      <c r="BE86" s="221" t="s">
        <v>294</v>
      </c>
      <c r="BF86" s="237" t="s">
        <v>357</v>
      </c>
      <c r="BG86" s="229"/>
      <c r="BH86" s="230" t="s">
        <v>279</v>
      </c>
      <c r="BI86" s="231" t="s">
        <v>357</v>
      </c>
      <c r="BJ86" s="225"/>
      <c r="BK86" s="227" t="s">
        <v>398</v>
      </c>
      <c r="BL86" s="237" t="s">
        <v>279</v>
      </c>
      <c r="BM86" s="229"/>
      <c r="BN86" s="230" t="s">
        <v>315</v>
      </c>
    </row>
    <row r="87" customFormat="false" ht="17.25" hidden="false" customHeight="true" outlineLevel="0" collapsed="false">
      <c r="B87" s="290"/>
      <c r="C87" s="301"/>
      <c r="D87" s="302"/>
      <c r="E87" s="303" t="s">
        <v>390</v>
      </c>
      <c r="F87" s="304"/>
      <c r="G87" s="224" t="s">
        <v>275</v>
      </c>
      <c r="H87" s="225"/>
      <c r="I87" s="227" t="s">
        <v>275</v>
      </c>
      <c r="J87" s="222" t="s">
        <v>55</v>
      </c>
      <c r="K87" s="229"/>
      <c r="L87" s="223" t="s">
        <v>55</v>
      </c>
      <c r="M87" s="224" t="s">
        <v>55</v>
      </c>
      <c r="N87" s="225"/>
      <c r="O87" s="226" t="s">
        <v>55</v>
      </c>
      <c r="P87" s="224" t="s">
        <v>55</v>
      </c>
      <c r="Q87" s="225"/>
      <c r="R87" s="227" t="s">
        <v>55</v>
      </c>
      <c r="S87" s="228" t="s">
        <v>389</v>
      </c>
      <c r="T87" s="229"/>
      <c r="U87" s="230" t="s">
        <v>378</v>
      </c>
      <c r="V87" s="231" t="s">
        <v>393</v>
      </c>
      <c r="W87" s="225"/>
      <c r="X87" s="225" t="s">
        <v>314</v>
      </c>
      <c r="Y87" s="237" t="s">
        <v>304</v>
      </c>
      <c r="Z87" s="229"/>
      <c r="AA87" s="234" t="s">
        <v>281</v>
      </c>
      <c r="AB87" s="231" t="s">
        <v>304</v>
      </c>
      <c r="AC87" s="225"/>
      <c r="AD87" s="227" t="s">
        <v>281</v>
      </c>
      <c r="AE87" s="222" t="s">
        <v>379</v>
      </c>
      <c r="AF87" s="229"/>
      <c r="AG87" s="230" t="s">
        <v>394</v>
      </c>
      <c r="AH87" s="224" t="s">
        <v>380</v>
      </c>
      <c r="AI87" s="225"/>
      <c r="AJ87" s="227" t="s">
        <v>379</v>
      </c>
      <c r="AK87" s="296" t="s">
        <v>380</v>
      </c>
      <c r="AL87" s="243"/>
      <c r="AM87" s="244" t="s">
        <v>307</v>
      </c>
      <c r="AN87" s="234" t="s">
        <v>395</v>
      </c>
      <c r="AO87" s="233"/>
      <c r="AP87" s="234" t="s">
        <v>395</v>
      </c>
      <c r="AQ87" s="235" t="s">
        <v>396</v>
      </c>
      <c r="AR87" s="220"/>
      <c r="AS87" s="221" t="s">
        <v>289</v>
      </c>
      <c r="AT87" s="222" t="s">
        <v>308</v>
      </c>
      <c r="AU87" s="229"/>
      <c r="AV87" s="230" t="s">
        <v>291</v>
      </c>
      <c r="AW87" s="224" t="s">
        <v>308</v>
      </c>
      <c r="AX87" s="225"/>
      <c r="AY87" s="227" t="s">
        <v>291</v>
      </c>
      <c r="AZ87" s="222" t="s">
        <v>308</v>
      </c>
      <c r="BA87" s="229"/>
      <c r="BB87" s="230" t="s">
        <v>288</v>
      </c>
      <c r="BC87" s="235" t="s">
        <v>293</v>
      </c>
      <c r="BD87" s="220"/>
      <c r="BE87" s="221" t="s">
        <v>294</v>
      </c>
      <c r="BF87" s="237" t="s">
        <v>357</v>
      </c>
      <c r="BG87" s="229"/>
      <c r="BH87" s="230" t="s">
        <v>279</v>
      </c>
      <c r="BI87" s="231" t="s">
        <v>357</v>
      </c>
      <c r="BJ87" s="225"/>
      <c r="BK87" s="227" t="s">
        <v>399</v>
      </c>
      <c r="BL87" s="237" t="s">
        <v>279</v>
      </c>
      <c r="BM87" s="229"/>
      <c r="BN87" s="230" t="s">
        <v>315</v>
      </c>
    </row>
    <row r="88" customFormat="false" ht="17.25" hidden="false" customHeight="true" outlineLevel="0" collapsed="false">
      <c r="B88" s="290"/>
      <c r="C88" s="301"/>
      <c r="D88" s="302"/>
      <c r="E88" s="303" t="s">
        <v>391</v>
      </c>
      <c r="F88" s="304"/>
      <c r="G88" s="224" t="s">
        <v>275</v>
      </c>
      <c r="H88" s="225"/>
      <c r="I88" s="227" t="s">
        <v>275</v>
      </c>
      <c r="J88" s="222" t="s">
        <v>55</v>
      </c>
      <c r="K88" s="229"/>
      <c r="L88" s="223" t="s">
        <v>55</v>
      </c>
      <c r="M88" s="224" t="s">
        <v>55</v>
      </c>
      <c r="N88" s="225"/>
      <c r="O88" s="226" t="s">
        <v>55</v>
      </c>
      <c r="P88" s="224" t="s">
        <v>55</v>
      </c>
      <c r="Q88" s="225"/>
      <c r="R88" s="227" t="s">
        <v>55</v>
      </c>
      <c r="S88" s="228" t="s">
        <v>389</v>
      </c>
      <c r="T88" s="229"/>
      <c r="U88" s="230" t="s">
        <v>378</v>
      </c>
      <c r="V88" s="231" t="s">
        <v>393</v>
      </c>
      <c r="W88" s="225"/>
      <c r="X88" s="225" t="s">
        <v>314</v>
      </c>
      <c r="Y88" s="237" t="s">
        <v>304</v>
      </c>
      <c r="Z88" s="229"/>
      <c r="AA88" s="234" t="s">
        <v>281</v>
      </c>
      <c r="AB88" s="231" t="s">
        <v>304</v>
      </c>
      <c r="AC88" s="225"/>
      <c r="AD88" s="227" t="s">
        <v>281</v>
      </c>
      <c r="AE88" s="222" t="s">
        <v>379</v>
      </c>
      <c r="AF88" s="229"/>
      <c r="AG88" s="230" t="s">
        <v>394</v>
      </c>
      <c r="AH88" s="224" t="s">
        <v>380</v>
      </c>
      <c r="AI88" s="225"/>
      <c r="AJ88" s="227" t="s">
        <v>379</v>
      </c>
      <c r="AK88" s="296" t="s">
        <v>380</v>
      </c>
      <c r="AL88" s="243"/>
      <c r="AM88" s="244" t="s">
        <v>307</v>
      </c>
      <c r="AN88" s="234" t="s">
        <v>395</v>
      </c>
      <c r="AO88" s="233"/>
      <c r="AP88" s="234" t="s">
        <v>395</v>
      </c>
      <c r="AQ88" s="235" t="s">
        <v>396</v>
      </c>
      <c r="AR88" s="220"/>
      <c r="AS88" s="221" t="s">
        <v>289</v>
      </c>
      <c r="AT88" s="222" t="s">
        <v>308</v>
      </c>
      <c r="AU88" s="229"/>
      <c r="AV88" s="230" t="s">
        <v>291</v>
      </c>
      <c r="AW88" s="224" t="s">
        <v>308</v>
      </c>
      <c r="AX88" s="225"/>
      <c r="AY88" s="227" t="s">
        <v>291</v>
      </c>
      <c r="AZ88" s="222" t="s">
        <v>308</v>
      </c>
      <c r="BA88" s="229"/>
      <c r="BB88" s="230" t="s">
        <v>288</v>
      </c>
      <c r="BC88" s="235" t="s">
        <v>293</v>
      </c>
      <c r="BD88" s="220"/>
      <c r="BE88" s="221" t="s">
        <v>294</v>
      </c>
      <c r="BF88" s="237" t="s">
        <v>357</v>
      </c>
      <c r="BG88" s="229"/>
      <c r="BH88" s="230" t="s">
        <v>279</v>
      </c>
      <c r="BI88" s="231" t="s">
        <v>357</v>
      </c>
      <c r="BJ88" s="225"/>
      <c r="BK88" s="227" t="s">
        <v>400</v>
      </c>
      <c r="BL88" s="237" t="s">
        <v>279</v>
      </c>
      <c r="BM88" s="229"/>
      <c r="BN88" s="230" t="s">
        <v>315</v>
      </c>
    </row>
    <row r="89" customFormat="false" ht="17.25" hidden="false" customHeight="true" outlineLevel="0" collapsed="false">
      <c r="B89" s="290"/>
      <c r="C89" s="301"/>
      <c r="D89" s="302" t="s">
        <v>88</v>
      </c>
      <c r="E89" s="303" t="s">
        <v>376</v>
      </c>
      <c r="F89" s="304" t="s">
        <v>90</v>
      </c>
      <c r="G89" s="224" t="s">
        <v>275</v>
      </c>
      <c r="H89" s="225"/>
      <c r="I89" s="227" t="s">
        <v>275</v>
      </c>
      <c r="J89" s="222" t="s">
        <v>55</v>
      </c>
      <c r="K89" s="229"/>
      <c r="L89" s="223" t="s">
        <v>55</v>
      </c>
      <c r="M89" s="224" t="s">
        <v>55</v>
      </c>
      <c r="N89" s="225"/>
      <c r="O89" s="226" t="s">
        <v>55</v>
      </c>
      <c r="P89" s="224" t="s">
        <v>55</v>
      </c>
      <c r="Q89" s="225"/>
      <c r="R89" s="227" t="s">
        <v>55</v>
      </c>
      <c r="S89" s="228" t="s">
        <v>389</v>
      </c>
      <c r="T89" s="229"/>
      <c r="U89" s="230" t="s">
        <v>378</v>
      </c>
      <c r="V89" s="231" t="s">
        <v>393</v>
      </c>
      <c r="W89" s="225"/>
      <c r="X89" s="225" t="s">
        <v>314</v>
      </c>
      <c r="Y89" s="237" t="s">
        <v>304</v>
      </c>
      <c r="Z89" s="229"/>
      <c r="AA89" s="234" t="s">
        <v>281</v>
      </c>
      <c r="AB89" s="231" t="s">
        <v>304</v>
      </c>
      <c r="AC89" s="225"/>
      <c r="AD89" s="227" t="s">
        <v>281</v>
      </c>
      <c r="AE89" s="222" t="s">
        <v>379</v>
      </c>
      <c r="AF89" s="229"/>
      <c r="AG89" s="230" t="s">
        <v>394</v>
      </c>
      <c r="AH89" s="224" t="s">
        <v>380</v>
      </c>
      <c r="AI89" s="225"/>
      <c r="AJ89" s="227" t="s">
        <v>401</v>
      </c>
      <c r="AK89" s="296" t="s">
        <v>380</v>
      </c>
      <c r="AL89" s="243"/>
      <c r="AM89" s="244" t="s">
        <v>307</v>
      </c>
      <c r="AN89" s="234" t="s">
        <v>395</v>
      </c>
      <c r="AO89" s="233"/>
      <c r="AP89" s="234" t="s">
        <v>395</v>
      </c>
      <c r="AQ89" s="235" t="s">
        <v>396</v>
      </c>
      <c r="AR89" s="220"/>
      <c r="AS89" s="221" t="s">
        <v>289</v>
      </c>
      <c r="AT89" s="222" t="s">
        <v>308</v>
      </c>
      <c r="AU89" s="229"/>
      <c r="AV89" s="230" t="s">
        <v>291</v>
      </c>
      <c r="AW89" s="224" t="s">
        <v>308</v>
      </c>
      <c r="AX89" s="225"/>
      <c r="AY89" s="227" t="s">
        <v>291</v>
      </c>
      <c r="AZ89" s="222" t="s">
        <v>308</v>
      </c>
      <c r="BA89" s="229"/>
      <c r="BB89" s="230" t="s">
        <v>288</v>
      </c>
      <c r="BC89" s="235" t="s">
        <v>293</v>
      </c>
      <c r="BD89" s="220"/>
      <c r="BE89" s="221" t="s">
        <v>294</v>
      </c>
      <c r="BF89" s="237" t="s">
        <v>357</v>
      </c>
      <c r="BG89" s="229"/>
      <c r="BH89" s="222" t="s">
        <v>357</v>
      </c>
      <c r="BI89" s="231" t="s">
        <v>357</v>
      </c>
      <c r="BJ89" s="225"/>
      <c r="BK89" s="227" t="s">
        <v>357</v>
      </c>
      <c r="BL89" s="237" t="s">
        <v>357</v>
      </c>
      <c r="BM89" s="229"/>
      <c r="BN89" s="222" t="s">
        <v>357</v>
      </c>
    </row>
    <row r="90" customFormat="false" ht="17.25" hidden="false" customHeight="true" outlineLevel="0" collapsed="false">
      <c r="B90" s="290"/>
      <c r="C90" s="301"/>
      <c r="D90" s="302"/>
      <c r="E90" s="303" t="s">
        <v>388</v>
      </c>
      <c r="F90" s="304"/>
      <c r="G90" s="224" t="s">
        <v>275</v>
      </c>
      <c r="H90" s="225"/>
      <c r="I90" s="227" t="s">
        <v>275</v>
      </c>
      <c r="J90" s="222" t="s">
        <v>55</v>
      </c>
      <c r="K90" s="229"/>
      <c r="L90" s="223" t="s">
        <v>55</v>
      </c>
      <c r="M90" s="224" t="s">
        <v>55</v>
      </c>
      <c r="N90" s="225"/>
      <c r="O90" s="226" t="s">
        <v>55</v>
      </c>
      <c r="P90" s="224" t="s">
        <v>55</v>
      </c>
      <c r="Q90" s="225"/>
      <c r="R90" s="227" t="s">
        <v>55</v>
      </c>
      <c r="S90" s="228" t="s">
        <v>389</v>
      </c>
      <c r="T90" s="229"/>
      <c r="U90" s="230" t="s">
        <v>378</v>
      </c>
      <c r="V90" s="231" t="s">
        <v>393</v>
      </c>
      <c r="W90" s="225"/>
      <c r="X90" s="225" t="s">
        <v>314</v>
      </c>
      <c r="Y90" s="237" t="s">
        <v>304</v>
      </c>
      <c r="Z90" s="229"/>
      <c r="AA90" s="234" t="s">
        <v>281</v>
      </c>
      <c r="AB90" s="231" t="s">
        <v>304</v>
      </c>
      <c r="AC90" s="225"/>
      <c r="AD90" s="227" t="s">
        <v>281</v>
      </c>
      <c r="AE90" s="222" t="s">
        <v>379</v>
      </c>
      <c r="AF90" s="229"/>
      <c r="AG90" s="230" t="s">
        <v>394</v>
      </c>
      <c r="AH90" s="224" t="s">
        <v>380</v>
      </c>
      <c r="AI90" s="225"/>
      <c r="AJ90" s="227" t="s">
        <v>401</v>
      </c>
      <c r="AK90" s="296" t="s">
        <v>380</v>
      </c>
      <c r="AL90" s="243"/>
      <c r="AM90" s="244" t="s">
        <v>307</v>
      </c>
      <c r="AN90" s="234" t="s">
        <v>395</v>
      </c>
      <c r="AO90" s="233"/>
      <c r="AP90" s="234" t="s">
        <v>395</v>
      </c>
      <c r="AQ90" s="235" t="s">
        <v>396</v>
      </c>
      <c r="AR90" s="220"/>
      <c r="AS90" s="221" t="s">
        <v>289</v>
      </c>
      <c r="AT90" s="222" t="s">
        <v>308</v>
      </c>
      <c r="AU90" s="229"/>
      <c r="AV90" s="230" t="s">
        <v>291</v>
      </c>
      <c r="AW90" s="224" t="s">
        <v>308</v>
      </c>
      <c r="AX90" s="225"/>
      <c r="AY90" s="227" t="s">
        <v>291</v>
      </c>
      <c r="AZ90" s="222" t="s">
        <v>308</v>
      </c>
      <c r="BA90" s="229"/>
      <c r="BB90" s="230" t="s">
        <v>288</v>
      </c>
      <c r="BC90" s="235" t="s">
        <v>293</v>
      </c>
      <c r="BD90" s="220"/>
      <c r="BE90" s="221" t="s">
        <v>294</v>
      </c>
      <c r="BF90" s="237" t="s">
        <v>357</v>
      </c>
      <c r="BG90" s="229"/>
      <c r="BH90" s="222" t="s">
        <v>357</v>
      </c>
      <c r="BI90" s="231" t="s">
        <v>357</v>
      </c>
      <c r="BJ90" s="225"/>
      <c r="BK90" s="227" t="s">
        <v>357</v>
      </c>
      <c r="BL90" s="237" t="s">
        <v>357</v>
      </c>
      <c r="BM90" s="229"/>
      <c r="BN90" s="222" t="s">
        <v>357</v>
      </c>
    </row>
    <row r="91" customFormat="false" ht="17.25" hidden="false" customHeight="true" outlineLevel="0" collapsed="false">
      <c r="B91" s="290"/>
      <c r="C91" s="301"/>
      <c r="D91" s="302"/>
      <c r="E91" s="303" t="s">
        <v>390</v>
      </c>
      <c r="F91" s="304"/>
      <c r="G91" s="224" t="s">
        <v>275</v>
      </c>
      <c r="H91" s="225"/>
      <c r="I91" s="227" t="s">
        <v>275</v>
      </c>
      <c r="J91" s="222" t="s">
        <v>55</v>
      </c>
      <c r="K91" s="229"/>
      <c r="L91" s="223" t="s">
        <v>55</v>
      </c>
      <c r="M91" s="224" t="s">
        <v>55</v>
      </c>
      <c r="N91" s="225"/>
      <c r="O91" s="226" t="s">
        <v>55</v>
      </c>
      <c r="P91" s="224" t="s">
        <v>55</v>
      </c>
      <c r="Q91" s="225"/>
      <c r="R91" s="227" t="s">
        <v>55</v>
      </c>
      <c r="S91" s="228" t="s">
        <v>389</v>
      </c>
      <c r="T91" s="229"/>
      <c r="U91" s="230" t="s">
        <v>378</v>
      </c>
      <c r="V91" s="231" t="s">
        <v>393</v>
      </c>
      <c r="W91" s="225"/>
      <c r="X91" s="225" t="s">
        <v>314</v>
      </c>
      <c r="Y91" s="237" t="s">
        <v>304</v>
      </c>
      <c r="Z91" s="229"/>
      <c r="AA91" s="234" t="s">
        <v>281</v>
      </c>
      <c r="AB91" s="231" t="s">
        <v>304</v>
      </c>
      <c r="AC91" s="225"/>
      <c r="AD91" s="227" t="s">
        <v>281</v>
      </c>
      <c r="AE91" s="222" t="s">
        <v>379</v>
      </c>
      <c r="AF91" s="229"/>
      <c r="AG91" s="230" t="s">
        <v>394</v>
      </c>
      <c r="AH91" s="224" t="s">
        <v>380</v>
      </c>
      <c r="AI91" s="225"/>
      <c r="AJ91" s="227" t="s">
        <v>401</v>
      </c>
      <c r="AK91" s="296" t="s">
        <v>380</v>
      </c>
      <c r="AL91" s="243"/>
      <c r="AM91" s="244" t="s">
        <v>307</v>
      </c>
      <c r="AN91" s="234" t="s">
        <v>395</v>
      </c>
      <c r="AO91" s="233"/>
      <c r="AP91" s="234" t="s">
        <v>395</v>
      </c>
      <c r="AQ91" s="235" t="s">
        <v>396</v>
      </c>
      <c r="AR91" s="220"/>
      <c r="AS91" s="221" t="s">
        <v>289</v>
      </c>
      <c r="AT91" s="222" t="s">
        <v>308</v>
      </c>
      <c r="AU91" s="229"/>
      <c r="AV91" s="230" t="s">
        <v>291</v>
      </c>
      <c r="AW91" s="224" t="s">
        <v>308</v>
      </c>
      <c r="AX91" s="225"/>
      <c r="AY91" s="227" t="s">
        <v>291</v>
      </c>
      <c r="AZ91" s="222" t="s">
        <v>308</v>
      </c>
      <c r="BA91" s="229"/>
      <c r="BB91" s="230" t="s">
        <v>288</v>
      </c>
      <c r="BC91" s="235" t="s">
        <v>293</v>
      </c>
      <c r="BD91" s="220"/>
      <c r="BE91" s="221" t="s">
        <v>294</v>
      </c>
      <c r="BF91" s="237" t="s">
        <v>357</v>
      </c>
      <c r="BG91" s="229"/>
      <c r="BH91" s="222" t="s">
        <v>357</v>
      </c>
      <c r="BI91" s="231" t="s">
        <v>357</v>
      </c>
      <c r="BJ91" s="225"/>
      <c r="BK91" s="227" t="s">
        <v>357</v>
      </c>
      <c r="BL91" s="237" t="s">
        <v>357</v>
      </c>
      <c r="BM91" s="229"/>
      <c r="BN91" s="222" t="s">
        <v>357</v>
      </c>
    </row>
    <row r="92" customFormat="false" ht="17.25" hidden="false" customHeight="true" outlineLevel="0" collapsed="false">
      <c r="B92" s="290"/>
      <c r="C92" s="301"/>
      <c r="D92" s="302"/>
      <c r="E92" s="303" t="s">
        <v>391</v>
      </c>
      <c r="F92" s="304"/>
      <c r="G92" s="224" t="s">
        <v>275</v>
      </c>
      <c r="H92" s="225"/>
      <c r="I92" s="227" t="s">
        <v>275</v>
      </c>
      <c r="J92" s="222" t="s">
        <v>55</v>
      </c>
      <c r="K92" s="229"/>
      <c r="L92" s="223" t="s">
        <v>55</v>
      </c>
      <c r="M92" s="224" t="s">
        <v>55</v>
      </c>
      <c r="N92" s="225"/>
      <c r="O92" s="226" t="s">
        <v>55</v>
      </c>
      <c r="P92" s="224" t="s">
        <v>55</v>
      </c>
      <c r="Q92" s="225"/>
      <c r="R92" s="227" t="s">
        <v>55</v>
      </c>
      <c r="S92" s="228" t="s">
        <v>389</v>
      </c>
      <c r="T92" s="229"/>
      <c r="U92" s="230" t="s">
        <v>378</v>
      </c>
      <c r="V92" s="231" t="s">
        <v>393</v>
      </c>
      <c r="W92" s="225"/>
      <c r="X92" s="225" t="s">
        <v>314</v>
      </c>
      <c r="Y92" s="237" t="s">
        <v>304</v>
      </c>
      <c r="Z92" s="229"/>
      <c r="AA92" s="234" t="s">
        <v>281</v>
      </c>
      <c r="AB92" s="231" t="s">
        <v>304</v>
      </c>
      <c r="AC92" s="225"/>
      <c r="AD92" s="227" t="s">
        <v>281</v>
      </c>
      <c r="AE92" s="222" t="s">
        <v>379</v>
      </c>
      <c r="AF92" s="229"/>
      <c r="AG92" s="230" t="s">
        <v>394</v>
      </c>
      <c r="AH92" s="224" t="s">
        <v>380</v>
      </c>
      <c r="AI92" s="225"/>
      <c r="AJ92" s="227" t="s">
        <v>401</v>
      </c>
      <c r="AK92" s="296" t="s">
        <v>380</v>
      </c>
      <c r="AL92" s="243"/>
      <c r="AM92" s="244" t="s">
        <v>307</v>
      </c>
      <c r="AN92" s="234" t="s">
        <v>395</v>
      </c>
      <c r="AO92" s="233"/>
      <c r="AP92" s="234" t="s">
        <v>395</v>
      </c>
      <c r="AQ92" s="235" t="s">
        <v>396</v>
      </c>
      <c r="AR92" s="220"/>
      <c r="AS92" s="221" t="s">
        <v>289</v>
      </c>
      <c r="AT92" s="222" t="s">
        <v>308</v>
      </c>
      <c r="AU92" s="229"/>
      <c r="AV92" s="230" t="s">
        <v>291</v>
      </c>
      <c r="AW92" s="224" t="s">
        <v>308</v>
      </c>
      <c r="AX92" s="225"/>
      <c r="AY92" s="227" t="s">
        <v>291</v>
      </c>
      <c r="AZ92" s="222" t="s">
        <v>308</v>
      </c>
      <c r="BA92" s="229"/>
      <c r="BB92" s="230" t="s">
        <v>288</v>
      </c>
      <c r="BC92" s="235" t="s">
        <v>293</v>
      </c>
      <c r="BD92" s="220"/>
      <c r="BE92" s="221" t="s">
        <v>294</v>
      </c>
      <c r="BF92" s="237" t="s">
        <v>357</v>
      </c>
      <c r="BG92" s="229"/>
      <c r="BH92" s="222" t="s">
        <v>357</v>
      </c>
      <c r="BI92" s="231" t="s">
        <v>357</v>
      </c>
      <c r="BJ92" s="225"/>
      <c r="BK92" s="227" t="s">
        <v>357</v>
      </c>
      <c r="BL92" s="237" t="s">
        <v>357</v>
      </c>
      <c r="BM92" s="229"/>
      <c r="BN92" s="222" t="s">
        <v>357</v>
      </c>
    </row>
    <row r="93" customFormat="false" ht="17.25" hidden="false" customHeight="true" outlineLevel="0" collapsed="false">
      <c r="B93" s="290"/>
      <c r="C93" s="301"/>
      <c r="D93" s="302" t="s">
        <v>94</v>
      </c>
      <c r="E93" s="303" t="s">
        <v>376</v>
      </c>
      <c r="F93" s="304" t="s">
        <v>95</v>
      </c>
      <c r="G93" s="224" t="s">
        <v>275</v>
      </c>
      <c r="H93" s="225"/>
      <c r="I93" s="227" t="s">
        <v>275</v>
      </c>
      <c r="J93" s="222" t="s">
        <v>55</v>
      </c>
      <c r="K93" s="229"/>
      <c r="L93" s="223" t="s">
        <v>55</v>
      </c>
      <c r="M93" s="224" t="s">
        <v>55</v>
      </c>
      <c r="N93" s="225"/>
      <c r="O93" s="226" t="s">
        <v>55</v>
      </c>
      <c r="P93" s="224" t="s">
        <v>55</v>
      </c>
      <c r="Q93" s="225"/>
      <c r="R93" s="227" t="s">
        <v>55</v>
      </c>
      <c r="S93" s="228" t="s">
        <v>389</v>
      </c>
      <c r="T93" s="229"/>
      <c r="U93" s="230" t="s">
        <v>378</v>
      </c>
      <c r="V93" s="231" t="s">
        <v>314</v>
      </c>
      <c r="W93" s="225"/>
      <c r="X93" s="225" t="s">
        <v>314</v>
      </c>
      <c r="Y93" s="237" t="s">
        <v>304</v>
      </c>
      <c r="Z93" s="229"/>
      <c r="AA93" s="234" t="s">
        <v>281</v>
      </c>
      <c r="AB93" s="231" t="s">
        <v>304</v>
      </c>
      <c r="AC93" s="225"/>
      <c r="AD93" s="227" t="s">
        <v>281</v>
      </c>
      <c r="AE93" s="222" t="s">
        <v>379</v>
      </c>
      <c r="AF93" s="229"/>
      <c r="AG93" s="230" t="s">
        <v>402</v>
      </c>
      <c r="AH93" s="224" t="s">
        <v>380</v>
      </c>
      <c r="AI93" s="225"/>
      <c r="AJ93" s="227" t="s">
        <v>403</v>
      </c>
      <c r="AK93" s="296" t="s">
        <v>380</v>
      </c>
      <c r="AL93" s="243"/>
      <c r="AM93" s="298" t="s">
        <v>381</v>
      </c>
      <c r="AN93" s="236" t="s">
        <v>382</v>
      </c>
      <c r="AO93" s="233"/>
      <c r="AP93" s="234" t="s">
        <v>383</v>
      </c>
      <c r="AQ93" s="235" t="s">
        <v>288</v>
      </c>
      <c r="AR93" s="220"/>
      <c r="AS93" s="221" t="s">
        <v>289</v>
      </c>
      <c r="AT93" s="222" t="s">
        <v>308</v>
      </c>
      <c r="AU93" s="229"/>
      <c r="AV93" s="230" t="s">
        <v>291</v>
      </c>
      <c r="AW93" s="224" t="s">
        <v>308</v>
      </c>
      <c r="AX93" s="225"/>
      <c r="AY93" s="227" t="s">
        <v>291</v>
      </c>
      <c r="AZ93" s="222" t="s">
        <v>308</v>
      </c>
      <c r="BA93" s="229"/>
      <c r="BB93" s="230" t="s">
        <v>288</v>
      </c>
      <c r="BC93" s="235" t="s">
        <v>293</v>
      </c>
      <c r="BD93" s="220"/>
      <c r="BE93" s="221" t="s">
        <v>294</v>
      </c>
      <c r="BF93" s="237" t="s">
        <v>357</v>
      </c>
      <c r="BG93" s="229"/>
      <c r="BH93" s="222" t="s">
        <v>357</v>
      </c>
      <c r="BI93" s="231" t="s">
        <v>357</v>
      </c>
      <c r="BJ93" s="225"/>
      <c r="BK93" s="227" t="s">
        <v>357</v>
      </c>
      <c r="BL93" s="237" t="s">
        <v>357</v>
      </c>
      <c r="BM93" s="229"/>
      <c r="BN93" s="222" t="s">
        <v>357</v>
      </c>
    </row>
    <row r="94" customFormat="false" ht="17.25" hidden="false" customHeight="true" outlineLevel="0" collapsed="false">
      <c r="B94" s="290"/>
      <c r="C94" s="301"/>
      <c r="D94" s="302"/>
      <c r="E94" s="303" t="s">
        <v>388</v>
      </c>
      <c r="F94" s="304"/>
      <c r="G94" s="224" t="s">
        <v>275</v>
      </c>
      <c r="H94" s="225"/>
      <c r="I94" s="227" t="s">
        <v>275</v>
      </c>
      <c r="J94" s="222" t="s">
        <v>55</v>
      </c>
      <c r="K94" s="229"/>
      <c r="L94" s="223" t="s">
        <v>55</v>
      </c>
      <c r="M94" s="224" t="s">
        <v>55</v>
      </c>
      <c r="N94" s="225"/>
      <c r="O94" s="226" t="s">
        <v>55</v>
      </c>
      <c r="P94" s="224" t="s">
        <v>55</v>
      </c>
      <c r="Q94" s="225"/>
      <c r="R94" s="227" t="s">
        <v>55</v>
      </c>
      <c r="S94" s="228" t="s">
        <v>389</v>
      </c>
      <c r="T94" s="229"/>
      <c r="U94" s="230" t="s">
        <v>378</v>
      </c>
      <c r="V94" s="231" t="s">
        <v>314</v>
      </c>
      <c r="W94" s="225"/>
      <c r="X94" s="225" t="s">
        <v>314</v>
      </c>
      <c r="Y94" s="237" t="s">
        <v>304</v>
      </c>
      <c r="Z94" s="229"/>
      <c r="AA94" s="234" t="s">
        <v>281</v>
      </c>
      <c r="AB94" s="231" t="s">
        <v>304</v>
      </c>
      <c r="AC94" s="225"/>
      <c r="AD94" s="227" t="s">
        <v>281</v>
      </c>
      <c r="AE94" s="222" t="s">
        <v>379</v>
      </c>
      <c r="AF94" s="229"/>
      <c r="AG94" s="230" t="s">
        <v>402</v>
      </c>
      <c r="AH94" s="224" t="s">
        <v>380</v>
      </c>
      <c r="AI94" s="225"/>
      <c r="AJ94" s="227" t="s">
        <v>403</v>
      </c>
      <c r="AK94" s="296" t="s">
        <v>380</v>
      </c>
      <c r="AL94" s="243"/>
      <c r="AM94" s="298" t="s">
        <v>381</v>
      </c>
      <c r="AN94" s="236" t="s">
        <v>382</v>
      </c>
      <c r="AO94" s="233"/>
      <c r="AP94" s="234" t="s">
        <v>383</v>
      </c>
      <c r="AQ94" s="235" t="s">
        <v>288</v>
      </c>
      <c r="AR94" s="220"/>
      <c r="AS94" s="221" t="s">
        <v>289</v>
      </c>
      <c r="AT94" s="222" t="s">
        <v>308</v>
      </c>
      <c r="AU94" s="229"/>
      <c r="AV94" s="230" t="s">
        <v>291</v>
      </c>
      <c r="AW94" s="224" t="s">
        <v>308</v>
      </c>
      <c r="AX94" s="225"/>
      <c r="AY94" s="227" t="s">
        <v>291</v>
      </c>
      <c r="AZ94" s="222" t="s">
        <v>308</v>
      </c>
      <c r="BA94" s="229"/>
      <c r="BB94" s="230" t="s">
        <v>288</v>
      </c>
      <c r="BC94" s="235" t="s">
        <v>293</v>
      </c>
      <c r="BD94" s="220"/>
      <c r="BE94" s="221" t="s">
        <v>294</v>
      </c>
      <c r="BF94" s="237" t="s">
        <v>357</v>
      </c>
      <c r="BG94" s="229"/>
      <c r="BH94" s="222" t="s">
        <v>357</v>
      </c>
      <c r="BI94" s="231" t="s">
        <v>357</v>
      </c>
      <c r="BJ94" s="225"/>
      <c r="BK94" s="227" t="s">
        <v>357</v>
      </c>
      <c r="BL94" s="237" t="s">
        <v>357</v>
      </c>
      <c r="BM94" s="229"/>
      <c r="BN94" s="222" t="s">
        <v>357</v>
      </c>
    </row>
    <row r="95" customFormat="false" ht="17.25" hidden="false" customHeight="true" outlineLevel="0" collapsed="false">
      <c r="B95" s="290"/>
      <c r="C95" s="301"/>
      <c r="D95" s="302"/>
      <c r="E95" s="303" t="s">
        <v>390</v>
      </c>
      <c r="F95" s="304"/>
      <c r="G95" s="224" t="s">
        <v>275</v>
      </c>
      <c r="H95" s="225"/>
      <c r="I95" s="227" t="s">
        <v>275</v>
      </c>
      <c r="J95" s="222" t="s">
        <v>55</v>
      </c>
      <c r="K95" s="229"/>
      <c r="L95" s="223" t="s">
        <v>55</v>
      </c>
      <c r="M95" s="224" t="s">
        <v>55</v>
      </c>
      <c r="N95" s="225"/>
      <c r="O95" s="226" t="s">
        <v>55</v>
      </c>
      <c r="P95" s="224" t="s">
        <v>55</v>
      </c>
      <c r="Q95" s="225"/>
      <c r="R95" s="227" t="s">
        <v>55</v>
      </c>
      <c r="S95" s="228" t="s">
        <v>389</v>
      </c>
      <c r="T95" s="229"/>
      <c r="U95" s="230" t="s">
        <v>378</v>
      </c>
      <c r="V95" s="231" t="s">
        <v>314</v>
      </c>
      <c r="W95" s="225"/>
      <c r="X95" s="225" t="s">
        <v>314</v>
      </c>
      <c r="Y95" s="237" t="s">
        <v>304</v>
      </c>
      <c r="Z95" s="229"/>
      <c r="AA95" s="234" t="s">
        <v>281</v>
      </c>
      <c r="AB95" s="231" t="s">
        <v>304</v>
      </c>
      <c r="AC95" s="225"/>
      <c r="AD95" s="227" t="s">
        <v>281</v>
      </c>
      <c r="AE95" s="222" t="s">
        <v>379</v>
      </c>
      <c r="AF95" s="229"/>
      <c r="AG95" s="230" t="s">
        <v>402</v>
      </c>
      <c r="AH95" s="224" t="s">
        <v>380</v>
      </c>
      <c r="AI95" s="225"/>
      <c r="AJ95" s="227" t="s">
        <v>403</v>
      </c>
      <c r="AK95" s="296" t="s">
        <v>380</v>
      </c>
      <c r="AL95" s="243"/>
      <c r="AM95" s="298" t="s">
        <v>381</v>
      </c>
      <c r="AN95" s="236" t="s">
        <v>382</v>
      </c>
      <c r="AO95" s="233"/>
      <c r="AP95" s="234" t="s">
        <v>383</v>
      </c>
      <c r="AQ95" s="235" t="s">
        <v>288</v>
      </c>
      <c r="AR95" s="220"/>
      <c r="AS95" s="221" t="s">
        <v>289</v>
      </c>
      <c r="AT95" s="222" t="s">
        <v>308</v>
      </c>
      <c r="AU95" s="229"/>
      <c r="AV95" s="230" t="s">
        <v>291</v>
      </c>
      <c r="AW95" s="224" t="s">
        <v>308</v>
      </c>
      <c r="AX95" s="225"/>
      <c r="AY95" s="227" t="s">
        <v>291</v>
      </c>
      <c r="AZ95" s="222" t="s">
        <v>308</v>
      </c>
      <c r="BA95" s="229"/>
      <c r="BB95" s="230" t="s">
        <v>288</v>
      </c>
      <c r="BC95" s="235" t="s">
        <v>293</v>
      </c>
      <c r="BD95" s="220"/>
      <c r="BE95" s="221" t="s">
        <v>294</v>
      </c>
      <c r="BF95" s="237" t="s">
        <v>357</v>
      </c>
      <c r="BG95" s="229"/>
      <c r="BH95" s="222" t="s">
        <v>357</v>
      </c>
      <c r="BI95" s="231" t="s">
        <v>357</v>
      </c>
      <c r="BJ95" s="225"/>
      <c r="BK95" s="227" t="s">
        <v>357</v>
      </c>
      <c r="BL95" s="237" t="s">
        <v>357</v>
      </c>
      <c r="BM95" s="229"/>
      <c r="BN95" s="222" t="s">
        <v>357</v>
      </c>
    </row>
    <row r="96" customFormat="false" ht="17.25" hidden="false" customHeight="true" outlineLevel="0" collapsed="false">
      <c r="B96" s="290"/>
      <c r="C96" s="301"/>
      <c r="D96" s="302"/>
      <c r="E96" s="303" t="s">
        <v>391</v>
      </c>
      <c r="F96" s="304"/>
      <c r="G96" s="224" t="s">
        <v>275</v>
      </c>
      <c r="H96" s="225"/>
      <c r="I96" s="227" t="s">
        <v>275</v>
      </c>
      <c r="J96" s="222" t="s">
        <v>55</v>
      </c>
      <c r="K96" s="229"/>
      <c r="L96" s="223" t="s">
        <v>55</v>
      </c>
      <c r="M96" s="224" t="s">
        <v>55</v>
      </c>
      <c r="N96" s="225"/>
      <c r="O96" s="226" t="s">
        <v>55</v>
      </c>
      <c r="P96" s="224" t="s">
        <v>55</v>
      </c>
      <c r="Q96" s="225"/>
      <c r="R96" s="227" t="s">
        <v>55</v>
      </c>
      <c r="S96" s="228" t="s">
        <v>389</v>
      </c>
      <c r="T96" s="229"/>
      <c r="U96" s="230" t="s">
        <v>378</v>
      </c>
      <c r="V96" s="231" t="s">
        <v>314</v>
      </c>
      <c r="W96" s="225"/>
      <c r="X96" s="225" t="s">
        <v>314</v>
      </c>
      <c r="Y96" s="237" t="s">
        <v>304</v>
      </c>
      <c r="Z96" s="229"/>
      <c r="AA96" s="234" t="s">
        <v>281</v>
      </c>
      <c r="AB96" s="231" t="s">
        <v>304</v>
      </c>
      <c r="AC96" s="225"/>
      <c r="AD96" s="227" t="s">
        <v>281</v>
      </c>
      <c r="AE96" s="222" t="s">
        <v>379</v>
      </c>
      <c r="AF96" s="229"/>
      <c r="AG96" s="230" t="s">
        <v>402</v>
      </c>
      <c r="AH96" s="224" t="s">
        <v>380</v>
      </c>
      <c r="AI96" s="225"/>
      <c r="AJ96" s="227" t="s">
        <v>403</v>
      </c>
      <c r="AK96" s="296" t="s">
        <v>380</v>
      </c>
      <c r="AL96" s="243"/>
      <c r="AM96" s="298" t="s">
        <v>381</v>
      </c>
      <c r="AN96" s="236" t="s">
        <v>382</v>
      </c>
      <c r="AO96" s="233"/>
      <c r="AP96" s="234" t="s">
        <v>383</v>
      </c>
      <c r="AQ96" s="235" t="s">
        <v>288</v>
      </c>
      <c r="AR96" s="220"/>
      <c r="AS96" s="221" t="s">
        <v>289</v>
      </c>
      <c r="AT96" s="222" t="s">
        <v>308</v>
      </c>
      <c r="AU96" s="229"/>
      <c r="AV96" s="230" t="s">
        <v>291</v>
      </c>
      <c r="AW96" s="224" t="s">
        <v>308</v>
      </c>
      <c r="AX96" s="225"/>
      <c r="AY96" s="227" t="s">
        <v>291</v>
      </c>
      <c r="AZ96" s="222" t="s">
        <v>308</v>
      </c>
      <c r="BA96" s="229"/>
      <c r="BB96" s="230" t="s">
        <v>288</v>
      </c>
      <c r="BC96" s="235" t="s">
        <v>293</v>
      </c>
      <c r="BD96" s="220"/>
      <c r="BE96" s="221" t="s">
        <v>294</v>
      </c>
      <c r="BF96" s="237" t="s">
        <v>357</v>
      </c>
      <c r="BG96" s="229"/>
      <c r="BH96" s="222" t="s">
        <v>357</v>
      </c>
      <c r="BI96" s="231" t="s">
        <v>357</v>
      </c>
      <c r="BJ96" s="225"/>
      <c r="BK96" s="227" t="s">
        <v>357</v>
      </c>
      <c r="BL96" s="237" t="s">
        <v>357</v>
      </c>
      <c r="BM96" s="229"/>
      <c r="BN96" s="222" t="s">
        <v>357</v>
      </c>
    </row>
    <row r="97" customFormat="false" ht="17.25" hidden="false" customHeight="true" outlineLevel="0" collapsed="false">
      <c r="B97" s="290"/>
      <c r="C97" s="301"/>
      <c r="D97" s="302" t="s">
        <v>96</v>
      </c>
      <c r="E97" s="303" t="s">
        <v>376</v>
      </c>
      <c r="F97" s="304" t="s">
        <v>97</v>
      </c>
      <c r="G97" s="224" t="s">
        <v>275</v>
      </c>
      <c r="H97" s="225"/>
      <c r="I97" s="227" t="s">
        <v>275</v>
      </c>
      <c r="J97" s="222" t="s">
        <v>55</v>
      </c>
      <c r="K97" s="229"/>
      <c r="L97" s="223" t="s">
        <v>55</v>
      </c>
      <c r="M97" s="224" t="s">
        <v>55</v>
      </c>
      <c r="N97" s="225"/>
      <c r="O97" s="226" t="s">
        <v>55</v>
      </c>
      <c r="P97" s="224" t="s">
        <v>55</v>
      </c>
      <c r="Q97" s="225"/>
      <c r="R97" s="227" t="s">
        <v>55</v>
      </c>
      <c r="S97" s="228" t="s">
        <v>389</v>
      </c>
      <c r="T97" s="229"/>
      <c r="U97" s="230" t="s">
        <v>378</v>
      </c>
      <c r="V97" s="231" t="s">
        <v>314</v>
      </c>
      <c r="W97" s="225"/>
      <c r="X97" s="225" t="s">
        <v>314</v>
      </c>
      <c r="Y97" s="237" t="s">
        <v>304</v>
      </c>
      <c r="Z97" s="229"/>
      <c r="AA97" s="234" t="s">
        <v>281</v>
      </c>
      <c r="AB97" s="231" t="s">
        <v>304</v>
      </c>
      <c r="AC97" s="225"/>
      <c r="AD97" s="227" t="s">
        <v>281</v>
      </c>
      <c r="AE97" s="222" t="s">
        <v>379</v>
      </c>
      <c r="AF97" s="229"/>
      <c r="AG97" s="230" t="s">
        <v>402</v>
      </c>
      <c r="AH97" s="224" t="s">
        <v>380</v>
      </c>
      <c r="AI97" s="225"/>
      <c r="AJ97" s="227" t="s">
        <v>403</v>
      </c>
      <c r="AK97" s="296" t="s">
        <v>380</v>
      </c>
      <c r="AL97" s="243"/>
      <c r="AM97" s="298" t="s">
        <v>381</v>
      </c>
      <c r="AN97" s="236" t="s">
        <v>382</v>
      </c>
      <c r="AO97" s="233"/>
      <c r="AP97" s="234" t="s">
        <v>383</v>
      </c>
      <c r="AQ97" s="235" t="s">
        <v>288</v>
      </c>
      <c r="AR97" s="220"/>
      <c r="AS97" s="221" t="s">
        <v>289</v>
      </c>
      <c r="AT97" s="222" t="s">
        <v>308</v>
      </c>
      <c r="AU97" s="229"/>
      <c r="AV97" s="230" t="s">
        <v>291</v>
      </c>
      <c r="AW97" s="224" t="s">
        <v>308</v>
      </c>
      <c r="AX97" s="225"/>
      <c r="AY97" s="227" t="s">
        <v>291</v>
      </c>
      <c r="AZ97" s="222" t="s">
        <v>308</v>
      </c>
      <c r="BA97" s="229"/>
      <c r="BB97" s="230" t="s">
        <v>288</v>
      </c>
      <c r="BC97" s="235" t="s">
        <v>293</v>
      </c>
      <c r="BD97" s="220"/>
      <c r="BE97" s="221" t="s">
        <v>294</v>
      </c>
      <c r="BF97" s="237" t="s">
        <v>357</v>
      </c>
      <c r="BG97" s="229"/>
      <c r="BH97" s="222" t="s">
        <v>357</v>
      </c>
      <c r="BI97" s="231" t="s">
        <v>357</v>
      </c>
      <c r="BJ97" s="225"/>
      <c r="BK97" s="227" t="s">
        <v>357</v>
      </c>
      <c r="BL97" s="237" t="s">
        <v>357</v>
      </c>
      <c r="BM97" s="229"/>
      <c r="BN97" s="222" t="s">
        <v>357</v>
      </c>
    </row>
    <row r="98" customFormat="false" ht="17.25" hidden="false" customHeight="true" outlineLevel="0" collapsed="false">
      <c r="B98" s="290"/>
      <c r="C98" s="301"/>
      <c r="D98" s="302"/>
      <c r="E98" s="303" t="s">
        <v>388</v>
      </c>
      <c r="F98" s="304"/>
      <c r="G98" s="224" t="s">
        <v>275</v>
      </c>
      <c r="H98" s="225"/>
      <c r="I98" s="227" t="s">
        <v>275</v>
      </c>
      <c r="J98" s="222" t="s">
        <v>55</v>
      </c>
      <c r="K98" s="229"/>
      <c r="L98" s="223" t="s">
        <v>55</v>
      </c>
      <c r="M98" s="224" t="s">
        <v>55</v>
      </c>
      <c r="N98" s="225"/>
      <c r="O98" s="226" t="s">
        <v>55</v>
      </c>
      <c r="P98" s="224" t="s">
        <v>55</v>
      </c>
      <c r="Q98" s="225"/>
      <c r="R98" s="227" t="s">
        <v>55</v>
      </c>
      <c r="S98" s="228" t="s">
        <v>389</v>
      </c>
      <c r="T98" s="229"/>
      <c r="U98" s="230" t="s">
        <v>378</v>
      </c>
      <c r="V98" s="231" t="s">
        <v>314</v>
      </c>
      <c r="W98" s="225"/>
      <c r="X98" s="225" t="s">
        <v>314</v>
      </c>
      <c r="Y98" s="237" t="s">
        <v>304</v>
      </c>
      <c r="Z98" s="229"/>
      <c r="AA98" s="234" t="s">
        <v>281</v>
      </c>
      <c r="AB98" s="231" t="s">
        <v>304</v>
      </c>
      <c r="AC98" s="225"/>
      <c r="AD98" s="227" t="s">
        <v>281</v>
      </c>
      <c r="AE98" s="222" t="s">
        <v>379</v>
      </c>
      <c r="AF98" s="229"/>
      <c r="AG98" s="230" t="s">
        <v>402</v>
      </c>
      <c r="AH98" s="224" t="s">
        <v>380</v>
      </c>
      <c r="AI98" s="225"/>
      <c r="AJ98" s="227" t="s">
        <v>403</v>
      </c>
      <c r="AK98" s="296" t="s">
        <v>380</v>
      </c>
      <c r="AL98" s="243"/>
      <c r="AM98" s="298" t="s">
        <v>381</v>
      </c>
      <c r="AN98" s="236" t="s">
        <v>382</v>
      </c>
      <c r="AO98" s="233"/>
      <c r="AP98" s="234" t="s">
        <v>383</v>
      </c>
      <c r="AQ98" s="235" t="s">
        <v>288</v>
      </c>
      <c r="AR98" s="220"/>
      <c r="AS98" s="221" t="s">
        <v>289</v>
      </c>
      <c r="AT98" s="222" t="s">
        <v>308</v>
      </c>
      <c r="AU98" s="229"/>
      <c r="AV98" s="230" t="s">
        <v>291</v>
      </c>
      <c r="AW98" s="224" t="s">
        <v>308</v>
      </c>
      <c r="AX98" s="225"/>
      <c r="AY98" s="227" t="s">
        <v>291</v>
      </c>
      <c r="AZ98" s="222" t="s">
        <v>308</v>
      </c>
      <c r="BA98" s="229"/>
      <c r="BB98" s="230" t="s">
        <v>288</v>
      </c>
      <c r="BC98" s="235" t="s">
        <v>293</v>
      </c>
      <c r="BD98" s="220"/>
      <c r="BE98" s="221" t="s">
        <v>294</v>
      </c>
      <c r="BF98" s="237" t="s">
        <v>357</v>
      </c>
      <c r="BG98" s="229"/>
      <c r="BH98" s="222" t="s">
        <v>357</v>
      </c>
      <c r="BI98" s="231" t="s">
        <v>357</v>
      </c>
      <c r="BJ98" s="225"/>
      <c r="BK98" s="227" t="s">
        <v>357</v>
      </c>
      <c r="BL98" s="237" t="s">
        <v>357</v>
      </c>
      <c r="BM98" s="229"/>
      <c r="BN98" s="222" t="s">
        <v>357</v>
      </c>
    </row>
    <row r="99" customFormat="false" ht="17.25" hidden="false" customHeight="true" outlineLevel="0" collapsed="false">
      <c r="B99" s="290"/>
      <c r="C99" s="301"/>
      <c r="D99" s="302"/>
      <c r="E99" s="303" t="s">
        <v>390</v>
      </c>
      <c r="F99" s="304"/>
      <c r="G99" s="224" t="s">
        <v>275</v>
      </c>
      <c r="H99" s="225"/>
      <c r="I99" s="227" t="s">
        <v>275</v>
      </c>
      <c r="J99" s="222" t="s">
        <v>55</v>
      </c>
      <c r="K99" s="229"/>
      <c r="L99" s="223" t="s">
        <v>55</v>
      </c>
      <c r="M99" s="224" t="s">
        <v>55</v>
      </c>
      <c r="N99" s="225"/>
      <c r="O99" s="226" t="s">
        <v>55</v>
      </c>
      <c r="P99" s="224" t="s">
        <v>55</v>
      </c>
      <c r="Q99" s="225"/>
      <c r="R99" s="227" t="s">
        <v>55</v>
      </c>
      <c r="S99" s="228" t="s">
        <v>389</v>
      </c>
      <c r="T99" s="229"/>
      <c r="U99" s="230" t="s">
        <v>378</v>
      </c>
      <c r="V99" s="231" t="s">
        <v>314</v>
      </c>
      <c r="W99" s="225"/>
      <c r="X99" s="225" t="s">
        <v>314</v>
      </c>
      <c r="Y99" s="237" t="s">
        <v>304</v>
      </c>
      <c r="Z99" s="229"/>
      <c r="AA99" s="234" t="s">
        <v>281</v>
      </c>
      <c r="AB99" s="231" t="s">
        <v>304</v>
      </c>
      <c r="AC99" s="225"/>
      <c r="AD99" s="227" t="s">
        <v>281</v>
      </c>
      <c r="AE99" s="222" t="s">
        <v>379</v>
      </c>
      <c r="AF99" s="229"/>
      <c r="AG99" s="230" t="s">
        <v>402</v>
      </c>
      <c r="AH99" s="224" t="s">
        <v>380</v>
      </c>
      <c r="AI99" s="225"/>
      <c r="AJ99" s="227" t="s">
        <v>403</v>
      </c>
      <c r="AK99" s="296" t="s">
        <v>380</v>
      </c>
      <c r="AL99" s="243"/>
      <c r="AM99" s="298" t="s">
        <v>381</v>
      </c>
      <c r="AN99" s="236" t="s">
        <v>382</v>
      </c>
      <c r="AO99" s="233"/>
      <c r="AP99" s="234" t="s">
        <v>383</v>
      </c>
      <c r="AQ99" s="235" t="s">
        <v>288</v>
      </c>
      <c r="AR99" s="220"/>
      <c r="AS99" s="221" t="s">
        <v>289</v>
      </c>
      <c r="AT99" s="222" t="s">
        <v>308</v>
      </c>
      <c r="AU99" s="229"/>
      <c r="AV99" s="230" t="s">
        <v>291</v>
      </c>
      <c r="AW99" s="224" t="s">
        <v>308</v>
      </c>
      <c r="AX99" s="225"/>
      <c r="AY99" s="227" t="s">
        <v>291</v>
      </c>
      <c r="AZ99" s="222" t="s">
        <v>308</v>
      </c>
      <c r="BA99" s="229"/>
      <c r="BB99" s="230" t="s">
        <v>288</v>
      </c>
      <c r="BC99" s="235" t="s">
        <v>293</v>
      </c>
      <c r="BD99" s="220"/>
      <c r="BE99" s="221" t="s">
        <v>294</v>
      </c>
      <c r="BF99" s="237" t="s">
        <v>357</v>
      </c>
      <c r="BG99" s="229"/>
      <c r="BH99" s="222" t="s">
        <v>357</v>
      </c>
      <c r="BI99" s="231" t="s">
        <v>357</v>
      </c>
      <c r="BJ99" s="225"/>
      <c r="BK99" s="227" t="s">
        <v>357</v>
      </c>
      <c r="BL99" s="237" t="s">
        <v>357</v>
      </c>
      <c r="BM99" s="229"/>
      <c r="BN99" s="222" t="s">
        <v>357</v>
      </c>
    </row>
    <row r="100" customFormat="false" ht="17.25" hidden="false" customHeight="true" outlineLevel="0" collapsed="false">
      <c r="B100" s="290"/>
      <c r="C100" s="301"/>
      <c r="D100" s="302"/>
      <c r="E100" s="303" t="s">
        <v>391</v>
      </c>
      <c r="F100" s="304"/>
      <c r="G100" s="224" t="s">
        <v>275</v>
      </c>
      <c r="H100" s="225"/>
      <c r="I100" s="227" t="s">
        <v>275</v>
      </c>
      <c r="J100" s="222" t="s">
        <v>55</v>
      </c>
      <c r="K100" s="229"/>
      <c r="L100" s="223" t="s">
        <v>55</v>
      </c>
      <c r="M100" s="224" t="s">
        <v>55</v>
      </c>
      <c r="N100" s="225"/>
      <c r="O100" s="226" t="s">
        <v>55</v>
      </c>
      <c r="P100" s="224" t="s">
        <v>55</v>
      </c>
      <c r="Q100" s="225"/>
      <c r="R100" s="227" t="s">
        <v>55</v>
      </c>
      <c r="S100" s="228" t="s">
        <v>389</v>
      </c>
      <c r="T100" s="229"/>
      <c r="U100" s="230" t="s">
        <v>378</v>
      </c>
      <c r="V100" s="231" t="s">
        <v>314</v>
      </c>
      <c r="W100" s="225"/>
      <c r="X100" s="225" t="s">
        <v>314</v>
      </c>
      <c r="Y100" s="237" t="s">
        <v>304</v>
      </c>
      <c r="Z100" s="229"/>
      <c r="AA100" s="234" t="s">
        <v>281</v>
      </c>
      <c r="AB100" s="231" t="s">
        <v>304</v>
      </c>
      <c r="AC100" s="225"/>
      <c r="AD100" s="227" t="s">
        <v>281</v>
      </c>
      <c r="AE100" s="222" t="s">
        <v>379</v>
      </c>
      <c r="AF100" s="229"/>
      <c r="AG100" s="230" t="s">
        <v>402</v>
      </c>
      <c r="AH100" s="224" t="s">
        <v>380</v>
      </c>
      <c r="AI100" s="225"/>
      <c r="AJ100" s="227" t="s">
        <v>403</v>
      </c>
      <c r="AK100" s="296" t="s">
        <v>380</v>
      </c>
      <c r="AL100" s="243"/>
      <c r="AM100" s="298" t="s">
        <v>381</v>
      </c>
      <c r="AN100" s="236" t="s">
        <v>382</v>
      </c>
      <c r="AO100" s="233"/>
      <c r="AP100" s="234" t="s">
        <v>383</v>
      </c>
      <c r="AQ100" s="235" t="s">
        <v>288</v>
      </c>
      <c r="AR100" s="220"/>
      <c r="AS100" s="221" t="s">
        <v>289</v>
      </c>
      <c r="AT100" s="222" t="s">
        <v>308</v>
      </c>
      <c r="AU100" s="229"/>
      <c r="AV100" s="230" t="s">
        <v>291</v>
      </c>
      <c r="AW100" s="224" t="s">
        <v>308</v>
      </c>
      <c r="AX100" s="225"/>
      <c r="AY100" s="227" t="s">
        <v>291</v>
      </c>
      <c r="AZ100" s="222" t="s">
        <v>308</v>
      </c>
      <c r="BA100" s="229"/>
      <c r="BB100" s="230" t="s">
        <v>288</v>
      </c>
      <c r="BC100" s="235" t="s">
        <v>293</v>
      </c>
      <c r="BD100" s="220"/>
      <c r="BE100" s="221" t="s">
        <v>294</v>
      </c>
      <c r="BF100" s="237" t="s">
        <v>357</v>
      </c>
      <c r="BG100" s="229"/>
      <c r="BH100" s="222" t="s">
        <v>357</v>
      </c>
      <c r="BI100" s="231" t="s">
        <v>357</v>
      </c>
      <c r="BJ100" s="220"/>
      <c r="BK100" s="227" t="s">
        <v>357</v>
      </c>
      <c r="BL100" s="237" t="s">
        <v>357</v>
      </c>
      <c r="BM100" s="229"/>
      <c r="BN100" s="222" t="s">
        <v>357</v>
      </c>
    </row>
    <row r="101" customFormat="false" ht="17.25" hidden="false" customHeight="true" outlineLevel="0" collapsed="false">
      <c r="B101" s="290"/>
      <c r="C101" s="301" t="s">
        <v>404</v>
      </c>
      <c r="D101" s="305"/>
      <c r="E101" s="306" t="s">
        <v>376</v>
      </c>
      <c r="F101" s="307"/>
      <c r="G101" s="224" t="s">
        <v>275</v>
      </c>
      <c r="H101" s="225"/>
      <c r="I101" s="227" t="s">
        <v>275</v>
      </c>
      <c r="J101" s="222" t="s">
        <v>55</v>
      </c>
      <c r="K101" s="229"/>
      <c r="L101" s="223" t="s">
        <v>55</v>
      </c>
      <c r="M101" s="224" t="s">
        <v>55</v>
      </c>
      <c r="N101" s="225"/>
      <c r="O101" s="226" t="s">
        <v>55</v>
      </c>
      <c r="P101" s="224" t="s">
        <v>55</v>
      </c>
      <c r="Q101" s="225"/>
      <c r="R101" s="227" t="s">
        <v>55</v>
      </c>
      <c r="S101" s="228" t="s">
        <v>405</v>
      </c>
      <c r="T101" s="229"/>
      <c r="U101" s="230" t="s">
        <v>406</v>
      </c>
      <c r="V101" s="231" t="s">
        <v>407</v>
      </c>
      <c r="W101" s="225"/>
      <c r="X101" s="227" t="s">
        <v>278</v>
      </c>
      <c r="Y101" s="237" t="s">
        <v>304</v>
      </c>
      <c r="Z101" s="229"/>
      <c r="AA101" s="234" t="s">
        <v>281</v>
      </c>
      <c r="AB101" s="231" t="s">
        <v>304</v>
      </c>
      <c r="AC101" s="225"/>
      <c r="AD101" s="227" t="s">
        <v>281</v>
      </c>
      <c r="AE101" s="222" t="s">
        <v>408</v>
      </c>
      <c r="AF101" s="229"/>
      <c r="AG101" s="230" t="s">
        <v>409</v>
      </c>
      <c r="AH101" s="224" t="s">
        <v>410</v>
      </c>
      <c r="AI101" s="225"/>
      <c r="AJ101" s="227" t="s">
        <v>411</v>
      </c>
      <c r="AK101" s="249" t="s">
        <v>412</v>
      </c>
      <c r="AL101" s="243"/>
      <c r="AM101" s="266" t="s">
        <v>413</v>
      </c>
      <c r="AN101" s="236" t="s">
        <v>414</v>
      </c>
      <c r="AO101" s="233"/>
      <c r="AP101" s="234" t="s">
        <v>278</v>
      </c>
      <c r="AQ101" s="235" t="s">
        <v>415</v>
      </c>
      <c r="AR101" s="220"/>
      <c r="AS101" s="221" t="s">
        <v>289</v>
      </c>
      <c r="AT101" s="222" t="s">
        <v>384</v>
      </c>
      <c r="AU101" s="229"/>
      <c r="AV101" s="230" t="s">
        <v>385</v>
      </c>
      <c r="AW101" s="224" t="s">
        <v>384</v>
      </c>
      <c r="AX101" s="225"/>
      <c r="AY101" s="227" t="s">
        <v>416</v>
      </c>
      <c r="AZ101" s="222" t="s">
        <v>384</v>
      </c>
      <c r="BA101" s="229"/>
      <c r="BB101" s="230" t="s">
        <v>385</v>
      </c>
      <c r="BC101" s="235" t="s">
        <v>293</v>
      </c>
      <c r="BD101" s="220"/>
      <c r="BE101" s="221" t="s">
        <v>294</v>
      </c>
      <c r="BF101" s="237" t="s">
        <v>295</v>
      </c>
      <c r="BG101" s="229"/>
      <c r="BH101" s="230" t="s">
        <v>295</v>
      </c>
      <c r="BI101" s="308" t="s">
        <v>295</v>
      </c>
      <c r="BJ101" s="225"/>
      <c r="BK101" s="227" t="s">
        <v>295</v>
      </c>
      <c r="BL101" s="237" t="s">
        <v>295</v>
      </c>
      <c r="BM101" s="229"/>
      <c r="BN101" s="230" t="s">
        <v>295</v>
      </c>
    </row>
    <row r="102" customFormat="false" ht="17.25" hidden="false" customHeight="true" outlineLevel="0" collapsed="false">
      <c r="B102" s="290"/>
      <c r="C102" s="301"/>
      <c r="D102" s="305"/>
      <c r="E102" s="306" t="s">
        <v>388</v>
      </c>
      <c r="F102" s="307"/>
      <c r="G102" s="224" t="s">
        <v>275</v>
      </c>
      <c r="H102" s="225"/>
      <c r="I102" s="227" t="s">
        <v>275</v>
      </c>
      <c r="J102" s="222" t="s">
        <v>55</v>
      </c>
      <c r="K102" s="229"/>
      <c r="L102" s="223" t="s">
        <v>55</v>
      </c>
      <c r="M102" s="224" t="s">
        <v>55</v>
      </c>
      <c r="N102" s="225"/>
      <c r="O102" s="226" t="s">
        <v>55</v>
      </c>
      <c r="P102" s="224" t="s">
        <v>55</v>
      </c>
      <c r="Q102" s="225"/>
      <c r="R102" s="227" t="s">
        <v>55</v>
      </c>
      <c r="S102" s="228" t="s">
        <v>405</v>
      </c>
      <c r="T102" s="229"/>
      <c r="U102" s="230" t="s">
        <v>406</v>
      </c>
      <c r="V102" s="231" t="s">
        <v>407</v>
      </c>
      <c r="W102" s="225"/>
      <c r="X102" s="227" t="s">
        <v>278</v>
      </c>
      <c r="Y102" s="237" t="s">
        <v>304</v>
      </c>
      <c r="Z102" s="229"/>
      <c r="AA102" s="234" t="s">
        <v>281</v>
      </c>
      <c r="AB102" s="231" t="s">
        <v>304</v>
      </c>
      <c r="AC102" s="225"/>
      <c r="AD102" s="227" t="s">
        <v>281</v>
      </c>
      <c r="AE102" s="222" t="s">
        <v>408</v>
      </c>
      <c r="AF102" s="229"/>
      <c r="AG102" s="230" t="s">
        <v>409</v>
      </c>
      <c r="AH102" s="224" t="s">
        <v>410</v>
      </c>
      <c r="AI102" s="225"/>
      <c r="AJ102" s="227" t="s">
        <v>411</v>
      </c>
      <c r="AK102" s="249" t="s">
        <v>412</v>
      </c>
      <c r="AL102" s="243"/>
      <c r="AM102" s="266" t="s">
        <v>413</v>
      </c>
      <c r="AN102" s="236" t="s">
        <v>414</v>
      </c>
      <c r="AO102" s="233"/>
      <c r="AP102" s="234" t="s">
        <v>278</v>
      </c>
      <c r="AQ102" s="235" t="s">
        <v>415</v>
      </c>
      <c r="AR102" s="220"/>
      <c r="AS102" s="221" t="s">
        <v>289</v>
      </c>
      <c r="AT102" s="222" t="s">
        <v>384</v>
      </c>
      <c r="AU102" s="229"/>
      <c r="AV102" s="230" t="s">
        <v>385</v>
      </c>
      <c r="AW102" s="224" t="s">
        <v>384</v>
      </c>
      <c r="AX102" s="225"/>
      <c r="AY102" s="227" t="s">
        <v>416</v>
      </c>
      <c r="AZ102" s="222" t="s">
        <v>384</v>
      </c>
      <c r="BA102" s="229"/>
      <c r="BB102" s="230" t="s">
        <v>385</v>
      </c>
      <c r="BC102" s="235" t="s">
        <v>293</v>
      </c>
      <c r="BD102" s="220"/>
      <c r="BE102" s="221" t="s">
        <v>294</v>
      </c>
      <c r="BF102" s="237" t="s">
        <v>295</v>
      </c>
      <c r="BG102" s="229"/>
      <c r="BH102" s="230" t="s">
        <v>295</v>
      </c>
      <c r="BI102" s="231" t="s">
        <v>295</v>
      </c>
      <c r="BJ102" s="225"/>
      <c r="BK102" s="227" t="s">
        <v>295</v>
      </c>
      <c r="BL102" s="237" t="s">
        <v>295</v>
      </c>
      <c r="BM102" s="229"/>
      <c r="BN102" s="230" t="s">
        <v>295</v>
      </c>
    </row>
    <row r="103" customFormat="false" ht="17.25" hidden="false" customHeight="true" outlineLevel="0" collapsed="false">
      <c r="B103" s="290"/>
      <c r="C103" s="301"/>
      <c r="D103" s="305"/>
      <c r="E103" s="306" t="s">
        <v>390</v>
      </c>
      <c r="F103" s="307"/>
      <c r="G103" s="224" t="s">
        <v>275</v>
      </c>
      <c r="H103" s="225"/>
      <c r="I103" s="227" t="s">
        <v>275</v>
      </c>
      <c r="J103" s="222" t="s">
        <v>55</v>
      </c>
      <c r="K103" s="229"/>
      <c r="L103" s="223" t="s">
        <v>55</v>
      </c>
      <c r="M103" s="224" t="s">
        <v>55</v>
      </c>
      <c r="N103" s="225"/>
      <c r="O103" s="226" t="s">
        <v>55</v>
      </c>
      <c r="P103" s="224" t="s">
        <v>55</v>
      </c>
      <c r="Q103" s="225"/>
      <c r="R103" s="227" t="s">
        <v>55</v>
      </c>
      <c r="S103" s="228" t="s">
        <v>405</v>
      </c>
      <c r="T103" s="229"/>
      <c r="U103" s="230" t="s">
        <v>406</v>
      </c>
      <c r="V103" s="231" t="s">
        <v>407</v>
      </c>
      <c r="W103" s="225"/>
      <c r="X103" s="227" t="s">
        <v>278</v>
      </c>
      <c r="Y103" s="237" t="s">
        <v>304</v>
      </c>
      <c r="Z103" s="229"/>
      <c r="AA103" s="234" t="s">
        <v>281</v>
      </c>
      <c r="AB103" s="231" t="s">
        <v>304</v>
      </c>
      <c r="AC103" s="225"/>
      <c r="AD103" s="227" t="s">
        <v>281</v>
      </c>
      <c r="AE103" s="222" t="s">
        <v>408</v>
      </c>
      <c r="AF103" s="229"/>
      <c r="AG103" s="230" t="s">
        <v>409</v>
      </c>
      <c r="AH103" s="224" t="s">
        <v>410</v>
      </c>
      <c r="AI103" s="225"/>
      <c r="AJ103" s="227" t="s">
        <v>411</v>
      </c>
      <c r="AK103" s="249" t="s">
        <v>412</v>
      </c>
      <c r="AL103" s="243"/>
      <c r="AM103" s="266" t="s">
        <v>413</v>
      </c>
      <c r="AN103" s="236" t="s">
        <v>414</v>
      </c>
      <c r="AO103" s="233"/>
      <c r="AP103" s="234" t="s">
        <v>278</v>
      </c>
      <c r="AQ103" s="235" t="s">
        <v>415</v>
      </c>
      <c r="AR103" s="220"/>
      <c r="AS103" s="221" t="s">
        <v>289</v>
      </c>
      <c r="AT103" s="222" t="s">
        <v>384</v>
      </c>
      <c r="AU103" s="229"/>
      <c r="AV103" s="230" t="s">
        <v>385</v>
      </c>
      <c r="AW103" s="224" t="s">
        <v>384</v>
      </c>
      <c r="AX103" s="225"/>
      <c r="AY103" s="227" t="s">
        <v>416</v>
      </c>
      <c r="AZ103" s="222" t="s">
        <v>384</v>
      </c>
      <c r="BA103" s="229"/>
      <c r="BB103" s="230" t="s">
        <v>385</v>
      </c>
      <c r="BC103" s="235" t="s">
        <v>293</v>
      </c>
      <c r="BD103" s="220"/>
      <c r="BE103" s="221" t="s">
        <v>294</v>
      </c>
      <c r="BF103" s="237" t="s">
        <v>295</v>
      </c>
      <c r="BG103" s="229"/>
      <c r="BH103" s="230" t="s">
        <v>295</v>
      </c>
      <c r="BI103" s="231" t="s">
        <v>295</v>
      </c>
      <c r="BJ103" s="225"/>
      <c r="BK103" s="227" t="s">
        <v>295</v>
      </c>
      <c r="BL103" s="237" t="s">
        <v>295</v>
      </c>
      <c r="BM103" s="229"/>
      <c r="BN103" s="230" t="s">
        <v>295</v>
      </c>
    </row>
    <row r="104" customFormat="false" ht="17.25" hidden="false" customHeight="true" outlineLevel="0" collapsed="false">
      <c r="B104" s="290"/>
      <c r="C104" s="301"/>
      <c r="D104" s="305"/>
      <c r="E104" s="306" t="s">
        <v>391</v>
      </c>
      <c r="F104" s="307"/>
      <c r="G104" s="224" t="s">
        <v>275</v>
      </c>
      <c r="H104" s="225"/>
      <c r="I104" s="227" t="s">
        <v>275</v>
      </c>
      <c r="J104" s="222" t="s">
        <v>55</v>
      </c>
      <c r="K104" s="229"/>
      <c r="L104" s="223" t="s">
        <v>55</v>
      </c>
      <c r="M104" s="224" t="s">
        <v>55</v>
      </c>
      <c r="N104" s="225"/>
      <c r="O104" s="226" t="s">
        <v>55</v>
      </c>
      <c r="P104" s="224" t="s">
        <v>55</v>
      </c>
      <c r="Q104" s="225"/>
      <c r="R104" s="227" t="s">
        <v>55</v>
      </c>
      <c r="S104" s="228" t="s">
        <v>405</v>
      </c>
      <c r="T104" s="229"/>
      <c r="U104" s="230" t="s">
        <v>406</v>
      </c>
      <c r="V104" s="231" t="s">
        <v>407</v>
      </c>
      <c r="W104" s="225"/>
      <c r="X104" s="227" t="s">
        <v>278</v>
      </c>
      <c r="Y104" s="237" t="s">
        <v>304</v>
      </c>
      <c r="Z104" s="229"/>
      <c r="AA104" s="234" t="s">
        <v>281</v>
      </c>
      <c r="AB104" s="231" t="s">
        <v>304</v>
      </c>
      <c r="AC104" s="225"/>
      <c r="AD104" s="227" t="s">
        <v>281</v>
      </c>
      <c r="AE104" s="222" t="s">
        <v>408</v>
      </c>
      <c r="AF104" s="229"/>
      <c r="AG104" s="230" t="s">
        <v>409</v>
      </c>
      <c r="AH104" s="224" t="s">
        <v>410</v>
      </c>
      <c r="AI104" s="225"/>
      <c r="AJ104" s="227" t="s">
        <v>411</v>
      </c>
      <c r="AK104" s="249" t="s">
        <v>412</v>
      </c>
      <c r="AL104" s="243"/>
      <c r="AM104" s="266" t="s">
        <v>413</v>
      </c>
      <c r="AN104" s="236" t="s">
        <v>414</v>
      </c>
      <c r="AO104" s="233"/>
      <c r="AP104" s="234" t="s">
        <v>278</v>
      </c>
      <c r="AQ104" s="235" t="s">
        <v>415</v>
      </c>
      <c r="AR104" s="220"/>
      <c r="AS104" s="221" t="s">
        <v>289</v>
      </c>
      <c r="AT104" s="222" t="s">
        <v>384</v>
      </c>
      <c r="AU104" s="229"/>
      <c r="AV104" s="230" t="s">
        <v>385</v>
      </c>
      <c r="AW104" s="224" t="s">
        <v>384</v>
      </c>
      <c r="AX104" s="225"/>
      <c r="AY104" s="227" t="s">
        <v>416</v>
      </c>
      <c r="AZ104" s="222" t="s">
        <v>384</v>
      </c>
      <c r="BA104" s="229"/>
      <c r="BB104" s="230" t="s">
        <v>385</v>
      </c>
      <c r="BC104" s="235" t="s">
        <v>293</v>
      </c>
      <c r="BD104" s="220"/>
      <c r="BE104" s="221" t="s">
        <v>294</v>
      </c>
      <c r="BF104" s="237" t="s">
        <v>295</v>
      </c>
      <c r="BG104" s="229"/>
      <c r="BH104" s="230" t="s">
        <v>295</v>
      </c>
      <c r="BI104" s="231" t="s">
        <v>295</v>
      </c>
      <c r="BJ104" s="225"/>
      <c r="BK104" s="227" t="s">
        <v>295</v>
      </c>
      <c r="BL104" s="237" t="s">
        <v>295</v>
      </c>
      <c r="BM104" s="229"/>
      <c r="BN104" s="230" t="s">
        <v>295</v>
      </c>
    </row>
    <row r="105" customFormat="false" ht="17.25" hidden="false" customHeight="true" outlineLevel="0" collapsed="false">
      <c r="B105" s="290"/>
      <c r="C105" s="309" t="s">
        <v>417</v>
      </c>
      <c r="D105" s="302" t="s">
        <v>82</v>
      </c>
      <c r="E105" s="303" t="s">
        <v>376</v>
      </c>
      <c r="F105" s="304" t="s">
        <v>84</v>
      </c>
      <c r="G105" s="224" t="s">
        <v>275</v>
      </c>
      <c r="H105" s="225"/>
      <c r="I105" s="227" t="s">
        <v>275</v>
      </c>
      <c r="J105" s="222" t="s">
        <v>55</v>
      </c>
      <c r="K105" s="229"/>
      <c r="L105" s="223" t="s">
        <v>55</v>
      </c>
      <c r="M105" s="224" t="s">
        <v>55</v>
      </c>
      <c r="N105" s="225"/>
      <c r="O105" s="226" t="s">
        <v>55</v>
      </c>
      <c r="P105" s="224" t="s">
        <v>55</v>
      </c>
      <c r="Q105" s="225"/>
      <c r="R105" s="227" t="s">
        <v>55</v>
      </c>
      <c r="S105" s="228" t="s">
        <v>405</v>
      </c>
      <c r="T105" s="229"/>
      <c r="U105" s="230" t="s">
        <v>406</v>
      </c>
      <c r="V105" s="231" t="s">
        <v>407</v>
      </c>
      <c r="W105" s="225"/>
      <c r="X105" s="227" t="s">
        <v>278</v>
      </c>
      <c r="Y105" s="237" t="s">
        <v>304</v>
      </c>
      <c r="Z105" s="229"/>
      <c r="AA105" s="234" t="s">
        <v>281</v>
      </c>
      <c r="AB105" s="231" t="s">
        <v>304</v>
      </c>
      <c r="AC105" s="225"/>
      <c r="AD105" s="227" t="s">
        <v>281</v>
      </c>
      <c r="AE105" s="222" t="s">
        <v>408</v>
      </c>
      <c r="AF105" s="229"/>
      <c r="AG105" s="230" t="s">
        <v>409</v>
      </c>
      <c r="AH105" s="224" t="s">
        <v>410</v>
      </c>
      <c r="AI105" s="225"/>
      <c r="AJ105" s="227" t="s">
        <v>411</v>
      </c>
      <c r="AK105" s="249" t="s">
        <v>412</v>
      </c>
      <c r="AL105" s="243"/>
      <c r="AM105" s="266" t="s">
        <v>307</v>
      </c>
      <c r="AN105" s="236" t="s">
        <v>414</v>
      </c>
      <c r="AO105" s="229"/>
      <c r="AP105" s="230" t="s">
        <v>418</v>
      </c>
      <c r="AQ105" s="235" t="s">
        <v>415</v>
      </c>
      <c r="AR105" s="225"/>
      <c r="AS105" s="227" t="s">
        <v>419</v>
      </c>
      <c r="AT105" s="222" t="s">
        <v>308</v>
      </c>
      <c r="AU105" s="229"/>
      <c r="AV105" s="230" t="s">
        <v>291</v>
      </c>
      <c r="AW105" s="224" t="s">
        <v>308</v>
      </c>
      <c r="AX105" s="225"/>
      <c r="AY105" s="227" t="s">
        <v>292</v>
      </c>
      <c r="AZ105" s="222" t="s">
        <v>308</v>
      </c>
      <c r="BA105" s="229"/>
      <c r="BB105" s="230" t="s">
        <v>291</v>
      </c>
      <c r="BC105" s="235" t="s">
        <v>293</v>
      </c>
      <c r="BD105" s="220"/>
      <c r="BE105" s="221" t="s">
        <v>294</v>
      </c>
      <c r="BF105" s="237" t="s">
        <v>315</v>
      </c>
      <c r="BG105" s="229"/>
      <c r="BH105" s="230" t="s">
        <v>295</v>
      </c>
      <c r="BI105" s="231" t="s">
        <v>397</v>
      </c>
      <c r="BJ105" s="225"/>
      <c r="BK105" s="227" t="s">
        <v>295</v>
      </c>
      <c r="BL105" s="237" t="s">
        <v>397</v>
      </c>
      <c r="BM105" s="229"/>
      <c r="BN105" s="230" t="s">
        <v>348</v>
      </c>
    </row>
    <row r="106" customFormat="false" ht="17.25" hidden="false" customHeight="true" outlineLevel="0" collapsed="false">
      <c r="B106" s="290"/>
      <c r="C106" s="309"/>
      <c r="D106" s="302"/>
      <c r="E106" s="303" t="s">
        <v>388</v>
      </c>
      <c r="F106" s="304"/>
      <c r="G106" s="224" t="s">
        <v>275</v>
      </c>
      <c r="H106" s="225"/>
      <c r="I106" s="227" t="s">
        <v>275</v>
      </c>
      <c r="J106" s="222" t="s">
        <v>55</v>
      </c>
      <c r="K106" s="229"/>
      <c r="L106" s="223" t="s">
        <v>55</v>
      </c>
      <c r="M106" s="224" t="s">
        <v>55</v>
      </c>
      <c r="N106" s="225"/>
      <c r="O106" s="226" t="s">
        <v>55</v>
      </c>
      <c r="P106" s="224" t="s">
        <v>55</v>
      </c>
      <c r="Q106" s="225"/>
      <c r="R106" s="227" t="s">
        <v>55</v>
      </c>
      <c r="S106" s="228" t="s">
        <v>405</v>
      </c>
      <c r="T106" s="229"/>
      <c r="U106" s="230" t="s">
        <v>406</v>
      </c>
      <c r="V106" s="231" t="s">
        <v>407</v>
      </c>
      <c r="W106" s="225"/>
      <c r="X106" s="227" t="s">
        <v>278</v>
      </c>
      <c r="Y106" s="237" t="s">
        <v>304</v>
      </c>
      <c r="Z106" s="229"/>
      <c r="AA106" s="234" t="s">
        <v>281</v>
      </c>
      <c r="AB106" s="231" t="s">
        <v>304</v>
      </c>
      <c r="AC106" s="225"/>
      <c r="AD106" s="227" t="s">
        <v>281</v>
      </c>
      <c r="AE106" s="222" t="s">
        <v>408</v>
      </c>
      <c r="AF106" s="229"/>
      <c r="AG106" s="230" t="s">
        <v>409</v>
      </c>
      <c r="AH106" s="224" t="s">
        <v>410</v>
      </c>
      <c r="AI106" s="225"/>
      <c r="AJ106" s="227" t="s">
        <v>411</v>
      </c>
      <c r="AK106" s="249" t="s">
        <v>412</v>
      </c>
      <c r="AL106" s="243"/>
      <c r="AM106" s="266" t="s">
        <v>307</v>
      </c>
      <c r="AN106" s="236" t="s">
        <v>414</v>
      </c>
      <c r="AO106" s="229"/>
      <c r="AP106" s="230" t="s">
        <v>418</v>
      </c>
      <c r="AQ106" s="235" t="s">
        <v>415</v>
      </c>
      <c r="AR106" s="225"/>
      <c r="AS106" s="227" t="s">
        <v>419</v>
      </c>
      <c r="AT106" s="222" t="s">
        <v>308</v>
      </c>
      <c r="AU106" s="229"/>
      <c r="AV106" s="230" t="s">
        <v>291</v>
      </c>
      <c r="AW106" s="224" t="s">
        <v>308</v>
      </c>
      <c r="AX106" s="225"/>
      <c r="AY106" s="227" t="s">
        <v>292</v>
      </c>
      <c r="AZ106" s="222" t="s">
        <v>308</v>
      </c>
      <c r="BA106" s="229"/>
      <c r="BB106" s="230" t="s">
        <v>291</v>
      </c>
      <c r="BC106" s="235" t="s">
        <v>293</v>
      </c>
      <c r="BD106" s="220"/>
      <c r="BE106" s="221" t="s">
        <v>294</v>
      </c>
      <c r="BF106" s="237" t="s">
        <v>315</v>
      </c>
      <c r="BG106" s="229"/>
      <c r="BH106" s="230" t="s">
        <v>295</v>
      </c>
      <c r="BI106" s="231" t="s">
        <v>397</v>
      </c>
      <c r="BJ106" s="225"/>
      <c r="BK106" s="227" t="s">
        <v>295</v>
      </c>
      <c r="BL106" s="237" t="s">
        <v>397</v>
      </c>
      <c r="BM106" s="229"/>
      <c r="BN106" s="230" t="s">
        <v>348</v>
      </c>
    </row>
    <row r="107" customFormat="false" ht="17.25" hidden="false" customHeight="true" outlineLevel="0" collapsed="false">
      <c r="B107" s="290"/>
      <c r="C107" s="309"/>
      <c r="D107" s="302"/>
      <c r="E107" s="303" t="s">
        <v>390</v>
      </c>
      <c r="F107" s="304"/>
      <c r="G107" s="224" t="s">
        <v>275</v>
      </c>
      <c r="H107" s="225"/>
      <c r="I107" s="227" t="s">
        <v>275</v>
      </c>
      <c r="J107" s="222" t="s">
        <v>55</v>
      </c>
      <c r="K107" s="229"/>
      <c r="L107" s="223" t="s">
        <v>55</v>
      </c>
      <c r="M107" s="224" t="s">
        <v>55</v>
      </c>
      <c r="N107" s="225"/>
      <c r="O107" s="226" t="s">
        <v>55</v>
      </c>
      <c r="P107" s="224" t="s">
        <v>55</v>
      </c>
      <c r="Q107" s="225"/>
      <c r="R107" s="227" t="s">
        <v>55</v>
      </c>
      <c r="S107" s="228" t="s">
        <v>405</v>
      </c>
      <c r="T107" s="229"/>
      <c r="U107" s="230" t="s">
        <v>406</v>
      </c>
      <c r="V107" s="231" t="s">
        <v>407</v>
      </c>
      <c r="W107" s="225"/>
      <c r="X107" s="227" t="s">
        <v>278</v>
      </c>
      <c r="Y107" s="237" t="s">
        <v>304</v>
      </c>
      <c r="Z107" s="229"/>
      <c r="AA107" s="234" t="s">
        <v>281</v>
      </c>
      <c r="AB107" s="231" t="s">
        <v>304</v>
      </c>
      <c r="AC107" s="225"/>
      <c r="AD107" s="227" t="s">
        <v>281</v>
      </c>
      <c r="AE107" s="222" t="s">
        <v>408</v>
      </c>
      <c r="AF107" s="229"/>
      <c r="AG107" s="230" t="s">
        <v>409</v>
      </c>
      <c r="AH107" s="224" t="s">
        <v>410</v>
      </c>
      <c r="AI107" s="225"/>
      <c r="AJ107" s="227" t="s">
        <v>411</v>
      </c>
      <c r="AK107" s="249" t="s">
        <v>412</v>
      </c>
      <c r="AL107" s="243"/>
      <c r="AM107" s="266" t="s">
        <v>307</v>
      </c>
      <c r="AN107" s="236" t="s">
        <v>414</v>
      </c>
      <c r="AO107" s="229"/>
      <c r="AP107" s="230" t="s">
        <v>418</v>
      </c>
      <c r="AQ107" s="235" t="s">
        <v>415</v>
      </c>
      <c r="AR107" s="225"/>
      <c r="AS107" s="227" t="s">
        <v>419</v>
      </c>
      <c r="AT107" s="222" t="s">
        <v>308</v>
      </c>
      <c r="AU107" s="229"/>
      <c r="AV107" s="230" t="s">
        <v>291</v>
      </c>
      <c r="AW107" s="224" t="s">
        <v>308</v>
      </c>
      <c r="AX107" s="225"/>
      <c r="AY107" s="227" t="s">
        <v>292</v>
      </c>
      <c r="AZ107" s="222" t="s">
        <v>308</v>
      </c>
      <c r="BA107" s="229"/>
      <c r="BB107" s="230" t="s">
        <v>291</v>
      </c>
      <c r="BC107" s="235" t="s">
        <v>293</v>
      </c>
      <c r="BD107" s="220"/>
      <c r="BE107" s="221" t="s">
        <v>294</v>
      </c>
      <c r="BF107" s="237" t="s">
        <v>315</v>
      </c>
      <c r="BG107" s="229"/>
      <c r="BH107" s="230" t="s">
        <v>295</v>
      </c>
      <c r="BI107" s="231" t="s">
        <v>397</v>
      </c>
      <c r="BJ107" s="225"/>
      <c r="BK107" s="227" t="s">
        <v>295</v>
      </c>
      <c r="BL107" s="237" t="s">
        <v>397</v>
      </c>
      <c r="BM107" s="229"/>
      <c r="BN107" s="230" t="s">
        <v>348</v>
      </c>
    </row>
    <row r="108" customFormat="false" ht="17.25" hidden="false" customHeight="true" outlineLevel="0" collapsed="false">
      <c r="B108" s="290"/>
      <c r="C108" s="309"/>
      <c r="D108" s="302"/>
      <c r="E108" s="303" t="s">
        <v>391</v>
      </c>
      <c r="F108" s="304"/>
      <c r="G108" s="224" t="s">
        <v>275</v>
      </c>
      <c r="H108" s="225"/>
      <c r="I108" s="227" t="s">
        <v>275</v>
      </c>
      <c r="J108" s="222" t="s">
        <v>55</v>
      </c>
      <c r="K108" s="229"/>
      <c r="L108" s="223" t="s">
        <v>55</v>
      </c>
      <c r="M108" s="224" t="s">
        <v>55</v>
      </c>
      <c r="N108" s="225"/>
      <c r="O108" s="226" t="s">
        <v>55</v>
      </c>
      <c r="P108" s="224" t="s">
        <v>55</v>
      </c>
      <c r="Q108" s="225"/>
      <c r="R108" s="227" t="s">
        <v>55</v>
      </c>
      <c r="S108" s="228" t="s">
        <v>405</v>
      </c>
      <c r="T108" s="229"/>
      <c r="U108" s="230" t="s">
        <v>406</v>
      </c>
      <c r="V108" s="231" t="s">
        <v>407</v>
      </c>
      <c r="W108" s="225"/>
      <c r="X108" s="227" t="s">
        <v>278</v>
      </c>
      <c r="Y108" s="237" t="s">
        <v>304</v>
      </c>
      <c r="Z108" s="229"/>
      <c r="AA108" s="234" t="s">
        <v>281</v>
      </c>
      <c r="AB108" s="231" t="s">
        <v>304</v>
      </c>
      <c r="AC108" s="225"/>
      <c r="AD108" s="227" t="s">
        <v>281</v>
      </c>
      <c r="AE108" s="222" t="s">
        <v>408</v>
      </c>
      <c r="AF108" s="229"/>
      <c r="AG108" s="230" t="s">
        <v>409</v>
      </c>
      <c r="AH108" s="224" t="s">
        <v>410</v>
      </c>
      <c r="AI108" s="225"/>
      <c r="AJ108" s="227" t="s">
        <v>411</v>
      </c>
      <c r="AK108" s="249" t="s">
        <v>412</v>
      </c>
      <c r="AL108" s="243"/>
      <c r="AM108" s="266" t="s">
        <v>307</v>
      </c>
      <c r="AN108" s="236" t="s">
        <v>414</v>
      </c>
      <c r="AO108" s="229"/>
      <c r="AP108" s="230" t="s">
        <v>418</v>
      </c>
      <c r="AQ108" s="235" t="s">
        <v>415</v>
      </c>
      <c r="AR108" s="225"/>
      <c r="AS108" s="227" t="s">
        <v>419</v>
      </c>
      <c r="AT108" s="222" t="s">
        <v>308</v>
      </c>
      <c r="AU108" s="229"/>
      <c r="AV108" s="230" t="s">
        <v>291</v>
      </c>
      <c r="AW108" s="224" t="s">
        <v>308</v>
      </c>
      <c r="AX108" s="225"/>
      <c r="AY108" s="227" t="s">
        <v>292</v>
      </c>
      <c r="AZ108" s="222" t="s">
        <v>308</v>
      </c>
      <c r="BA108" s="229"/>
      <c r="BB108" s="230" t="s">
        <v>291</v>
      </c>
      <c r="BC108" s="235" t="s">
        <v>293</v>
      </c>
      <c r="BD108" s="220"/>
      <c r="BE108" s="221" t="s">
        <v>294</v>
      </c>
      <c r="BF108" s="237" t="s">
        <v>315</v>
      </c>
      <c r="BG108" s="229"/>
      <c r="BH108" s="230" t="s">
        <v>295</v>
      </c>
      <c r="BI108" s="231" t="s">
        <v>397</v>
      </c>
      <c r="BJ108" s="225"/>
      <c r="BK108" s="227" t="s">
        <v>295</v>
      </c>
      <c r="BL108" s="237" t="s">
        <v>397</v>
      </c>
      <c r="BM108" s="229"/>
      <c r="BN108" s="230" t="s">
        <v>348</v>
      </c>
    </row>
    <row r="109" customFormat="false" ht="17.25" hidden="false" customHeight="true" outlineLevel="0" collapsed="false">
      <c r="B109" s="290"/>
      <c r="C109" s="309"/>
      <c r="D109" s="302" t="s">
        <v>88</v>
      </c>
      <c r="E109" s="303" t="s">
        <v>376</v>
      </c>
      <c r="F109" s="304" t="s">
        <v>90</v>
      </c>
      <c r="G109" s="224" t="s">
        <v>275</v>
      </c>
      <c r="H109" s="225"/>
      <c r="I109" s="227" t="s">
        <v>275</v>
      </c>
      <c r="J109" s="222" t="s">
        <v>55</v>
      </c>
      <c r="K109" s="229"/>
      <c r="L109" s="223" t="s">
        <v>55</v>
      </c>
      <c r="M109" s="224" t="s">
        <v>55</v>
      </c>
      <c r="N109" s="225"/>
      <c r="O109" s="226" t="s">
        <v>55</v>
      </c>
      <c r="P109" s="224" t="s">
        <v>55</v>
      </c>
      <c r="Q109" s="225"/>
      <c r="R109" s="227" t="s">
        <v>55</v>
      </c>
      <c r="S109" s="228" t="s">
        <v>405</v>
      </c>
      <c r="T109" s="229"/>
      <c r="U109" s="230" t="s">
        <v>406</v>
      </c>
      <c r="V109" s="231" t="s">
        <v>407</v>
      </c>
      <c r="W109" s="225"/>
      <c r="X109" s="227" t="s">
        <v>278</v>
      </c>
      <c r="Y109" s="237" t="s">
        <v>304</v>
      </c>
      <c r="Z109" s="229"/>
      <c r="AA109" s="234" t="s">
        <v>281</v>
      </c>
      <c r="AB109" s="231" t="s">
        <v>304</v>
      </c>
      <c r="AC109" s="225"/>
      <c r="AD109" s="227" t="s">
        <v>281</v>
      </c>
      <c r="AE109" s="222" t="s">
        <v>408</v>
      </c>
      <c r="AF109" s="229"/>
      <c r="AG109" s="230" t="s">
        <v>409</v>
      </c>
      <c r="AH109" s="224" t="s">
        <v>410</v>
      </c>
      <c r="AI109" s="225"/>
      <c r="AJ109" s="227" t="s">
        <v>411</v>
      </c>
      <c r="AK109" s="249" t="s">
        <v>412</v>
      </c>
      <c r="AL109" s="243"/>
      <c r="AM109" s="266" t="s">
        <v>307</v>
      </c>
      <c r="AN109" s="236" t="s">
        <v>414</v>
      </c>
      <c r="AO109" s="229"/>
      <c r="AP109" s="230" t="s">
        <v>418</v>
      </c>
      <c r="AQ109" s="235" t="s">
        <v>415</v>
      </c>
      <c r="AR109" s="225"/>
      <c r="AS109" s="227" t="s">
        <v>419</v>
      </c>
      <c r="AT109" s="222" t="s">
        <v>308</v>
      </c>
      <c r="AU109" s="229"/>
      <c r="AV109" s="230" t="s">
        <v>291</v>
      </c>
      <c r="AW109" s="224" t="s">
        <v>308</v>
      </c>
      <c r="AX109" s="225"/>
      <c r="AY109" s="227" t="s">
        <v>292</v>
      </c>
      <c r="AZ109" s="222" t="s">
        <v>308</v>
      </c>
      <c r="BA109" s="229"/>
      <c r="BB109" s="230" t="s">
        <v>291</v>
      </c>
      <c r="BC109" s="235" t="s">
        <v>293</v>
      </c>
      <c r="BD109" s="220"/>
      <c r="BE109" s="221" t="s">
        <v>294</v>
      </c>
      <c r="BF109" s="237" t="s">
        <v>315</v>
      </c>
      <c r="BG109" s="229"/>
      <c r="BH109" s="230" t="s">
        <v>295</v>
      </c>
      <c r="BI109" s="231" t="s">
        <v>397</v>
      </c>
      <c r="BJ109" s="225"/>
      <c r="BK109" s="227" t="s">
        <v>295</v>
      </c>
      <c r="BL109" s="237" t="s">
        <v>397</v>
      </c>
      <c r="BM109" s="229"/>
      <c r="BN109" s="230" t="s">
        <v>348</v>
      </c>
    </row>
    <row r="110" customFormat="false" ht="17.25" hidden="false" customHeight="true" outlineLevel="0" collapsed="false">
      <c r="B110" s="290"/>
      <c r="C110" s="309"/>
      <c r="D110" s="302"/>
      <c r="E110" s="303" t="s">
        <v>388</v>
      </c>
      <c r="F110" s="304"/>
      <c r="G110" s="224" t="s">
        <v>275</v>
      </c>
      <c r="H110" s="225"/>
      <c r="I110" s="227" t="s">
        <v>275</v>
      </c>
      <c r="J110" s="222" t="s">
        <v>55</v>
      </c>
      <c r="K110" s="229"/>
      <c r="L110" s="223" t="s">
        <v>55</v>
      </c>
      <c r="M110" s="224" t="s">
        <v>55</v>
      </c>
      <c r="N110" s="225"/>
      <c r="O110" s="226" t="s">
        <v>55</v>
      </c>
      <c r="P110" s="224" t="s">
        <v>55</v>
      </c>
      <c r="Q110" s="225"/>
      <c r="R110" s="227" t="s">
        <v>55</v>
      </c>
      <c r="S110" s="228" t="s">
        <v>405</v>
      </c>
      <c r="T110" s="229"/>
      <c r="U110" s="230" t="s">
        <v>406</v>
      </c>
      <c r="V110" s="231" t="s">
        <v>407</v>
      </c>
      <c r="W110" s="225"/>
      <c r="X110" s="227" t="s">
        <v>278</v>
      </c>
      <c r="Y110" s="237" t="s">
        <v>304</v>
      </c>
      <c r="Z110" s="229"/>
      <c r="AA110" s="234" t="s">
        <v>281</v>
      </c>
      <c r="AB110" s="231" t="s">
        <v>304</v>
      </c>
      <c r="AC110" s="225"/>
      <c r="AD110" s="227" t="s">
        <v>281</v>
      </c>
      <c r="AE110" s="222" t="s">
        <v>408</v>
      </c>
      <c r="AF110" s="229"/>
      <c r="AG110" s="230" t="s">
        <v>409</v>
      </c>
      <c r="AH110" s="224" t="s">
        <v>410</v>
      </c>
      <c r="AI110" s="225"/>
      <c r="AJ110" s="227" t="s">
        <v>411</v>
      </c>
      <c r="AK110" s="249" t="s">
        <v>412</v>
      </c>
      <c r="AL110" s="243"/>
      <c r="AM110" s="266" t="s">
        <v>307</v>
      </c>
      <c r="AN110" s="236" t="s">
        <v>414</v>
      </c>
      <c r="AO110" s="229"/>
      <c r="AP110" s="230" t="s">
        <v>418</v>
      </c>
      <c r="AQ110" s="235" t="s">
        <v>415</v>
      </c>
      <c r="AR110" s="225"/>
      <c r="AS110" s="227" t="s">
        <v>419</v>
      </c>
      <c r="AT110" s="222" t="s">
        <v>308</v>
      </c>
      <c r="AU110" s="229"/>
      <c r="AV110" s="230" t="s">
        <v>291</v>
      </c>
      <c r="AW110" s="224" t="s">
        <v>308</v>
      </c>
      <c r="AX110" s="225"/>
      <c r="AY110" s="227" t="s">
        <v>292</v>
      </c>
      <c r="AZ110" s="222" t="s">
        <v>308</v>
      </c>
      <c r="BA110" s="229"/>
      <c r="BB110" s="230" t="s">
        <v>291</v>
      </c>
      <c r="BC110" s="235" t="s">
        <v>293</v>
      </c>
      <c r="BD110" s="220"/>
      <c r="BE110" s="221" t="s">
        <v>294</v>
      </c>
      <c r="BF110" s="237" t="s">
        <v>315</v>
      </c>
      <c r="BG110" s="229"/>
      <c r="BH110" s="230" t="s">
        <v>295</v>
      </c>
      <c r="BI110" s="231" t="s">
        <v>397</v>
      </c>
      <c r="BJ110" s="225"/>
      <c r="BK110" s="227" t="s">
        <v>295</v>
      </c>
      <c r="BL110" s="237" t="s">
        <v>397</v>
      </c>
      <c r="BM110" s="229"/>
      <c r="BN110" s="230" t="s">
        <v>348</v>
      </c>
    </row>
    <row r="111" customFormat="false" ht="17.25" hidden="false" customHeight="true" outlineLevel="0" collapsed="false">
      <c r="B111" s="290"/>
      <c r="C111" s="309"/>
      <c r="D111" s="302"/>
      <c r="E111" s="303" t="s">
        <v>390</v>
      </c>
      <c r="F111" s="304"/>
      <c r="G111" s="224" t="s">
        <v>275</v>
      </c>
      <c r="H111" s="225"/>
      <c r="I111" s="227" t="s">
        <v>275</v>
      </c>
      <c r="J111" s="222" t="s">
        <v>55</v>
      </c>
      <c r="K111" s="229"/>
      <c r="L111" s="223" t="s">
        <v>55</v>
      </c>
      <c r="M111" s="224" t="s">
        <v>55</v>
      </c>
      <c r="N111" s="225"/>
      <c r="O111" s="226" t="s">
        <v>55</v>
      </c>
      <c r="P111" s="224" t="s">
        <v>55</v>
      </c>
      <c r="Q111" s="225"/>
      <c r="R111" s="227" t="s">
        <v>55</v>
      </c>
      <c r="S111" s="228" t="s">
        <v>405</v>
      </c>
      <c r="T111" s="229"/>
      <c r="U111" s="230" t="s">
        <v>406</v>
      </c>
      <c r="V111" s="231" t="s">
        <v>407</v>
      </c>
      <c r="W111" s="225"/>
      <c r="X111" s="227" t="s">
        <v>278</v>
      </c>
      <c r="Y111" s="237" t="s">
        <v>304</v>
      </c>
      <c r="Z111" s="229"/>
      <c r="AA111" s="234" t="s">
        <v>281</v>
      </c>
      <c r="AB111" s="231" t="s">
        <v>304</v>
      </c>
      <c r="AC111" s="225"/>
      <c r="AD111" s="227" t="s">
        <v>281</v>
      </c>
      <c r="AE111" s="222" t="s">
        <v>408</v>
      </c>
      <c r="AF111" s="229"/>
      <c r="AG111" s="230" t="s">
        <v>409</v>
      </c>
      <c r="AH111" s="224" t="s">
        <v>410</v>
      </c>
      <c r="AI111" s="225"/>
      <c r="AJ111" s="227" t="s">
        <v>411</v>
      </c>
      <c r="AK111" s="249" t="s">
        <v>412</v>
      </c>
      <c r="AL111" s="243"/>
      <c r="AM111" s="266" t="s">
        <v>307</v>
      </c>
      <c r="AN111" s="236" t="s">
        <v>414</v>
      </c>
      <c r="AO111" s="229"/>
      <c r="AP111" s="230" t="s">
        <v>418</v>
      </c>
      <c r="AQ111" s="235" t="s">
        <v>415</v>
      </c>
      <c r="AR111" s="225"/>
      <c r="AS111" s="227" t="s">
        <v>419</v>
      </c>
      <c r="AT111" s="222" t="s">
        <v>308</v>
      </c>
      <c r="AU111" s="229"/>
      <c r="AV111" s="230" t="s">
        <v>291</v>
      </c>
      <c r="AW111" s="224" t="s">
        <v>308</v>
      </c>
      <c r="AX111" s="225"/>
      <c r="AY111" s="227" t="s">
        <v>292</v>
      </c>
      <c r="AZ111" s="222" t="s">
        <v>308</v>
      </c>
      <c r="BA111" s="229"/>
      <c r="BB111" s="230" t="s">
        <v>291</v>
      </c>
      <c r="BC111" s="235" t="s">
        <v>293</v>
      </c>
      <c r="BD111" s="220"/>
      <c r="BE111" s="221" t="s">
        <v>294</v>
      </c>
      <c r="BF111" s="237" t="s">
        <v>315</v>
      </c>
      <c r="BG111" s="229"/>
      <c r="BH111" s="230" t="s">
        <v>295</v>
      </c>
      <c r="BI111" s="231" t="s">
        <v>397</v>
      </c>
      <c r="BJ111" s="225"/>
      <c r="BK111" s="227" t="s">
        <v>295</v>
      </c>
      <c r="BL111" s="237" t="s">
        <v>397</v>
      </c>
      <c r="BM111" s="229"/>
      <c r="BN111" s="230" t="s">
        <v>348</v>
      </c>
    </row>
    <row r="112" customFormat="false" ht="17.25" hidden="false" customHeight="true" outlineLevel="0" collapsed="false">
      <c r="B112" s="290"/>
      <c r="C112" s="309"/>
      <c r="D112" s="302"/>
      <c r="E112" s="303" t="s">
        <v>391</v>
      </c>
      <c r="F112" s="304"/>
      <c r="G112" s="224" t="s">
        <v>275</v>
      </c>
      <c r="H112" s="225"/>
      <c r="I112" s="227" t="s">
        <v>275</v>
      </c>
      <c r="J112" s="222" t="s">
        <v>55</v>
      </c>
      <c r="K112" s="229"/>
      <c r="L112" s="223" t="s">
        <v>55</v>
      </c>
      <c r="M112" s="224" t="s">
        <v>55</v>
      </c>
      <c r="N112" s="225"/>
      <c r="O112" s="226" t="s">
        <v>55</v>
      </c>
      <c r="P112" s="224" t="s">
        <v>55</v>
      </c>
      <c r="Q112" s="225"/>
      <c r="R112" s="227" t="s">
        <v>55</v>
      </c>
      <c r="S112" s="228" t="s">
        <v>405</v>
      </c>
      <c r="T112" s="229"/>
      <c r="U112" s="230" t="s">
        <v>406</v>
      </c>
      <c r="V112" s="231" t="s">
        <v>407</v>
      </c>
      <c r="W112" s="225"/>
      <c r="X112" s="227" t="s">
        <v>278</v>
      </c>
      <c r="Y112" s="237" t="s">
        <v>304</v>
      </c>
      <c r="Z112" s="229"/>
      <c r="AA112" s="234" t="s">
        <v>281</v>
      </c>
      <c r="AB112" s="231" t="s">
        <v>304</v>
      </c>
      <c r="AC112" s="225"/>
      <c r="AD112" s="227" t="s">
        <v>281</v>
      </c>
      <c r="AE112" s="222" t="s">
        <v>408</v>
      </c>
      <c r="AF112" s="229"/>
      <c r="AG112" s="230" t="s">
        <v>409</v>
      </c>
      <c r="AH112" s="224" t="s">
        <v>410</v>
      </c>
      <c r="AI112" s="225"/>
      <c r="AJ112" s="227" t="s">
        <v>411</v>
      </c>
      <c r="AK112" s="249" t="s">
        <v>412</v>
      </c>
      <c r="AL112" s="243"/>
      <c r="AM112" s="266" t="s">
        <v>307</v>
      </c>
      <c r="AN112" s="236" t="s">
        <v>414</v>
      </c>
      <c r="AO112" s="229"/>
      <c r="AP112" s="230" t="s">
        <v>418</v>
      </c>
      <c r="AQ112" s="235" t="s">
        <v>415</v>
      </c>
      <c r="AR112" s="225"/>
      <c r="AS112" s="227" t="s">
        <v>419</v>
      </c>
      <c r="AT112" s="222" t="s">
        <v>308</v>
      </c>
      <c r="AU112" s="229"/>
      <c r="AV112" s="230" t="s">
        <v>291</v>
      </c>
      <c r="AW112" s="224" t="s">
        <v>308</v>
      </c>
      <c r="AX112" s="225"/>
      <c r="AY112" s="227" t="s">
        <v>292</v>
      </c>
      <c r="AZ112" s="222" t="s">
        <v>308</v>
      </c>
      <c r="BA112" s="229"/>
      <c r="BB112" s="230" t="s">
        <v>291</v>
      </c>
      <c r="BC112" s="235" t="s">
        <v>293</v>
      </c>
      <c r="BD112" s="220"/>
      <c r="BE112" s="221" t="s">
        <v>294</v>
      </c>
      <c r="BF112" s="237" t="s">
        <v>315</v>
      </c>
      <c r="BG112" s="229"/>
      <c r="BH112" s="230" t="s">
        <v>295</v>
      </c>
      <c r="BI112" s="231" t="s">
        <v>397</v>
      </c>
      <c r="BJ112" s="225"/>
      <c r="BK112" s="227" t="s">
        <v>295</v>
      </c>
      <c r="BL112" s="237" t="s">
        <v>397</v>
      </c>
      <c r="BM112" s="229"/>
      <c r="BN112" s="230" t="s">
        <v>348</v>
      </c>
    </row>
    <row r="113" customFormat="false" ht="17.25" hidden="false" customHeight="true" outlineLevel="0" collapsed="false">
      <c r="B113" s="290"/>
      <c r="C113" s="309"/>
      <c r="D113" s="302" t="s">
        <v>94</v>
      </c>
      <c r="E113" s="303" t="s">
        <v>376</v>
      </c>
      <c r="F113" s="304" t="s">
        <v>95</v>
      </c>
      <c r="G113" s="224" t="s">
        <v>275</v>
      </c>
      <c r="H113" s="225"/>
      <c r="I113" s="227" t="s">
        <v>275</v>
      </c>
      <c r="J113" s="222" t="s">
        <v>55</v>
      </c>
      <c r="K113" s="229"/>
      <c r="L113" s="223" t="s">
        <v>55</v>
      </c>
      <c r="M113" s="224" t="s">
        <v>55</v>
      </c>
      <c r="N113" s="225"/>
      <c r="O113" s="226" t="s">
        <v>55</v>
      </c>
      <c r="P113" s="224" t="s">
        <v>55</v>
      </c>
      <c r="Q113" s="225"/>
      <c r="R113" s="227" t="s">
        <v>55</v>
      </c>
      <c r="S113" s="228" t="s">
        <v>405</v>
      </c>
      <c r="T113" s="229"/>
      <c r="U113" s="230" t="s">
        <v>406</v>
      </c>
      <c r="V113" s="231" t="s">
        <v>407</v>
      </c>
      <c r="W113" s="225"/>
      <c r="X113" s="227" t="s">
        <v>278</v>
      </c>
      <c r="Y113" s="237" t="s">
        <v>304</v>
      </c>
      <c r="Z113" s="229"/>
      <c r="AA113" s="234" t="s">
        <v>281</v>
      </c>
      <c r="AB113" s="231" t="s">
        <v>304</v>
      </c>
      <c r="AC113" s="225"/>
      <c r="AD113" s="227" t="s">
        <v>281</v>
      </c>
      <c r="AE113" s="222" t="s">
        <v>408</v>
      </c>
      <c r="AF113" s="229"/>
      <c r="AG113" s="230" t="s">
        <v>409</v>
      </c>
      <c r="AH113" s="224" t="s">
        <v>410</v>
      </c>
      <c r="AI113" s="225"/>
      <c r="AJ113" s="227" t="s">
        <v>411</v>
      </c>
      <c r="AK113" s="249" t="s">
        <v>412</v>
      </c>
      <c r="AL113" s="243"/>
      <c r="AM113" s="266" t="s">
        <v>413</v>
      </c>
      <c r="AN113" s="236" t="s">
        <v>414</v>
      </c>
      <c r="AO113" s="229"/>
      <c r="AP113" s="230" t="s">
        <v>418</v>
      </c>
      <c r="AQ113" s="235" t="s">
        <v>415</v>
      </c>
      <c r="AR113" s="225"/>
      <c r="AS113" s="221" t="s">
        <v>289</v>
      </c>
      <c r="AT113" s="222" t="s">
        <v>308</v>
      </c>
      <c r="AU113" s="229"/>
      <c r="AV113" s="230" t="s">
        <v>291</v>
      </c>
      <c r="AW113" s="224" t="s">
        <v>308</v>
      </c>
      <c r="AX113" s="225"/>
      <c r="AY113" s="227" t="s">
        <v>292</v>
      </c>
      <c r="AZ113" s="222" t="s">
        <v>308</v>
      </c>
      <c r="BA113" s="229"/>
      <c r="BB113" s="230" t="s">
        <v>291</v>
      </c>
      <c r="BC113" s="235" t="s">
        <v>293</v>
      </c>
      <c r="BD113" s="220"/>
      <c r="BE113" s="221" t="s">
        <v>294</v>
      </c>
      <c r="BF113" s="237" t="s">
        <v>315</v>
      </c>
      <c r="BG113" s="229"/>
      <c r="BH113" s="230" t="s">
        <v>295</v>
      </c>
      <c r="BI113" s="231" t="s">
        <v>397</v>
      </c>
      <c r="BJ113" s="225"/>
      <c r="BK113" s="227" t="s">
        <v>295</v>
      </c>
      <c r="BL113" s="237" t="s">
        <v>397</v>
      </c>
      <c r="BM113" s="229"/>
      <c r="BN113" s="230" t="s">
        <v>348</v>
      </c>
    </row>
    <row r="114" customFormat="false" ht="17.25" hidden="false" customHeight="true" outlineLevel="0" collapsed="false">
      <c r="B114" s="290"/>
      <c r="C114" s="309"/>
      <c r="D114" s="302"/>
      <c r="E114" s="303" t="s">
        <v>388</v>
      </c>
      <c r="F114" s="304"/>
      <c r="G114" s="224" t="s">
        <v>275</v>
      </c>
      <c r="H114" s="225"/>
      <c r="I114" s="227" t="s">
        <v>275</v>
      </c>
      <c r="J114" s="222" t="s">
        <v>55</v>
      </c>
      <c r="K114" s="229"/>
      <c r="L114" s="223" t="s">
        <v>55</v>
      </c>
      <c r="M114" s="224" t="s">
        <v>55</v>
      </c>
      <c r="N114" s="225"/>
      <c r="O114" s="226" t="s">
        <v>55</v>
      </c>
      <c r="P114" s="224" t="s">
        <v>55</v>
      </c>
      <c r="Q114" s="225"/>
      <c r="R114" s="227" t="s">
        <v>55</v>
      </c>
      <c r="S114" s="228" t="s">
        <v>405</v>
      </c>
      <c r="T114" s="229"/>
      <c r="U114" s="230" t="s">
        <v>406</v>
      </c>
      <c r="V114" s="231" t="s">
        <v>407</v>
      </c>
      <c r="W114" s="225"/>
      <c r="X114" s="227" t="s">
        <v>278</v>
      </c>
      <c r="Y114" s="237" t="s">
        <v>304</v>
      </c>
      <c r="Z114" s="229"/>
      <c r="AA114" s="234" t="s">
        <v>281</v>
      </c>
      <c r="AB114" s="231" t="s">
        <v>304</v>
      </c>
      <c r="AC114" s="225"/>
      <c r="AD114" s="227" t="s">
        <v>281</v>
      </c>
      <c r="AE114" s="222" t="s">
        <v>408</v>
      </c>
      <c r="AF114" s="229"/>
      <c r="AG114" s="230" t="s">
        <v>409</v>
      </c>
      <c r="AH114" s="224" t="s">
        <v>410</v>
      </c>
      <c r="AI114" s="225"/>
      <c r="AJ114" s="227" t="s">
        <v>411</v>
      </c>
      <c r="AK114" s="249" t="s">
        <v>412</v>
      </c>
      <c r="AL114" s="243"/>
      <c r="AM114" s="266" t="s">
        <v>413</v>
      </c>
      <c r="AN114" s="236" t="s">
        <v>414</v>
      </c>
      <c r="AO114" s="229"/>
      <c r="AP114" s="230" t="s">
        <v>418</v>
      </c>
      <c r="AQ114" s="235" t="s">
        <v>415</v>
      </c>
      <c r="AR114" s="225"/>
      <c r="AS114" s="221" t="s">
        <v>289</v>
      </c>
      <c r="AT114" s="222" t="s">
        <v>308</v>
      </c>
      <c r="AU114" s="229"/>
      <c r="AV114" s="230" t="s">
        <v>291</v>
      </c>
      <c r="AW114" s="224" t="s">
        <v>308</v>
      </c>
      <c r="AX114" s="225"/>
      <c r="AY114" s="227" t="s">
        <v>292</v>
      </c>
      <c r="AZ114" s="222" t="s">
        <v>308</v>
      </c>
      <c r="BA114" s="229"/>
      <c r="BB114" s="230" t="s">
        <v>291</v>
      </c>
      <c r="BC114" s="235" t="s">
        <v>293</v>
      </c>
      <c r="BD114" s="220"/>
      <c r="BE114" s="221" t="s">
        <v>294</v>
      </c>
      <c r="BF114" s="237" t="s">
        <v>315</v>
      </c>
      <c r="BG114" s="229"/>
      <c r="BH114" s="230" t="s">
        <v>295</v>
      </c>
      <c r="BI114" s="231" t="s">
        <v>397</v>
      </c>
      <c r="BJ114" s="225"/>
      <c r="BK114" s="227" t="s">
        <v>295</v>
      </c>
      <c r="BL114" s="237" t="s">
        <v>397</v>
      </c>
      <c r="BM114" s="229"/>
      <c r="BN114" s="230" t="s">
        <v>348</v>
      </c>
    </row>
    <row r="115" customFormat="false" ht="17.25" hidden="false" customHeight="true" outlineLevel="0" collapsed="false">
      <c r="B115" s="290"/>
      <c r="C115" s="309"/>
      <c r="D115" s="302"/>
      <c r="E115" s="303" t="s">
        <v>390</v>
      </c>
      <c r="F115" s="304"/>
      <c r="G115" s="224" t="s">
        <v>275</v>
      </c>
      <c r="H115" s="225"/>
      <c r="I115" s="227" t="s">
        <v>275</v>
      </c>
      <c r="J115" s="222" t="s">
        <v>55</v>
      </c>
      <c r="K115" s="229"/>
      <c r="L115" s="223" t="s">
        <v>55</v>
      </c>
      <c r="M115" s="224" t="s">
        <v>55</v>
      </c>
      <c r="N115" s="225"/>
      <c r="O115" s="226" t="s">
        <v>55</v>
      </c>
      <c r="P115" s="224" t="s">
        <v>55</v>
      </c>
      <c r="Q115" s="225"/>
      <c r="R115" s="227" t="s">
        <v>55</v>
      </c>
      <c r="S115" s="228" t="s">
        <v>405</v>
      </c>
      <c r="T115" s="229"/>
      <c r="U115" s="230" t="s">
        <v>406</v>
      </c>
      <c r="V115" s="231" t="s">
        <v>407</v>
      </c>
      <c r="W115" s="225"/>
      <c r="X115" s="227" t="s">
        <v>278</v>
      </c>
      <c r="Y115" s="237" t="s">
        <v>304</v>
      </c>
      <c r="Z115" s="229"/>
      <c r="AA115" s="234" t="s">
        <v>281</v>
      </c>
      <c r="AB115" s="231" t="s">
        <v>304</v>
      </c>
      <c r="AC115" s="225"/>
      <c r="AD115" s="227" t="s">
        <v>281</v>
      </c>
      <c r="AE115" s="222" t="s">
        <v>408</v>
      </c>
      <c r="AF115" s="229"/>
      <c r="AG115" s="230" t="s">
        <v>409</v>
      </c>
      <c r="AH115" s="224" t="s">
        <v>410</v>
      </c>
      <c r="AI115" s="225"/>
      <c r="AJ115" s="227" t="s">
        <v>411</v>
      </c>
      <c r="AK115" s="249" t="s">
        <v>412</v>
      </c>
      <c r="AL115" s="243"/>
      <c r="AM115" s="266" t="s">
        <v>413</v>
      </c>
      <c r="AN115" s="236" t="s">
        <v>414</v>
      </c>
      <c r="AO115" s="229"/>
      <c r="AP115" s="230" t="s">
        <v>418</v>
      </c>
      <c r="AQ115" s="235" t="s">
        <v>415</v>
      </c>
      <c r="AR115" s="225"/>
      <c r="AS115" s="221" t="s">
        <v>289</v>
      </c>
      <c r="AT115" s="222" t="s">
        <v>308</v>
      </c>
      <c r="AU115" s="229"/>
      <c r="AV115" s="230" t="s">
        <v>291</v>
      </c>
      <c r="AW115" s="224" t="s">
        <v>308</v>
      </c>
      <c r="AX115" s="225"/>
      <c r="AY115" s="227" t="s">
        <v>292</v>
      </c>
      <c r="AZ115" s="222" t="s">
        <v>308</v>
      </c>
      <c r="BA115" s="229"/>
      <c r="BB115" s="230" t="s">
        <v>291</v>
      </c>
      <c r="BC115" s="235" t="s">
        <v>293</v>
      </c>
      <c r="BD115" s="220"/>
      <c r="BE115" s="221" t="s">
        <v>294</v>
      </c>
      <c r="BF115" s="237" t="s">
        <v>315</v>
      </c>
      <c r="BG115" s="229"/>
      <c r="BH115" s="230" t="s">
        <v>295</v>
      </c>
      <c r="BI115" s="231" t="s">
        <v>397</v>
      </c>
      <c r="BJ115" s="225"/>
      <c r="BK115" s="227" t="s">
        <v>295</v>
      </c>
      <c r="BL115" s="237" t="s">
        <v>397</v>
      </c>
      <c r="BM115" s="229"/>
      <c r="BN115" s="230" t="s">
        <v>348</v>
      </c>
    </row>
    <row r="116" customFormat="false" ht="17.25" hidden="false" customHeight="true" outlineLevel="0" collapsed="false">
      <c r="B116" s="290"/>
      <c r="C116" s="309"/>
      <c r="D116" s="302"/>
      <c r="E116" s="303" t="s">
        <v>391</v>
      </c>
      <c r="F116" s="304"/>
      <c r="G116" s="224" t="s">
        <v>275</v>
      </c>
      <c r="H116" s="225"/>
      <c r="I116" s="227" t="s">
        <v>275</v>
      </c>
      <c r="J116" s="222" t="s">
        <v>55</v>
      </c>
      <c r="K116" s="229"/>
      <c r="L116" s="223" t="s">
        <v>55</v>
      </c>
      <c r="M116" s="224" t="s">
        <v>55</v>
      </c>
      <c r="N116" s="225"/>
      <c r="O116" s="226" t="s">
        <v>55</v>
      </c>
      <c r="P116" s="224" t="s">
        <v>55</v>
      </c>
      <c r="Q116" s="225"/>
      <c r="R116" s="227" t="s">
        <v>55</v>
      </c>
      <c r="S116" s="228" t="s">
        <v>405</v>
      </c>
      <c r="T116" s="229"/>
      <c r="U116" s="230" t="s">
        <v>406</v>
      </c>
      <c r="V116" s="231" t="s">
        <v>407</v>
      </c>
      <c r="W116" s="225"/>
      <c r="X116" s="227" t="s">
        <v>278</v>
      </c>
      <c r="Y116" s="237" t="s">
        <v>304</v>
      </c>
      <c r="Z116" s="229"/>
      <c r="AA116" s="234" t="s">
        <v>281</v>
      </c>
      <c r="AB116" s="231" t="s">
        <v>304</v>
      </c>
      <c r="AC116" s="225"/>
      <c r="AD116" s="227" t="s">
        <v>281</v>
      </c>
      <c r="AE116" s="222" t="s">
        <v>408</v>
      </c>
      <c r="AF116" s="229"/>
      <c r="AG116" s="230" t="s">
        <v>409</v>
      </c>
      <c r="AH116" s="224" t="s">
        <v>410</v>
      </c>
      <c r="AI116" s="225"/>
      <c r="AJ116" s="227" t="s">
        <v>411</v>
      </c>
      <c r="AK116" s="249" t="s">
        <v>412</v>
      </c>
      <c r="AL116" s="243"/>
      <c r="AM116" s="266" t="s">
        <v>413</v>
      </c>
      <c r="AN116" s="236" t="s">
        <v>414</v>
      </c>
      <c r="AO116" s="229"/>
      <c r="AP116" s="230" t="s">
        <v>418</v>
      </c>
      <c r="AQ116" s="235" t="s">
        <v>415</v>
      </c>
      <c r="AR116" s="225"/>
      <c r="AS116" s="221" t="s">
        <v>289</v>
      </c>
      <c r="AT116" s="222" t="s">
        <v>308</v>
      </c>
      <c r="AU116" s="229"/>
      <c r="AV116" s="230" t="s">
        <v>291</v>
      </c>
      <c r="AW116" s="224" t="s">
        <v>308</v>
      </c>
      <c r="AX116" s="225"/>
      <c r="AY116" s="227" t="s">
        <v>292</v>
      </c>
      <c r="AZ116" s="222" t="s">
        <v>308</v>
      </c>
      <c r="BA116" s="229"/>
      <c r="BB116" s="230" t="s">
        <v>291</v>
      </c>
      <c r="BC116" s="235" t="s">
        <v>293</v>
      </c>
      <c r="BD116" s="220"/>
      <c r="BE116" s="221" t="s">
        <v>294</v>
      </c>
      <c r="BF116" s="237" t="s">
        <v>315</v>
      </c>
      <c r="BG116" s="229"/>
      <c r="BH116" s="230" t="s">
        <v>295</v>
      </c>
      <c r="BI116" s="231" t="s">
        <v>397</v>
      </c>
      <c r="BJ116" s="225"/>
      <c r="BK116" s="227" t="s">
        <v>295</v>
      </c>
      <c r="BL116" s="237" t="s">
        <v>397</v>
      </c>
      <c r="BM116" s="229"/>
      <c r="BN116" s="230" t="s">
        <v>348</v>
      </c>
    </row>
    <row r="117" customFormat="false" ht="17.25" hidden="false" customHeight="true" outlineLevel="0" collapsed="false">
      <c r="B117" s="290"/>
      <c r="C117" s="309"/>
      <c r="D117" s="302" t="s">
        <v>96</v>
      </c>
      <c r="E117" s="303" t="s">
        <v>376</v>
      </c>
      <c r="F117" s="304" t="s">
        <v>97</v>
      </c>
      <c r="G117" s="224" t="s">
        <v>275</v>
      </c>
      <c r="H117" s="225"/>
      <c r="I117" s="227" t="s">
        <v>275</v>
      </c>
      <c r="J117" s="222" t="s">
        <v>55</v>
      </c>
      <c r="K117" s="229"/>
      <c r="L117" s="223" t="s">
        <v>55</v>
      </c>
      <c r="M117" s="224" t="s">
        <v>55</v>
      </c>
      <c r="N117" s="225"/>
      <c r="O117" s="226" t="s">
        <v>55</v>
      </c>
      <c r="P117" s="224" t="s">
        <v>55</v>
      </c>
      <c r="Q117" s="225"/>
      <c r="R117" s="227" t="s">
        <v>55</v>
      </c>
      <c r="S117" s="228" t="s">
        <v>405</v>
      </c>
      <c r="T117" s="229"/>
      <c r="U117" s="230" t="s">
        <v>406</v>
      </c>
      <c r="V117" s="231" t="s">
        <v>407</v>
      </c>
      <c r="W117" s="225"/>
      <c r="X117" s="227" t="s">
        <v>278</v>
      </c>
      <c r="Y117" s="237" t="s">
        <v>304</v>
      </c>
      <c r="Z117" s="229"/>
      <c r="AA117" s="234" t="s">
        <v>281</v>
      </c>
      <c r="AB117" s="231" t="s">
        <v>304</v>
      </c>
      <c r="AC117" s="225"/>
      <c r="AD117" s="227" t="s">
        <v>281</v>
      </c>
      <c r="AE117" s="222" t="s">
        <v>408</v>
      </c>
      <c r="AF117" s="229"/>
      <c r="AG117" s="230" t="s">
        <v>409</v>
      </c>
      <c r="AH117" s="224" t="s">
        <v>410</v>
      </c>
      <c r="AI117" s="225"/>
      <c r="AJ117" s="227" t="s">
        <v>411</v>
      </c>
      <c r="AK117" s="249" t="s">
        <v>412</v>
      </c>
      <c r="AL117" s="243"/>
      <c r="AM117" s="266" t="s">
        <v>413</v>
      </c>
      <c r="AN117" s="236" t="s">
        <v>414</v>
      </c>
      <c r="AO117" s="229"/>
      <c r="AP117" s="230" t="s">
        <v>418</v>
      </c>
      <c r="AQ117" s="235" t="s">
        <v>415</v>
      </c>
      <c r="AR117" s="225"/>
      <c r="AS117" s="221" t="s">
        <v>289</v>
      </c>
      <c r="AT117" s="222" t="s">
        <v>308</v>
      </c>
      <c r="AU117" s="229"/>
      <c r="AV117" s="230" t="s">
        <v>291</v>
      </c>
      <c r="AW117" s="224" t="s">
        <v>308</v>
      </c>
      <c r="AX117" s="225"/>
      <c r="AY117" s="227" t="s">
        <v>292</v>
      </c>
      <c r="AZ117" s="222" t="s">
        <v>308</v>
      </c>
      <c r="BA117" s="229"/>
      <c r="BB117" s="230" t="s">
        <v>291</v>
      </c>
      <c r="BC117" s="235" t="s">
        <v>293</v>
      </c>
      <c r="BD117" s="220"/>
      <c r="BE117" s="221" t="s">
        <v>294</v>
      </c>
      <c r="BF117" s="237" t="s">
        <v>315</v>
      </c>
      <c r="BG117" s="229"/>
      <c r="BH117" s="230" t="s">
        <v>295</v>
      </c>
      <c r="BI117" s="231" t="s">
        <v>397</v>
      </c>
      <c r="BJ117" s="225"/>
      <c r="BK117" s="227" t="s">
        <v>295</v>
      </c>
      <c r="BL117" s="237" t="s">
        <v>397</v>
      </c>
      <c r="BM117" s="229"/>
      <c r="BN117" s="230" t="s">
        <v>348</v>
      </c>
    </row>
    <row r="118" customFormat="false" ht="17.25" hidden="false" customHeight="true" outlineLevel="0" collapsed="false">
      <c r="B118" s="290"/>
      <c r="C118" s="309"/>
      <c r="D118" s="302"/>
      <c r="E118" s="303" t="s">
        <v>388</v>
      </c>
      <c r="F118" s="304"/>
      <c r="G118" s="224" t="s">
        <v>275</v>
      </c>
      <c r="H118" s="225"/>
      <c r="I118" s="227" t="s">
        <v>275</v>
      </c>
      <c r="J118" s="222" t="s">
        <v>55</v>
      </c>
      <c r="K118" s="229"/>
      <c r="L118" s="223" t="s">
        <v>55</v>
      </c>
      <c r="M118" s="224" t="s">
        <v>55</v>
      </c>
      <c r="N118" s="225"/>
      <c r="O118" s="226" t="s">
        <v>55</v>
      </c>
      <c r="P118" s="224" t="s">
        <v>55</v>
      </c>
      <c r="Q118" s="225"/>
      <c r="R118" s="227" t="s">
        <v>55</v>
      </c>
      <c r="S118" s="228" t="s">
        <v>405</v>
      </c>
      <c r="T118" s="229"/>
      <c r="U118" s="230" t="s">
        <v>406</v>
      </c>
      <c r="V118" s="231" t="s">
        <v>407</v>
      </c>
      <c r="W118" s="225"/>
      <c r="X118" s="227" t="s">
        <v>278</v>
      </c>
      <c r="Y118" s="237" t="s">
        <v>304</v>
      </c>
      <c r="Z118" s="229"/>
      <c r="AA118" s="234" t="s">
        <v>281</v>
      </c>
      <c r="AB118" s="231" t="s">
        <v>304</v>
      </c>
      <c r="AC118" s="225"/>
      <c r="AD118" s="227" t="s">
        <v>281</v>
      </c>
      <c r="AE118" s="222" t="s">
        <v>408</v>
      </c>
      <c r="AF118" s="229"/>
      <c r="AG118" s="230" t="s">
        <v>409</v>
      </c>
      <c r="AH118" s="224" t="s">
        <v>410</v>
      </c>
      <c r="AI118" s="225"/>
      <c r="AJ118" s="227" t="s">
        <v>411</v>
      </c>
      <c r="AK118" s="249" t="s">
        <v>412</v>
      </c>
      <c r="AL118" s="243"/>
      <c r="AM118" s="266" t="s">
        <v>413</v>
      </c>
      <c r="AN118" s="236" t="s">
        <v>414</v>
      </c>
      <c r="AO118" s="229"/>
      <c r="AP118" s="230" t="s">
        <v>418</v>
      </c>
      <c r="AQ118" s="235" t="s">
        <v>415</v>
      </c>
      <c r="AR118" s="225"/>
      <c r="AS118" s="221" t="s">
        <v>289</v>
      </c>
      <c r="AT118" s="222" t="s">
        <v>308</v>
      </c>
      <c r="AU118" s="229"/>
      <c r="AV118" s="230" t="s">
        <v>291</v>
      </c>
      <c r="AW118" s="224" t="s">
        <v>308</v>
      </c>
      <c r="AX118" s="225"/>
      <c r="AY118" s="227" t="s">
        <v>292</v>
      </c>
      <c r="AZ118" s="222" t="s">
        <v>308</v>
      </c>
      <c r="BA118" s="229"/>
      <c r="BB118" s="230" t="s">
        <v>291</v>
      </c>
      <c r="BC118" s="235" t="s">
        <v>293</v>
      </c>
      <c r="BD118" s="220"/>
      <c r="BE118" s="221" t="s">
        <v>294</v>
      </c>
      <c r="BF118" s="237" t="s">
        <v>315</v>
      </c>
      <c r="BG118" s="229"/>
      <c r="BH118" s="230" t="s">
        <v>295</v>
      </c>
      <c r="BI118" s="231" t="s">
        <v>397</v>
      </c>
      <c r="BJ118" s="225"/>
      <c r="BK118" s="227" t="s">
        <v>295</v>
      </c>
      <c r="BL118" s="237" t="s">
        <v>397</v>
      </c>
      <c r="BM118" s="229"/>
      <c r="BN118" s="230" t="s">
        <v>348</v>
      </c>
    </row>
    <row r="119" customFormat="false" ht="17.25" hidden="false" customHeight="true" outlineLevel="0" collapsed="false">
      <c r="B119" s="290"/>
      <c r="C119" s="309"/>
      <c r="D119" s="302"/>
      <c r="E119" s="303" t="s">
        <v>390</v>
      </c>
      <c r="F119" s="304"/>
      <c r="G119" s="224" t="s">
        <v>275</v>
      </c>
      <c r="H119" s="225"/>
      <c r="I119" s="227" t="s">
        <v>275</v>
      </c>
      <c r="J119" s="222" t="s">
        <v>55</v>
      </c>
      <c r="K119" s="229"/>
      <c r="L119" s="223" t="s">
        <v>55</v>
      </c>
      <c r="M119" s="224" t="s">
        <v>55</v>
      </c>
      <c r="N119" s="225"/>
      <c r="O119" s="226" t="s">
        <v>55</v>
      </c>
      <c r="P119" s="224" t="s">
        <v>55</v>
      </c>
      <c r="Q119" s="225"/>
      <c r="R119" s="227" t="s">
        <v>55</v>
      </c>
      <c r="S119" s="228" t="s">
        <v>405</v>
      </c>
      <c r="T119" s="229"/>
      <c r="U119" s="230" t="s">
        <v>406</v>
      </c>
      <c r="V119" s="231" t="s">
        <v>407</v>
      </c>
      <c r="W119" s="225"/>
      <c r="X119" s="227" t="s">
        <v>278</v>
      </c>
      <c r="Y119" s="237" t="s">
        <v>304</v>
      </c>
      <c r="Z119" s="229"/>
      <c r="AA119" s="234" t="s">
        <v>281</v>
      </c>
      <c r="AB119" s="231" t="s">
        <v>304</v>
      </c>
      <c r="AC119" s="225"/>
      <c r="AD119" s="227" t="s">
        <v>281</v>
      </c>
      <c r="AE119" s="222" t="s">
        <v>408</v>
      </c>
      <c r="AF119" s="229"/>
      <c r="AG119" s="230" t="s">
        <v>409</v>
      </c>
      <c r="AH119" s="224" t="s">
        <v>410</v>
      </c>
      <c r="AI119" s="225"/>
      <c r="AJ119" s="227" t="s">
        <v>411</v>
      </c>
      <c r="AK119" s="249" t="s">
        <v>412</v>
      </c>
      <c r="AL119" s="243"/>
      <c r="AM119" s="266" t="s">
        <v>413</v>
      </c>
      <c r="AN119" s="236" t="s">
        <v>414</v>
      </c>
      <c r="AO119" s="229"/>
      <c r="AP119" s="230" t="s">
        <v>418</v>
      </c>
      <c r="AQ119" s="235" t="s">
        <v>415</v>
      </c>
      <c r="AR119" s="225"/>
      <c r="AS119" s="221" t="s">
        <v>289</v>
      </c>
      <c r="AT119" s="222" t="s">
        <v>308</v>
      </c>
      <c r="AU119" s="229"/>
      <c r="AV119" s="230" t="s">
        <v>291</v>
      </c>
      <c r="AW119" s="224" t="s">
        <v>308</v>
      </c>
      <c r="AX119" s="225"/>
      <c r="AY119" s="227" t="s">
        <v>292</v>
      </c>
      <c r="AZ119" s="222" t="s">
        <v>308</v>
      </c>
      <c r="BA119" s="229"/>
      <c r="BB119" s="230" t="s">
        <v>291</v>
      </c>
      <c r="BC119" s="235" t="s">
        <v>293</v>
      </c>
      <c r="BD119" s="220"/>
      <c r="BE119" s="221" t="s">
        <v>294</v>
      </c>
      <c r="BF119" s="237" t="s">
        <v>315</v>
      </c>
      <c r="BG119" s="229"/>
      <c r="BH119" s="230" t="s">
        <v>295</v>
      </c>
      <c r="BI119" s="231" t="s">
        <v>397</v>
      </c>
      <c r="BJ119" s="225"/>
      <c r="BK119" s="227" t="s">
        <v>295</v>
      </c>
      <c r="BL119" s="237" t="s">
        <v>397</v>
      </c>
      <c r="BM119" s="229"/>
      <c r="BN119" s="230" t="s">
        <v>348</v>
      </c>
    </row>
    <row r="120" customFormat="false" ht="17.25" hidden="false" customHeight="true" outlineLevel="0" collapsed="false">
      <c r="B120" s="290"/>
      <c r="C120" s="309"/>
      <c r="D120" s="302"/>
      <c r="E120" s="303" t="s">
        <v>391</v>
      </c>
      <c r="F120" s="304"/>
      <c r="G120" s="224" t="s">
        <v>275</v>
      </c>
      <c r="H120" s="225"/>
      <c r="I120" s="227" t="s">
        <v>275</v>
      </c>
      <c r="J120" s="222" t="s">
        <v>55</v>
      </c>
      <c r="K120" s="229"/>
      <c r="L120" s="223" t="s">
        <v>55</v>
      </c>
      <c r="M120" s="224" t="s">
        <v>55</v>
      </c>
      <c r="N120" s="225"/>
      <c r="O120" s="226" t="s">
        <v>55</v>
      </c>
      <c r="P120" s="224" t="s">
        <v>55</v>
      </c>
      <c r="Q120" s="225"/>
      <c r="R120" s="227" t="s">
        <v>55</v>
      </c>
      <c r="S120" s="228" t="s">
        <v>405</v>
      </c>
      <c r="T120" s="229"/>
      <c r="U120" s="230" t="s">
        <v>406</v>
      </c>
      <c r="V120" s="231" t="s">
        <v>407</v>
      </c>
      <c r="W120" s="225"/>
      <c r="X120" s="227" t="s">
        <v>278</v>
      </c>
      <c r="Y120" s="237" t="s">
        <v>304</v>
      </c>
      <c r="Z120" s="229"/>
      <c r="AA120" s="234" t="s">
        <v>281</v>
      </c>
      <c r="AB120" s="231" t="s">
        <v>304</v>
      </c>
      <c r="AC120" s="225"/>
      <c r="AD120" s="227" t="s">
        <v>281</v>
      </c>
      <c r="AE120" s="222" t="s">
        <v>408</v>
      </c>
      <c r="AF120" s="229"/>
      <c r="AG120" s="230" t="s">
        <v>409</v>
      </c>
      <c r="AH120" s="224" t="s">
        <v>410</v>
      </c>
      <c r="AI120" s="225"/>
      <c r="AJ120" s="227" t="s">
        <v>411</v>
      </c>
      <c r="AK120" s="249" t="s">
        <v>412</v>
      </c>
      <c r="AL120" s="243"/>
      <c r="AM120" s="266" t="s">
        <v>413</v>
      </c>
      <c r="AN120" s="236" t="s">
        <v>414</v>
      </c>
      <c r="AO120" s="229"/>
      <c r="AP120" s="230" t="s">
        <v>418</v>
      </c>
      <c r="AQ120" s="235" t="s">
        <v>415</v>
      </c>
      <c r="AR120" s="225"/>
      <c r="AS120" s="221" t="s">
        <v>289</v>
      </c>
      <c r="AT120" s="222" t="s">
        <v>308</v>
      </c>
      <c r="AU120" s="229"/>
      <c r="AV120" s="230" t="s">
        <v>291</v>
      </c>
      <c r="AW120" s="224" t="s">
        <v>308</v>
      </c>
      <c r="AX120" s="225"/>
      <c r="AY120" s="227" t="s">
        <v>292</v>
      </c>
      <c r="AZ120" s="222" t="s">
        <v>308</v>
      </c>
      <c r="BA120" s="229"/>
      <c r="BB120" s="230" t="s">
        <v>291</v>
      </c>
      <c r="BC120" s="235" t="s">
        <v>293</v>
      </c>
      <c r="BD120" s="220"/>
      <c r="BE120" s="221" t="s">
        <v>294</v>
      </c>
      <c r="BF120" s="237" t="s">
        <v>315</v>
      </c>
      <c r="BG120" s="229"/>
      <c r="BH120" s="230" t="s">
        <v>295</v>
      </c>
      <c r="BI120" s="231" t="s">
        <v>397</v>
      </c>
      <c r="BJ120" s="225"/>
      <c r="BK120" s="227" t="s">
        <v>295</v>
      </c>
      <c r="BL120" s="237" t="s">
        <v>397</v>
      </c>
      <c r="BM120" s="229"/>
      <c r="BN120" s="230" t="s">
        <v>348</v>
      </c>
    </row>
    <row r="121" customFormat="false" ht="17.25" hidden="false" customHeight="true" outlineLevel="0" collapsed="false">
      <c r="B121" s="290"/>
      <c r="C121" s="301" t="s">
        <v>102</v>
      </c>
      <c r="D121" s="305"/>
      <c r="E121" s="306" t="s">
        <v>376</v>
      </c>
      <c r="F121" s="310"/>
      <c r="G121" s="224" t="s">
        <v>277</v>
      </c>
      <c r="H121" s="225"/>
      <c r="I121" s="227" t="s">
        <v>420</v>
      </c>
      <c r="J121" s="222" t="s">
        <v>55</v>
      </c>
      <c r="K121" s="229"/>
      <c r="L121" s="223" t="s">
        <v>55</v>
      </c>
      <c r="M121" s="224" t="s">
        <v>55</v>
      </c>
      <c r="N121" s="225"/>
      <c r="O121" s="226" t="s">
        <v>55</v>
      </c>
      <c r="P121" s="224" t="s">
        <v>55</v>
      </c>
      <c r="Q121" s="225"/>
      <c r="R121" s="227" t="s">
        <v>55</v>
      </c>
      <c r="S121" s="228" t="s">
        <v>405</v>
      </c>
      <c r="T121" s="229"/>
      <c r="U121" s="230" t="s">
        <v>421</v>
      </c>
      <c r="V121" s="231" t="s">
        <v>422</v>
      </c>
      <c r="W121" s="225"/>
      <c r="X121" s="227" t="s">
        <v>422</v>
      </c>
      <c r="Y121" s="237" t="s">
        <v>423</v>
      </c>
      <c r="Z121" s="229"/>
      <c r="AA121" s="230" t="s">
        <v>424</v>
      </c>
      <c r="AB121" s="231" t="s">
        <v>423</v>
      </c>
      <c r="AC121" s="225"/>
      <c r="AD121" s="227" t="s">
        <v>424</v>
      </c>
      <c r="AE121" s="237" t="s">
        <v>425</v>
      </c>
      <c r="AF121" s="229"/>
      <c r="AG121" s="230" t="s">
        <v>425</v>
      </c>
      <c r="AH121" s="224" t="s">
        <v>426</v>
      </c>
      <c r="AI121" s="225"/>
      <c r="AJ121" s="227" t="s">
        <v>426</v>
      </c>
      <c r="AK121" s="249" t="s">
        <v>396</v>
      </c>
      <c r="AL121" s="311"/>
      <c r="AM121" s="249" t="s">
        <v>396</v>
      </c>
      <c r="AN121" s="222" t="s">
        <v>396</v>
      </c>
      <c r="AO121" s="229"/>
      <c r="AP121" s="230" t="s">
        <v>396</v>
      </c>
      <c r="AQ121" s="231" t="s">
        <v>288</v>
      </c>
      <c r="AR121" s="225"/>
      <c r="AS121" s="227" t="s">
        <v>396</v>
      </c>
      <c r="AT121" s="222" t="s">
        <v>68</v>
      </c>
      <c r="AU121" s="229"/>
      <c r="AV121" s="230" t="s">
        <v>68</v>
      </c>
      <c r="AW121" s="224" t="s">
        <v>68</v>
      </c>
      <c r="AX121" s="225"/>
      <c r="AY121" s="227" t="s">
        <v>68</v>
      </c>
      <c r="AZ121" s="222" t="s">
        <v>68</v>
      </c>
      <c r="BA121" s="229"/>
      <c r="BB121" s="230" t="s">
        <v>68</v>
      </c>
      <c r="BC121" s="235" t="s">
        <v>293</v>
      </c>
      <c r="BD121" s="220"/>
      <c r="BE121" s="221" t="s">
        <v>294</v>
      </c>
      <c r="BF121" s="263" t="s">
        <v>68</v>
      </c>
      <c r="BG121" s="264"/>
      <c r="BH121" s="265" t="s">
        <v>68</v>
      </c>
      <c r="BI121" s="249" t="s">
        <v>312</v>
      </c>
      <c r="BJ121" s="243"/>
      <c r="BK121" s="266" t="s">
        <v>312</v>
      </c>
      <c r="BL121" s="263" t="s">
        <v>348</v>
      </c>
      <c r="BM121" s="264"/>
      <c r="BN121" s="230" t="s">
        <v>348</v>
      </c>
    </row>
    <row r="122" customFormat="false" ht="17.25" hidden="false" customHeight="true" outlineLevel="0" collapsed="false">
      <c r="B122" s="290"/>
      <c r="C122" s="301"/>
      <c r="D122" s="305"/>
      <c r="E122" s="306" t="s">
        <v>388</v>
      </c>
      <c r="F122" s="310"/>
      <c r="G122" s="224" t="s">
        <v>277</v>
      </c>
      <c r="H122" s="225"/>
      <c r="I122" s="227" t="s">
        <v>420</v>
      </c>
      <c r="J122" s="222" t="s">
        <v>55</v>
      </c>
      <c r="K122" s="229"/>
      <c r="L122" s="223" t="s">
        <v>55</v>
      </c>
      <c r="M122" s="224" t="s">
        <v>55</v>
      </c>
      <c r="N122" s="225"/>
      <c r="O122" s="226" t="s">
        <v>55</v>
      </c>
      <c r="P122" s="224" t="s">
        <v>55</v>
      </c>
      <c r="Q122" s="225"/>
      <c r="R122" s="227" t="s">
        <v>55</v>
      </c>
      <c r="S122" s="228" t="s">
        <v>405</v>
      </c>
      <c r="T122" s="229"/>
      <c r="U122" s="230" t="s">
        <v>421</v>
      </c>
      <c r="V122" s="231" t="s">
        <v>422</v>
      </c>
      <c r="W122" s="225"/>
      <c r="X122" s="227" t="s">
        <v>422</v>
      </c>
      <c r="Y122" s="237" t="s">
        <v>423</v>
      </c>
      <c r="Z122" s="229"/>
      <c r="AA122" s="230" t="s">
        <v>427</v>
      </c>
      <c r="AB122" s="231" t="s">
        <v>423</v>
      </c>
      <c r="AC122" s="225"/>
      <c r="AD122" s="227" t="s">
        <v>427</v>
      </c>
      <c r="AE122" s="222" t="s">
        <v>425</v>
      </c>
      <c r="AF122" s="229"/>
      <c r="AG122" s="230" t="s">
        <v>425</v>
      </c>
      <c r="AH122" s="224" t="s">
        <v>426</v>
      </c>
      <c r="AI122" s="225"/>
      <c r="AJ122" s="227" t="s">
        <v>426</v>
      </c>
      <c r="AK122" s="249" t="s">
        <v>396</v>
      </c>
      <c r="AL122" s="311"/>
      <c r="AM122" s="249" t="s">
        <v>396</v>
      </c>
      <c r="AN122" s="222" t="s">
        <v>396</v>
      </c>
      <c r="AO122" s="229"/>
      <c r="AP122" s="230" t="s">
        <v>396</v>
      </c>
      <c r="AQ122" s="231" t="s">
        <v>288</v>
      </c>
      <c r="AR122" s="225"/>
      <c r="AS122" s="227" t="s">
        <v>396</v>
      </c>
      <c r="AT122" s="222" t="s">
        <v>68</v>
      </c>
      <c r="AU122" s="229"/>
      <c r="AV122" s="230" t="s">
        <v>68</v>
      </c>
      <c r="AW122" s="224" t="s">
        <v>68</v>
      </c>
      <c r="AX122" s="225"/>
      <c r="AY122" s="227" t="s">
        <v>68</v>
      </c>
      <c r="AZ122" s="222" t="s">
        <v>68</v>
      </c>
      <c r="BA122" s="229"/>
      <c r="BB122" s="230" t="s">
        <v>68</v>
      </c>
      <c r="BC122" s="235" t="s">
        <v>293</v>
      </c>
      <c r="BD122" s="220"/>
      <c r="BE122" s="221" t="s">
        <v>294</v>
      </c>
      <c r="BF122" s="263" t="s">
        <v>68</v>
      </c>
      <c r="BG122" s="264"/>
      <c r="BH122" s="265" t="s">
        <v>68</v>
      </c>
      <c r="BI122" s="249" t="s">
        <v>312</v>
      </c>
      <c r="BJ122" s="243"/>
      <c r="BK122" s="266" t="s">
        <v>312</v>
      </c>
      <c r="BL122" s="263" t="s">
        <v>348</v>
      </c>
      <c r="BM122" s="264"/>
      <c r="BN122" s="230" t="s">
        <v>348</v>
      </c>
    </row>
    <row r="123" customFormat="false" ht="17.25" hidden="false" customHeight="true" outlineLevel="0" collapsed="false">
      <c r="B123" s="290"/>
      <c r="C123" s="301"/>
      <c r="D123" s="305"/>
      <c r="E123" s="306" t="s">
        <v>390</v>
      </c>
      <c r="F123" s="310"/>
      <c r="G123" s="224" t="s">
        <v>277</v>
      </c>
      <c r="H123" s="225"/>
      <c r="I123" s="227" t="s">
        <v>420</v>
      </c>
      <c r="J123" s="222" t="s">
        <v>55</v>
      </c>
      <c r="K123" s="229"/>
      <c r="L123" s="223" t="s">
        <v>55</v>
      </c>
      <c r="M123" s="224" t="s">
        <v>55</v>
      </c>
      <c r="N123" s="225"/>
      <c r="O123" s="226" t="s">
        <v>55</v>
      </c>
      <c r="P123" s="224" t="s">
        <v>55</v>
      </c>
      <c r="Q123" s="225"/>
      <c r="R123" s="227" t="s">
        <v>55</v>
      </c>
      <c r="S123" s="228" t="s">
        <v>405</v>
      </c>
      <c r="T123" s="229"/>
      <c r="U123" s="230" t="s">
        <v>421</v>
      </c>
      <c r="V123" s="231" t="s">
        <v>422</v>
      </c>
      <c r="W123" s="225"/>
      <c r="X123" s="227" t="s">
        <v>422</v>
      </c>
      <c r="Y123" s="237" t="s">
        <v>423</v>
      </c>
      <c r="Z123" s="229"/>
      <c r="AA123" s="230" t="s">
        <v>428</v>
      </c>
      <c r="AB123" s="231" t="s">
        <v>423</v>
      </c>
      <c r="AC123" s="225"/>
      <c r="AD123" s="227" t="s">
        <v>428</v>
      </c>
      <c r="AE123" s="222" t="s">
        <v>425</v>
      </c>
      <c r="AF123" s="229"/>
      <c r="AG123" s="230" t="s">
        <v>425</v>
      </c>
      <c r="AH123" s="224" t="s">
        <v>426</v>
      </c>
      <c r="AI123" s="225"/>
      <c r="AJ123" s="227" t="s">
        <v>426</v>
      </c>
      <c r="AK123" s="249" t="s">
        <v>396</v>
      </c>
      <c r="AL123" s="311"/>
      <c r="AM123" s="249" t="s">
        <v>396</v>
      </c>
      <c r="AN123" s="222" t="s">
        <v>396</v>
      </c>
      <c r="AO123" s="229"/>
      <c r="AP123" s="230" t="s">
        <v>396</v>
      </c>
      <c r="AQ123" s="231" t="s">
        <v>288</v>
      </c>
      <c r="AR123" s="225"/>
      <c r="AS123" s="227" t="s">
        <v>396</v>
      </c>
      <c r="AT123" s="222" t="s">
        <v>68</v>
      </c>
      <c r="AU123" s="229"/>
      <c r="AV123" s="230" t="s">
        <v>68</v>
      </c>
      <c r="AW123" s="224" t="s">
        <v>68</v>
      </c>
      <c r="AX123" s="225"/>
      <c r="AY123" s="227" t="s">
        <v>68</v>
      </c>
      <c r="AZ123" s="222" t="s">
        <v>68</v>
      </c>
      <c r="BA123" s="229"/>
      <c r="BB123" s="230" t="s">
        <v>68</v>
      </c>
      <c r="BC123" s="235" t="s">
        <v>293</v>
      </c>
      <c r="BD123" s="220"/>
      <c r="BE123" s="221" t="s">
        <v>294</v>
      </c>
      <c r="BF123" s="263" t="s">
        <v>68</v>
      </c>
      <c r="BG123" s="264"/>
      <c r="BH123" s="265" t="s">
        <v>68</v>
      </c>
      <c r="BI123" s="249" t="s">
        <v>312</v>
      </c>
      <c r="BJ123" s="243"/>
      <c r="BK123" s="266" t="s">
        <v>312</v>
      </c>
      <c r="BL123" s="263" t="s">
        <v>348</v>
      </c>
      <c r="BM123" s="264"/>
      <c r="BN123" s="230" t="s">
        <v>348</v>
      </c>
    </row>
    <row r="124" customFormat="false" ht="17.25" hidden="false" customHeight="true" outlineLevel="0" collapsed="false">
      <c r="B124" s="290"/>
      <c r="C124" s="301"/>
      <c r="D124" s="305"/>
      <c r="E124" s="306" t="s">
        <v>391</v>
      </c>
      <c r="F124" s="310"/>
      <c r="G124" s="224" t="s">
        <v>277</v>
      </c>
      <c r="H124" s="225"/>
      <c r="I124" s="227" t="s">
        <v>420</v>
      </c>
      <c r="J124" s="222" t="s">
        <v>55</v>
      </c>
      <c r="K124" s="229"/>
      <c r="L124" s="223" t="s">
        <v>55</v>
      </c>
      <c r="M124" s="224" t="s">
        <v>55</v>
      </c>
      <c r="N124" s="225"/>
      <c r="O124" s="226" t="s">
        <v>55</v>
      </c>
      <c r="P124" s="224" t="s">
        <v>55</v>
      </c>
      <c r="Q124" s="225"/>
      <c r="R124" s="227" t="s">
        <v>55</v>
      </c>
      <c r="S124" s="228" t="s">
        <v>405</v>
      </c>
      <c r="T124" s="229"/>
      <c r="U124" s="230" t="s">
        <v>421</v>
      </c>
      <c r="V124" s="231" t="s">
        <v>422</v>
      </c>
      <c r="W124" s="225"/>
      <c r="X124" s="227" t="s">
        <v>422</v>
      </c>
      <c r="Y124" s="237" t="s">
        <v>423</v>
      </c>
      <c r="Z124" s="229"/>
      <c r="AA124" s="230" t="s">
        <v>429</v>
      </c>
      <c r="AB124" s="231" t="s">
        <v>423</v>
      </c>
      <c r="AC124" s="225"/>
      <c r="AD124" s="227" t="s">
        <v>429</v>
      </c>
      <c r="AE124" s="222" t="s">
        <v>425</v>
      </c>
      <c r="AF124" s="229"/>
      <c r="AG124" s="230" t="s">
        <v>425</v>
      </c>
      <c r="AH124" s="224" t="s">
        <v>426</v>
      </c>
      <c r="AI124" s="225"/>
      <c r="AJ124" s="227" t="s">
        <v>426</v>
      </c>
      <c r="AK124" s="249" t="s">
        <v>396</v>
      </c>
      <c r="AL124" s="311"/>
      <c r="AM124" s="249" t="s">
        <v>396</v>
      </c>
      <c r="AN124" s="222" t="s">
        <v>396</v>
      </c>
      <c r="AO124" s="229"/>
      <c r="AP124" s="230" t="s">
        <v>396</v>
      </c>
      <c r="AQ124" s="231" t="s">
        <v>288</v>
      </c>
      <c r="AR124" s="225"/>
      <c r="AS124" s="227" t="s">
        <v>396</v>
      </c>
      <c r="AT124" s="222" t="s">
        <v>68</v>
      </c>
      <c r="AU124" s="229"/>
      <c r="AV124" s="230" t="s">
        <v>68</v>
      </c>
      <c r="AW124" s="224" t="s">
        <v>68</v>
      </c>
      <c r="AX124" s="225"/>
      <c r="AY124" s="227" t="s">
        <v>68</v>
      </c>
      <c r="AZ124" s="222" t="s">
        <v>68</v>
      </c>
      <c r="BA124" s="229"/>
      <c r="BB124" s="230" t="s">
        <v>68</v>
      </c>
      <c r="BC124" s="235" t="s">
        <v>293</v>
      </c>
      <c r="BD124" s="220"/>
      <c r="BE124" s="221" t="s">
        <v>294</v>
      </c>
      <c r="BF124" s="263" t="s">
        <v>68</v>
      </c>
      <c r="BG124" s="264"/>
      <c r="BH124" s="265" t="s">
        <v>68</v>
      </c>
      <c r="BI124" s="249" t="s">
        <v>312</v>
      </c>
      <c r="BJ124" s="243"/>
      <c r="BK124" s="266" t="s">
        <v>312</v>
      </c>
      <c r="BL124" s="263" t="s">
        <v>348</v>
      </c>
      <c r="BM124" s="264"/>
      <c r="BN124" s="230" t="s">
        <v>348</v>
      </c>
    </row>
    <row r="125" customFormat="false" ht="17.25" hidden="false" customHeight="true" outlineLevel="0" collapsed="false">
      <c r="B125" s="290"/>
      <c r="C125" s="301" t="s">
        <v>103</v>
      </c>
      <c r="D125" s="305"/>
      <c r="E125" s="306" t="s">
        <v>430</v>
      </c>
      <c r="F125" s="306"/>
      <c r="G125" s="224" t="s">
        <v>275</v>
      </c>
      <c r="H125" s="225"/>
      <c r="I125" s="227" t="s">
        <v>275</v>
      </c>
      <c r="J125" s="222" t="s">
        <v>55</v>
      </c>
      <c r="K125" s="229"/>
      <c r="L125" s="223" t="s">
        <v>55</v>
      </c>
      <c r="M125" s="224" t="s">
        <v>55</v>
      </c>
      <c r="N125" s="225"/>
      <c r="O125" s="226" t="s">
        <v>55</v>
      </c>
      <c r="P125" s="224" t="s">
        <v>55</v>
      </c>
      <c r="Q125" s="225"/>
      <c r="R125" s="227" t="s">
        <v>55</v>
      </c>
      <c r="S125" s="228" t="s">
        <v>302</v>
      </c>
      <c r="T125" s="229"/>
      <c r="U125" s="230" t="s">
        <v>431</v>
      </c>
      <c r="V125" s="231" t="s">
        <v>68</v>
      </c>
      <c r="W125" s="225"/>
      <c r="X125" s="227" t="s">
        <v>68</v>
      </c>
      <c r="Y125" s="237" t="s">
        <v>68</v>
      </c>
      <c r="Z125" s="229"/>
      <c r="AA125" s="230" t="s">
        <v>68</v>
      </c>
      <c r="AB125" s="231" t="s">
        <v>68</v>
      </c>
      <c r="AC125" s="225"/>
      <c r="AD125" s="227" t="s">
        <v>68</v>
      </c>
      <c r="AE125" s="222" t="s">
        <v>68</v>
      </c>
      <c r="AF125" s="229"/>
      <c r="AG125" s="230" t="s">
        <v>68</v>
      </c>
      <c r="AH125" s="224" t="s">
        <v>68</v>
      </c>
      <c r="AI125" s="225"/>
      <c r="AJ125" s="227" t="s">
        <v>68</v>
      </c>
      <c r="AK125" s="249" t="s">
        <v>68</v>
      </c>
      <c r="AL125" s="243"/>
      <c r="AM125" s="266" t="s">
        <v>68</v>
      </c>
      <c r="AN125" s="222" t="s">
        <v>68</v>
      </c>
      <c r="AO125" s="229"/>
      <c r="AP125" s="230" t="s">
        <v>68</v>
      </c>
      <c r="AQ125" s="231" t="s">
        <v>68</v>
      </c>
      <c r="AR125" s="225"/>
      <c r="AS125" s="227" t="s">
        <v>68</v>
      </c>
      <c r="AT125" s="222" t="s">
        <v>68</v>
      </c>
      <c r="AU125" s="229"/>
      <c r="AV125" s="230" t="s">
        <v>68</v>
      </c>
      <c r="AW125" s="224" t="s">
        <v>68</v>
      </c>
      <c r="AX125" s="225"/>
      <c r="AY125" s="227" t="s">
        <v>68</v>
      </c>
      <c r="AZ125" s="222" t="s">
        <v>68</v>
      </c>
      <c r="BA125" s="229"/>
      <c r="BB125" s="230" t="s">
        <v>68</v>
      </c>
      <c r="BC125" s="231" t="s">
        <v>68</v>
      </c>
      <c r="BD125" s="225"/>
      <c r="BE125" s="227" t="s">
        <v>68</v>
      </c>
      <c r="BF125" s="263" t="s">
        <v>68</v>
      </c>
      <c r="BG125" s="264"/>
      <c r="BH125" s="265" t="s">
        <v>68</v>
      </c>
      <c r="BI125" s="249" t="s">
        <v>68</v>
      </c>
      <c r="BJ125" s="243"/>
      <c r="BK125" s="266"/>
      <c r="BL125" s="263" t="s">
        <v>348</v>
      </c>
      <c r="BM125" s="264"/>
      <c r="BN125" s="265" t="s">
        <v>348</v>
      </c>
    </row>
    <row r="126" customFormat="false" ht="17.25" hidden="false" customHeight="true" outlineLevel="0" collapsed="false">
      <c r="B126" s="290"/>
      <c r="C126" s="301"/>
      <c r="D126" s="305"/>
      <c r="E126" s="306" t="s">
        <v>432</v>
      </c>
      <c r="F126" s="306"/>
      <c r="G126" s="224" t="s">
        <v>275</v>
      </c>
      <c r="H126" s="225"/>
      <c r="I126" s="227" t="s">
        <v>275</v>
      </c>
      <c r="J126" s="222" t="s">
        <v>55</v>
      </c>
      <c r="K126" s="229"/>
      <c r="L126" s="223" t="s">
        <v>55</v>
      </c>
      <c r="M126" s="224" t="s">
        <v>55</v>
      </c>
      <c r="N126" s="225"/>
      <c r="O126" s="226" t="s">
        <v>55</v>
      </c>
      <c r="P126" s="224" t="s">
        <v>55</v>
      </c>
      <c r="Q126" s="225"/>
      <c r="R126" s="227" t="s">
        <v>55</v>
      </c>
      <c r="S126" s="228" t="s">
        <v>302</v>
      </c>
      <c r="T126" s="229"/>
      <c r="U126" s="230" t="s">
        <v>431</v>
      </c>
      <c r="V126" s="231" t="s">
        <v>68</v>
      </c>
      <c r="W126" s="225"/>
      <c r="X126" s="227" t="s">
        <v>68</v>
      </c>
      <c r="Y126" s="237" t="s">
        <v>68</v>
      </c>
      <c r="Z126" s="229"/>
      <c r="AA126" s="230" t="s">
        <v>68</v>
      </c>
      <c r="AB126" s="231" t="s">
        <v>68</v>
      </c>
      <c r="AC126" s="225"/>
      <c r="AD126" s="227" t="s">
        <v>68</v>
      </c>
      <c r="AE126" s="222" t="s">
        <v>68</v>
      </c>
      <c r="AF126" s="229"/>
      <c r="AG126" s="230" t="s">
        <v>68</v>
      </c>
      <c r="AH126" s="224" t="s">
        <v>68</v>
      </c>
      <c r="AI126" s="225"/>
      <c r="AJ126" s="227" t="s">
        <v>68</v>
      </c>
      <c r="AK126" s="249" t="s">
        <v>68</v>
      </c>
      <c r="AL126" s="243"/>
      <c r="AM126" s="266" t="s">
        <v>68</v>
      </c>
      <c r="AN126" s="222" t="s">
        <v>68</v>
      </c>
      <c r="AO126" s="229"/>
      <c r="AP126" s="230" t="s">
        <v>68</v>
      </c>
      <c r="AQ126" s="231" t="s">
        <v>68</v>
      </c>
      <c r="AR126" s="225"/>
      <c r="AS126" s="227" t="s">
        <v>68</v>
      </c>
      <c r="AT126" s="222" t="s">
        <v>68</v>
      </c>
      <c r="AU126" s="229"/>
      <c r="AV126" s="230" t="s">
        <v>68</v>
      </c>
      <c r="AW126" s="224" t="s">
        <v>68</v>
      </c>
      <c r="AX126" s="225"/>
      <c r="AY126" s="227" t="s">
        <v>68</v>
      </c>
      <c r="AZ126" s="222" t="s">
        <v>68</v>
      </c>
      <c r="BA126" s="229"/>
      <c r="BB126" s="230" t="s">
        <v>68</v>
      </c>
      <c r="BC126" s="231" t="s">
        <v>68</v>
      </c>
      <c r="BD126" s="225"/>
      <c r="BE126" s="227" t="s">
        <v>68</v>
      </c>
      <c r="BF126" s="263" t="s">
        <v>68</v>
      </c>
      <c r="BG126" s="264"/>
      <c r="BH126" s="265" t="s">
        <v>68</v>
      </c>
      <c r="BI126" s="249" t="s">
        <v>68</v>
      </c>
      <c r="BJ126" s="243"/>
      <c r="BK126" s="266"/>
      <c r="BL126" s="263" t="s">
        <v>348</v>
      </c>
      <c r="BM126" s="264"/>
      <c r="BN126" s="265" t="s">
        <v>348</v>
      </c>
    </row>
    <row r="127" customFormat="false" ht="17.25" hidden="false" customHeight="true" outlineLevel="0" collapsed="false">
      <c r="B127" s="290"/>
      <c r="C127" s="301"/>
      <c r="D127" s="305"/>
      <c r="E127" s="306" t="s">
        <v>433</v>
      </c>
      <c r="F127" s="306"/>
      <c r="G127" s="224" t="s">
        <v>275</v>
      </c>
      <c r="H127" s="225"/>
      <c r="I127" s="227" t="s">
        <v>275</v>
      </c>
      <c r="J127" s="222" t="s">
        <v>55</v>
      </c>
      <c r="K127" s="229"/>
      <c r="L127" s="223" t="s">
        <v>55</v>
      </c>
      <c r="M127" s="224" t="s">
        <v>55</v>
      </c>
      <c r="N127" s="225"/>
      <c r="O127" s="226" t="s">
        <v>55</v>
      </c>
      <c r="P127" s="224" t="s">
        <v>55</v>
      </c>
      <c r="Q127" s="225"/>
      <c r="R127" s="227" t="s">
        <v>55</v>
      </c>
      <c r="S127" s="228" t="s">
        <v>302</v>
      </c>
      <c r="T127" s="229"/>
      <c r="U127" s="230" t="s">
        <v>431</v>
      </c>
      <c r="V127" s="231" t="s">
        <v>68</v>
      </c>
      <c r="W127" s="225"/>
      <c r="X127" s="227" t="s">
        <v>68</v>
      </c>
      <c r="Y127" s="237" t="s">
        <v>68</v>
      </c>
      <c r="Z127" s="229"/>
      <c r="AA127" s="230" t="s">
        <v>68</v>
      </c>
      <c r="AB127" s="231" t="s">
        <v>68</v>
      </c>
      <c r="AC127" s="225"/>
      <c r="AD127" s="227" t="s">
        <v>68</v>
      </c>
      <c r="AE127" s="222" t="s">
        <v>68</v>
      </c>
      <c r="AF127" s="229"/>
      <c r="AG127" s="230" t="s">
        <v>68</v>
      </c>
      <c r="AH127" s="224" t="s">
        <v>68</v>
      </c>
      <c r="AI127" s="225"/>
      <c r="AJ127" s="227" t="s">
        <v>68</v>
      </c>
      <c r="AK127" s="249" t="s">
        <v>68</v>
      </c>
      <c r="AL127" s="243"/>
      <c r="AM127" s="266" t="s">
        <v>68</v>
      </c>
      <c r="AN127" s="222" t="s">
        <v>68</v>
      </c>
      <c r="AO127" s="229"/>
      <c r="AP127" s="230" t="s">
        <v>68</v>
      </c>
      <c r="AQ127" s="231" t="s">
        <v>68</v>
      </c>
      <c r="AR127" s="225"/>
      <c r="AS127" s="227" t="s">
        <v>68</v>
      </c>
      <c r="AT127" s="222" t="s">
        <v>68</v>
      </c>
      <c r="AU127" s="229"/>
      <c r="AV127" s="230" t="s">
        <v>68</v>
      </c>
      <c r="AW127" s="224" t="s">
        <v>68</v>
      </c>
      <c r="AX127" s="225"/>
      <c r="AY127" s="227" t="s">
        <v>68</v>
      </c>
      <c r="AZ127" s="222" t="s">
        <v>68</v>
      </c>
      <c r="BA127" s="229"/>
      <c r="BB127" s="230" t="s">
        <v>68</v>
      </c>
      <c r="BC127" s="231" t="s">
        <v>68</v>
      </c>
      <c r="BD127" s="225"/>
      <c r="BE127" s="227" t="s">
        <v>68</v>
      </c>
      <c r="BF127" s="263" t="s">
        <v>68</v>
      </c>
      <c r="BG127" s="264"/>
      <c r="BH127" s="265" t="s">
        <v>68</v>
      </c>
      <c r="BI127" s="249" t="s">
        <v>68</v>
      </c>
      <c r="BJ127" s="243"/>
      <c r="BK127" s="266"/>
      <c r="BL127" s="263" t="s">
        <v>348</v>
      </c>
      <c r="BM127" s="264"/>
      <c r="BN127" s="265" t="s">
        <v>348</v>
      </c>
    </row>
    <row r="128" customFormat="false" ht="17.25" hidden="false" customHeight="true" outlineLevel="0" collapsed="false">
      <c r="B128" s="290"/>
      <c r="C128" s="301"/>
      <c r="D128" s="305"/>
      <c r="E128" s="306" t="s">
        <v>434</v>
      </c>
      <c r="F128" s="306"/>
      <c r="G128" s="224" t="s">
        <v>275</v>
      </c>
      <c r="H128" s="225"/>
      <c r="I128" s="227" t="s">
        <v>275</v>
      </c>
      <c r="J128" s="222" t="s">
        <v>55</v>
      </c>
      <c r="K128" s="229"/>
      <c r="L128" s="223" t="s">
        <v>55</v>
      </c>
      <c r="M128" s="224" t="s">
        <v>55</v>
      </c>
      <c r="N128" s="225"/>
      <c r="O128" s="226" t="s">
        <v>55</v>
      </c>
      <c r="P128" s="224" t="s">
        <v>55</v>
      </c>
      <c r="Q128" s="225"/>
      <c r="R128" s="227" t="s">
        <v>55</v>
      </c>
      <c r="S128" s="228" t="s">
        <v>302</v>
      </c>
      <c r="T128" s="229"/>
      <c r="U128" s="230" t="s">
        <v>431</v>
      </c>
      <c r="V128" s="231" t="s">
        <v>68</v>
      </c>
      <c r="W128" s="225"/>
      <c r="X128" s="227" t="s">
        <v>68</v>
      </c>
      <c r="Y128" s="237" t="s">
        <v>68</v>
      </c>
      <c r="Z128" s="229"/>
      <c r="AA128" s="230" t="s">
        <v>68</v>
      </c>
      <c r="AB128" s="231" t="s">
        <v>68</v>
      </c>
      <c r="AC128" s="225"/>
      <c r="AD128" s="227" t="s">
        <v>68</v>
      </c>
      <c r="AE128" s="222" t="s">
        <v>68</v>
      </c>
      <c r="AF128" s="229"/>
      <c r="AG128" s="230" t="s">
        <v>68</v>
      </c>
      <c r="AH128" s="224" t="s">
        <v>68</v>
      </c>
      <c r="AI128" s="225"/>
      <c r="AJ128" s="227" t="s">
        <v>68</v>
      </c>
      <c r="AK128" s="249" t="s">
        <v>68</v>
      </c>
      <c r="AL128" s="243"/>
      <c r="AM128" s="266" t="s">
        <v>68</v>
      </c>
      <c r="AN128" s="222" t="s">
        <v>68</v>
      </c>
      <c r="AO128" s="229"/>
      <c r="AP128" s="230" t="s">
        <v>68</v>
      </c>
      <c r="AQ128" s="231" t="s">
        <v>68</v>
      </c>
      <c r="AR128" s="225"/>
      <c r="AS128" s="227" t="s">
        <v>68</v>
      </c>
      <c r="AT128" s="222" t="s">
        <v>68</v>
      </c>
      <c r="AU128" s="229"/>
      <c r="AV128" s="230" t="s">
        <v>68</v>
      </c>
      <c r="AW128" s="224" t="s">
        <v>68</v>
      </c>
      <c r="AX128" s="225"/>
      <c r="AY128" s="227" t="s">
        <v>68</v>
      </c>
      <c r="AZ128" s="222" t="s">
        <v>68</v>
      </c>
      <c r="BA128" s="229"/>
      <c r="BB128" s="230" t="s">
        <v>68</v>
      </c>
      <c r="BC128" s="231" t="s">
        <v>68</v>
      </c>
      <c r="BD128" s="225"/>
      <c r="BE128" s="227" t="s">
        <v>68</v>
      </c>
      <c r="BF128" s="263" t="s">
        <v>68</v>
      </c>
      <c r="BG128" s="264"/>
      <c r="BH128" s="265" t="s">
        <v>68</v>
      </c>
      <c r="BI128" s="249" t="s">
        <v>68</v>
      </c>
      <c r="BJ128" s="243"/>
      <c r="BK128" s="266"/>
      <c r="BL128" s="263" t="s">
        <v>348</v>
      </c>
      <c r="BM128" s="264"/>
      <c r="BN128" s="265" t="s">
        <v>348</v>
      </c>
    </row>
    <row r="129" customFormat="false" ht="17.25" hidden="false" customHeight="true" outlineLevel="0" collapsed="false">
      <c r="B129" s="290"/>
      <c r="C129" s="301" t="s">
        <v>435</v>
      </c>
      <c r="D129" s="306"/>
      <c r="E129" s="306"/>
      <c r="F129" s="306"/>
      <c r="G129" s="224" t="s">
        <v>55</v>
      </c>
      <c r="H129" s="225"/>
      <c r="I129" s="227" t="s">
        <v>55</v>
      </c>
      <c r="J129" s="222" t="s">
        <v>362</v>
      </c>
      <c r="K129" s="229"/>
      <c r="L129" s="223" t="s">
        <v>367</v>
      </c>
      <c r="M129" s="224" t="s">
        <v>367</v>
      </c>
      <c r="N129" s="225"/>
      <c r="O129" s="226" t="s">
        <v>436</v>
      </c>
      <c r="P129" s="231" t="s">
        <v>436</v>
      </c>
      <c r="Q129" s="225"/>
      <c r="R129" s="227" t="s">
        <v>437</v>
      </c>
      <c r="S129" s="228" t="s">
        <v>438</v>
      </c>
      <c r="T129" s="229"/>
      <c r="U129" s="230" t="s">
        <v>276</v>
      </c>
      <c r="V129" s="231" t="s">
        <v>278</v>
      </c>
      <c r="W129" s="225"/>
      <c r="X129" s="227" t="s">
        <v>278</v>
      </c>
      <c r="Y129" s="237" t="s">
        <v>68</v>
      </c>
      <c r="Z129" s="229"/>
      <c r="AA129" s="230" t="s">
        <v>68</v>
      </c>
      <c r="AB129" s="231" t="s">
        <v>68</v>
      </c>
      <c r="AC129" s="225"/>
      <c r="AD129" s="227" t="s">
        <v>68</v>
      </c>
      <c r="AE129" s="222" t="s">
        <v>68</v>
      </c>
      <c r="AF129" s="229"/>
      <c r="AG129" s="230" t="s">
        <v>68</v>
      </c>
      <c r="AH129" s="224" t="s">
        <v>68</v>
      </c>
      <c r="AI129" s="225"/>
      <c r="AJ129" s="227" t="s">
        <v>68</v>
      </c>
      <c r="AK129" s="249" t="s">
        <v>439</v>
      </c>
      <c r="AL129" s="243"/>
      <c r="AM129" s="266" t="s">
        <v>276</v>
      </c>
      <c r="AN129" s="222" t="s">
        <v>68</v>
      </c>
      <c r="AO129" s="229"/>
      <c r="AP129" s="230" t="s">
        <v>68</v>
      </c>
      <c r="AQ129" s="231" t="s">
        <v>276</v>
      </c>
      <c r="AR129" s="225"/>
      <c r="AS129" s="227" t="s">
        <v>276</v>
      </c>
      <c r="AT129" s="222" t="s">
        <v>68</v>
      </c>
      <c r="AU129" s="229"/>
      <c r="AV129" s="230" t="s">
        <v>68</v>
      </c>
      <c r="AW129" s="224" t="s">
        <v>68</v>
      </c>
      <c r="AX129" s="225"/>
      <c r="AY129" s="227" t="s">
        <v>68</v>
      </c>
      <c r="AZ129" s="222" t="s">
        <v>68</v>
      </c>
      <c r="BA129" s="229"/>
      <c r="BB129" s="230" t="s">
        <v>68</v>
      </c>
      <c r="BC129" s="231" t="s">
        <v>68</v>
      </c>
      <c r="BD129" s="225"/>
      <c r="BE129" s="227" t="s">
        <v>68</v>
      </c>
      <c r="BF129" s="263" t="s">
        <v>68</v>
      </c>
      <c r="BG129" s="264"/>
      <c r="BH129" s="265" t="s">
        <v>68</v>
      </c>
      <c r="BI129" s="249" t="s">
        <v>68</v>
      </c>
      <c r="BJ129" s="243"/>
      <c r="BK129" s="266" t="s">
        <v>68</v>
      </c>
      <c r="BL129" s="263"/>
      <c r="BM129" s="264"/>
      <c r="BN129" s="265"/>
    </row>
    <row r="130" customFormat="false" ht="17.25" hidden="false" customHeight="true" outlineLevel="0" collapsed="false">
      <c r="B130" s="290"/>
      <c r="C130" s="301" t="s">
        <v>440</v>
      </c>
      <c r="D130" s="306"/>
      <c r="E130" s="306"/>
      <c r="F130" s="306"/>
      <c r="G130" s="224" t="s">
        <v>55</v>
      </c>
      <c r="H130" s="225"/>
      <c r="I130" s="227" t="s">
        <v>55</v>
      </c>
      <c r="J130" s="222" t="s">
        <v>68</v>
      </c>
      <c r="K130" s="229"/>
      <c r="L130" s="223" t="s">
        <v>68</v>
      </c>
      <c r="M130" s="224" t="s">
        <v>362</v>
      </c>
      <c r="N130" s="225"/>
      <c r="O130" s="226" t="s">
        <v>367</v>
      </c>
      <c r="P130" s="224" t="s">
        <v>436</v>
      </c>
      <c r="Q130" s="225"/>
      <c r="R130" s="227" t="s">
        <v>367</v>
      </c>
      <c r="S130" s="228" t="s">
        <v>441</v>
      </c>
      <c r="T130" s="229"/>
      <c r="U130" s="230" t="s">
        <v>441</v>
      </c>
      <c r="V130" s="231" t="s">
        <v>68</v>
      </c>
      <c r="W130" s="225"/>
      <c r="X130" s="227" t="s">
        <v>68</v>
      </c>
      <c r="Y130" s="237" t="s">
        <v>68</v>
      </c>
      <c r="Z130" s="229"/>
      <c r="AA130" s="230" t="s">
        <v>68</v>
      </c>
      <c r="AB130" s="231" t="s">
        <v>68</v>
      </c>
      <c r="AC130" s="225"/>
      <c r="AD130" s="227" t="s">
        <v>68</v>
      </c>
      <c r="AE130" s="222" t="s">
        <v>68</v>
      </c>
      <c r="AF130" s="229"/>
      <c r="AG130" s="230" t="s">
        <v>68</v>
      </c>
      <c r="AH130" s="224" t="s">
        <v>68</v>
      </c>
      <c r="AI130" s="225"/>
      <c r="AJ130" s="227" t="s">
        <v>68</v>
      </c>
      <c r="AK130" s="249" t="s">
        <v>279</v>
      </c>
      <c r="AL130" s="243"/>
      <c r="AM130" s="266" t="s">
        <v>279</v>
      </c>
      <c r="AN130" s="222" t="s">
        <v>68</v>
      </c>
      <c r="AO130" s="229"/>
      <c r="AP130" s="230" t="s">
        <v>68</v>
      </c>
      <c r="AQ130" s="231" t="s">
        <v>68</v>
      </c>
      <c r="AR130" s="225"/>
      <c r="AS130" s="227" t="s">
        <v>68</v>
      </c>
      <c r="AT130" s="222" t="s">
        <v>68</v>
      </c>
      <c r="AU130" s="229"/>
      <c r="AV130" s="230" t="s">
        <v>68</v>
      </c>
      <c r="AW130" s="224" t="s">
        <v>68</v>
      </c>
      <c r="AX130" s="225"/>
      <c r="AY130" s="227" t="s">
        <v>68</v>
      </c>
      <c r="AZ130" s="222" t="s">
        <v>68</v>
      </c>
      <c r="BA130" s="229"/>
      <c r="BB130" s="230" t="s">
        <v>68</v>
      </c>
      <c r="BC130" s="231" t="s">
        <v>68</v>
      </c>
      <c r="BD130" s="225"/>
      <c r="BE130" s="227" t="s">
        <v>68</v>
      </c>
      <c r="BF130" s="263" t="s">
        <v>68</v>
      </c>
      <c r="BG130" s="264"/>
      <c r="BH130" s="265" t="s">
        <v>68</v>
      </c>
      <c r="BI130" s="249" t="s">
        <v>68</v>
      </c>
      <c r="BJ130" s="243"/>
      <c r="BK130" s="266" t="s">
        <v>68</v>
      </c>
      <c r="BL130" s="263" t="s">
        <v>442</v>
      </c>
      <c r="BM130" s="264"/>
      <c r="BN130" s="265" t="s">
        <v>442</v>
      </c>
    </row>
    <row r="131" customFormat="false" ht="17.25" hidden="false" customHeight="true" outlineLevel="0" collapsed="false">
      <c r="B131" s="290"/>
      <c r="C131" s="301" t="s">
        <v>443</v>
      </c>
      <c r="D131" s="306"/>
      <c r="E131" s="306"/>
      <c r="F131" s="306"/>
      <c r="G131" s="224" t="s">
        <v>55</v>
      </c>
      <c r="H131" s="225"/>
      <c r="I131" s="227" t="s">
        <v>55</v>
      </c>
      <c r="J131" s="222" t="s">
        <v>444</v>
      </c>
      <c r="K131" s="229"/>
      <c r="L131" s="223" t="s">
        <v>444</v>
      </c>
      <c r="M131" s="224" t="s">
        <v>444</v>
      </c>
      <c r="N131" s="225"/>
      <c r="O131" s="226" t="s">
        <v>444</v>
      </c>
      <c r="P131" s="224" t="s">
        <v>444</v>
      </c>
      <c r="Q131" s="225"/>
      <c r="R131" s="227" t="s">
        <v>444</v>
      </c>
      <c r="S131" s="228" t="s">
        <v>68</v>
      </c>
      <c r="T131" s="229"/>
      <c r="U131" s="230" t="s">
        <v>68</v>
      </c>
      <c r="V131" s="231" t="s">
        <v>68</v>
      </c>
      <c r="W131" s="225"/>
      <c r="X131" s="227" t="s">
        <v>68</v>
      </c>
      <c r="Y131" s="237" t="s">
        <v>68</v>
      </c>
      <c r="Z131" s="229"/>
      <c r="AA131" s="230" t="s">
        <v>68</v>
      </c>
      <c r="AB131" s="231" t="s">
        <v>68</v>
      </c>
      <c r="AC131" s="225"/>
      <c r="AD131" s="227" t="s">
        <v>68</v>
      </c>
      <c r="AE131" s="222" t="s">
        <v>68</v>
      </c>
      <c r="AF131" s="229"/>
      <c r="AG131" s="230" t="s">
        <v>68</v>
      </c>
      <c r="AH131" s="224" t="s">
        <v>68</v>
      </c>
      <c r="AI131" s="225"/>
      <c r="AJ131" s="227" t="s">
        <v>68</v>
      </c>
      <c r="AK131" s="249" t="s">
        <v>445</v>
      </c>
      <c r="AL131" s="243"/>
      <c r="AM131" s="266" t="s">
        <v>445</v>
      </c>
      <c r="AN131" s="222" t="s">
        <v>68</v>
      </c>
      <c r="AO131" s="229"/>
      <c r="AP131" s="230" t="s">
        <v>68</v>
      </c>
      <c r="AQ131" s="231" t="s">
        <v>68</v>
      </c>
      <c r="AR131" s="225"/>
      <c r="AS131" s="227" t="s">
        <v>68</v>
      </c>
      <c r="AT131" s="222" t="s">
        <v>68</v>
      </c>
      <c r="AU131" s="229"/>
      <c r="AV131" s="230" t="s">
        <v>68</v>
      </c>
      <c r="AW131" s="224" t="s">
        <v>68</v>
      </c>
      <c r="AX131" s="225"/>
      <c r="AY131" s="227" t="s">
        <v>68</v>
      </c>
      <c r="AZ131" s="222" t="s">
        <v>68</v>
      </c>
      <c r="BA131" s="229"/>
      <c r="BB131" s="230" t="s">
        <v>68</v>
      </c>
      <c r="BC131" s="231" t="s">
        <v>68</v>
      </c>
      <c r="BD131" s="225"/>
      <c r="BE131" s="227" t="s">
        <v>68</v>
      </c>
      <c r="BF131" s="263" t="s">
        <v>68</v>
      </c>
      <c r="BG131" s="264"/>
      <c r="BH131" s="265" t="s">
        <v>68</v>
      </c>
      <c r="BI131" s="249" t="s">
        <v>68</v>
      </c>
      <c r="BJ131" s="243"/>
      <c r="BK131" s="266" t="s">
        <v>68</v>
      </c>
      <c r="BL131" s="263" t="s">
        <v>442</v>
      </c>
      <c r="BM131" s="264"/>
      <c r="BN131" s="312" t="s">
        <v>442</v>
      </c>
    </row>
    <row r="132" customFormat="false" ht="17.25" hidden="false" customHeight="true" outlineLevel="0" collapsed="false">
      <c r="B132" s="290"/>
      <c r="C132" s="301" t="s">
        <v>366</v>
      </c>
      <c r="D132" s="306"/>
      <c r="E132" s="306"/>
      <c r="F132" s="306"/>
      <c r="G132" s="224" t="s">
        <v>55</v>
      </c>
      <c r="H132" s="225"/>
      <c r="I132" s="227" t="s">
        <v>55</v>
      </c>
      <c r="J132" s="222" t="s">
        <v>367</v>
      </c>
      <c r="K132" s="229"/>
      <c r="L132" s="223" t="s">
        <v>367</v>
      </c>
      <c r="M132" s="224" t="s">
        <v>442</v>
      </c>
      <c r="N132" s="225"/>
      <c r="O132" s="226" t="s">
        <v>367</v>
      </c>
      <c r="P132" s="224" t="s">
        <v>436</v>
      </c>
      <c r="Q132" s="225"/>
      <c r="R132" s="227" t="s">
        <v>446</v>
      </c>
      <c r="S132" s="228" t="s">
        <v>441</v>
      </c>
      <c r="T132" s="229"/>
      <c r="U132" s="230" t="s">
        <v>441</v>
      </c>
      <c r="V132" s="231" t="s">
        <v>68</v>
      </c>
      <c r="W132" s="225"/>
      <c r="X132" s="227" t="s">
        <v>68</v>
      </c>
      <c r="Y132" s="237" t="s">
        <v>68</v>
      </c>
      <c r="Z132" s="229"/>
      <c r="AA132" s="230" t="s">
        <v>68</v>
      </c>
      <c r="AB132" s="231" t="s">
        <v>68</v>
      </c>
      <c r="AC132" s="225"/>
      <c r="AD132" s="227" t="s">
        <v>68</v>
      </c>
      <c r="AE132" s="222" t="s">
        <v>68</v>
      </c>
      <c r="AF132" s="229"/>
      <c r="AG132" s="230" t="s">
        <v>68</v>
      </c>
      <c r="AH132" s="224" t="s">
        <v>68</v>
      </c>
      <c r="AI132" s="225"/>
      <c r="AJ132" s="227" t="s">
        <v>68</v>
      </c>
      <c r="AK132" s="249" t="s">
        <v>68</v>
      </c>
      <c r="AL132" s="243"/>
      <c r="AM132" s="266" t="s">
        <v>68</v>
      </c>
      <c r="AN132" s="222" t="s">
        <v>68</v>
      </c>
      <c r="AO132" s="229"/>
      <c r="AP132" s="230" t="s">
        <v>68</v>
      </c>
      <c r="AQ132" s="231" t="s">
        <v>68</v>
      </c>
      <c r="AR132" s="225"/>
      <c r="AS132" s="227" t="s">
        <v>68</v>
      </c>
      <c r="AT132" s="222" t="s">
        <v>68</v>
      </c>
      <c r="AU132" s="229"/>
      <c r="AV132" s="230" t="s">
        <v>68</v>
      </c>
      <c r="AW132" s="224" t="s">
        <v>68</v>
      </c>
      <c r="AX132" s="225"/>
      <c r="AY132" s="227" t="s">
        <v>68</v>
      </c>
      <c r="AZ132" s="222" t="s">
        <v>68</v>
      </c>
      <c r="BA132" s="229"/>
      <c r="BB132" s="230" t="s">
        <v>68</v>
      </c>
      <c r="BC132" s="231" t="s">
        <v>68</v>
      </c>
      <c r="BD132" s="225"/>
      <c r="BE132" s="227" t="s">
        <v>68</v>
      </c>
      <c r="BF132" s="263" t="s">
        <v>68</v>
      </c>
      <c r="BG132" s="264"/>
      <c r="BH132" s="265" t="s">
        <v>68</v>
      </c>
      <c r="BI132" s="249" t="s">
        <v>68</v>
      </c>
      <c r="BJ132" s="243"/>
      <c r="BK132" s="266" t="s">
        <v>68</v>
      </c>
      <c r="BL132" s="263"/>
      <c r="BM132" s="264"/>
      <c r="BN132" s="265"/>
    </row>
    <row r="133" customFormat="false" ht="17.25" hidden="false" customHeight="true" outlineLevel="0" collapsed="false">
      <c r="B133" s="290"/>
      <c r="C133" s="313" t="s">
        <v>374</v>
      </c>
      <c r="D133" s="314"/>
      <c r="E133" s="314"/>
      <c r="F133" s="314"/>
      <c r="G133" s="277" t="s">
        <v>55</v>
      </c>
      <c r="H133" s="278"/>
      <c r="I133" s="280" t="s">
        <v>55</v>
      </c>
      <c r="J133" s="257" t="s">
        <v>367</v>
      </c>
      <c r="K133" s="255"/>
      <c r="L133" s="254" t="s">
        <v>367</v>
      </c>
      <c r="M133" s="277" t="s">
        <v>442</v>
      </c>
      <c r="N133" s="278"/>
      <c r="O133" s="279" t="s">
        <v>367</v>
      </c>
      <c r="P133" s="277" t="s">
        <v>446</v>
      </c>
      <c r="Q133" s="278"/>
      <c r="R133" s="280" t="s">
        <v>367</v>
      </c>
      <c r="S133" s="315" t="s">
        <v>441</v>
      </c>
      <c r="T133" s="281"/>
      <c r="U133" s="283" t="s">
        <v>441</v>
      </c>
      <c r="V133" s="231" t="s">
        <v>68</v>
      </c>
      <c r="W133" s="278"/>
      <c r="X133" s="227" t="s">
        <v>68</v>
      </c>
      <c r="Y133" s="316" t="s">
        <v>68</v>
      </c>
      <c r="Z133" s="281"/>
      <c r="AA133" s="283" t="s">
        <v>68</v>
      </c>
      <c r="AB133" s="317" t="s">
        <v>68</v>
      </c>
      <c r="AC133" s="278"/>
      <c r="AD133" s="280" t="s">
        <v>68</v>
      </c>
      <c r="AE133" s="282" t="s">
        <v>68</v>
      </c>
      <c r="AF133" s="281"/>
      <c r="AG133" s="283" t="s">
        <v>68</v>
      </c>
      <c r="AH133" s="277" t="s">
        <v>68</v>
      </c>
      <c r="AI133" s="278"/>
      <c r="AJ133" s="280" t="s">
        <v>68</v>
      </c>
      <c r="AK133" s="287" t="s">
        <v>68</v>
      </c>
      <c r="AL133" s="288"/>
      <c r="AM133" s="289" t="s">
        <v>68</v>
      </c>
      <c r="AN133" s="222" t="s">
        <v>68</v>
      </c>
      <c r="AO133" s="281"/>
      <c r="AP133" s="230" t="s">
        <v>68</v>
      </c>
      <c r="AQ133" s="231" t="s">
        <v>68</v>
      </c>
      <c r="AR133" s="278"/>
      <c r="AS133" s="227" t="s">
        <v>68</v>
      </c>
      <c r="AT133" s="257" t="s">
        <v>68</v>
      </c>
      <c r="AU133" s="255"/>
      <c r="AV133" s="258" t="s">
        <v>68</v>
      </c>
      <c r="AW133" s="259" t="s">
        <v>68</v>
      </c>
      <c r="AX133" s="252"/>
      <c r="AY133" s="253" t="s">
        <v>68</v>
      </c>
      <c r="AZ133" s="257" t="s">
        <v>68</v>
      </c>
      <c r="BA133" s="255"/>
      <c r="BB133" s="258" t="s">
        <v>68</v>
      </c>
      <c r="BC133" s="317" t="s">
        <v>68</v>
      </c>
      <c r="BD133" s="278"/>
      <c r="BE133" s="280" t="s">
        <v>68</v>
      </c>
      <c r="BF133" s="318" t="s">
        <v>68</v>
      </c>
      <c r="BG133" s="319"/>
      <c r="BH133" s="320" t="s">
        <v>68</v>
      </c>
      <c r="BI133" s="321" t="s">
        <v>68</v>
      </c>
      <c r="BJ133" s="260"/>
      <c r="BK133" s="261" t="s">
        <v>68</v>
      </c>
      <c r="BL133" s="263"/>
      <c r="BM133" s="319"/>
      <c r="BN133" s="320"/>
    </row>
    <row r="134" customFormat="false" ht="17.25" hidden="false" customHeight="true" outlineLevel="0" collapsed="false">
      <c r="B134" s="322" t="s">
        <v>113</v>
      </c>
      <c r="C134" s="323" t="s">
        <v>447</v>
      </c>
      <c r="D134" s="324"/>
      <c r="E134" s="324" t="s">
        <v>448</v>
      </c>
      <c r="F134" s="325"/>
      <c r="G134" s="203" t="s">
        <v>449</v>
      </c>
      <c r="H134" s="204"/>
      <c r="I134" s="208" t="s">
        <v>450</v>
      </c>
      <c r="J134" s="205" t="s">
        <v>55</v>
      </c>
      <c r="K134" s="211"/>
      <c r="L134" s="206" t="s">
        <v>55</v>
      </c>
      <c r="M134" s="203" t="s">
        <v>55</v>
      </c>
      <c r="N134" s="204"/>
      <c r="O134" s="208" t="s">
        <v>55</v>
      </c>
      <c r="P134" s="203" t="s">
        <v>55</v>
      </c>
      <c r="Q134" s="204"/>
      <c r="R134" s="209" t="s">
        <v>55</v>
      </c>
      <c r="S134" s="210" t="s">
        <v>277</v>
      </c>
      <c r="T134" s="211"/>
      <c r="U134" s="212" t="s">
        <v>303</v>
      </c>
      <c r="V134" s="213" t="s">
        <v>314</v>
      </c>
      <c r="W134" s="204"/>
      <c r="X134" s="209" t="s">
        <v>407</v>
      </c>
      <c r="Y134" s="214" t="s">
        <v>304</v>
      </c>
      <c r="Z134" s="211"/>
      <c r="AA134" s="212" t="s">
        <v>451</v>
      </c>
      <c r="AB134" s="213" t="s">
        <v>304</v>
      </c>
      <c r="AC134" s="204"/>
      <c r="AD134" s="209" t="s">
        <v>451</v>
      </c>
      <c r="AE134" s="326" t="s">
        <v>439</v>
      </c>
      <c r="AF134" s="211"/>
      <c r="AG134" s="212" t="s">
        <v>452</v>
      </c>
      <c r="AH134" s="203" t="s">
        <v>439</v>
      </c>
      <c r="AI134" s="204"/>
      <c r="AJ134" s="209" t="s">
        <v>453</v>
      </c>
      <c r="AK134" s="296" t="s">
        <v>362</v>
      </c>
      <c r="AL134" s="297"/>
      <c r="AM134" s="298" t="s">
        <v>454</v>
      </c>
      <c r="AN134" s="205" t="s">
        <v>455</v>
      </c>
      <c r="AO134" s="211"/>
      <c r="AP134" s="212" t="s">
        <v>439</v>
      </c>
      <c r="AQ134" s="213" t="s">
        <v>439</v>
      </c>
      <c r="AR134" s="204"/>
      <c r="AS134" s="209" t="s">
        <v>455</v>
      </c>
      <c r="AT134" s="205" t="s">
        <v>68</v>
      </c>
      <c r="AU134" s="211"/>
      <c r="AV134" s="212" t="s">
        <v>68</v>
      </c>
      <c r="AW134" s="203" t="s">
        <v>68</v>
      </c>
      <c r="AX134" s="204"/>
      <c r="AY134" s="209" t="s">
        <v>68</v>
      </c>
      <c r="AZ134" s="205" t="s">
        <v>456</v>
      </c>
      <c r="BA134" s="211"/>
      <c r="BB134" s="212" t="s">
        <v>452</v>
      </c>
      <c r="BC134" s="213" t="s">
        <v>68</v>
      </c>
      <c r="BD134" s="204"/>
      <c r="BE134" s="209" t="s">
        <v>68</v>
      </c>
      <c r="BF134" s="327" t="s">
        <v>457</v>
      </c>
      <c r="BG134" s="328"/>
      <c r="BH134" s="329" t="s">
        <v>362</v>
      </c>
      <c r="BI134" s="296" t="s">
        <v>357</v>
      </c>
      <c r="BJ134" s="297"/>
      <c r="BK134" s="298" t="s">
        <v>362</v>
      </c>
      <c r="BL134" s="327" t="s">
        <v>347</v>
      </c>
      <c r="BM134" s="328"/>
      <c r="BN134" s="329" t="s">
        <v>458</v>
      </c>
    </row>
    <row r="135" customFormat="false" ht="17.25" hidden="false" customHeight="true" outlineLevel="0" collapsed="false">
      <c r="B135" s="322"/>
      <c r="C135" s="323"/>
      <c r="D135" s="330"/>
      <c r="E135" s="330" t="s">
        <v>459</v>
      </c>
      <c r="F135" s="331"/>
      <c r="G135" s="332" t="s">
        <v>449</v>
      </c>
      <c r="H135" s="333"/>
      <c r="I135" s="334" t="s">
        <v>450</v>
      </c>
      <c r="J135" s="222" t="s">
        <v>55</v>
      </c>
      <c r="K135" s="229"/>
      <c r="L135" s="223" t="s">
        <v>55</v>
      </c>
      <c r="M135" s="224" t="s">
        <v>55</v>
      </c>
      <c r="N135" s="225"/>
      <c r="O135" s="226" t="s">
        <v>55</v>
      </c>
      <c r="P135" s="224" t="s">
        <v>55</v>
      </c>
      <c r="Q135" s="225"/>
      <c r="R135" s="227" t="s">
        <v>55</v>
      </c>
      <c r="S135" s="228" t="s">
        <v>277</v>
      </c>
      <c r="T135" s="229"/>
      <c r="U135" s="230" t="s">
        <v>303</v>
      </c>
      <c r="V135" s="335" t="s">
        <v>314</v>
      </c>
      <c r="W135" s="333"/>
      <c r="X135" s="336" t="s">
        <v>407</v>
      </c>
      <c r="Y135" s="337" t="s">
        <v>304</v>
      </c>
      <c r="Z135" s="338"/>
      <c r="AA135" s="339" t="s">
        <v>451</v>
      </c>
      <c r="AB135" s="335" t="s">
        <v>304</v>
      </c>
      <c r="AC135" s="333"/>
      <c r="AD135" s="336" t="s">
        <v>451</v>
      </c>
      <c r="AE135" s="340" t="s">
        <v>439</v>
      </c>
      <c r="AF135" s="338"/>
      <c r="AG135" s="339" t="s">
        <v>452</v>
      </c>
      <c r="AH135" s="332" t="s">
        <v>439</v>
      </c>
      <c r="AI135" s="333"/>
      <c r="AJ135" s="336" t="s">
        <v>453</v>
      </c>
      <c r="AK135" s="249" t="s">
        <v>362</v>
      </c>
      <c r="AL135" s="341"/>
      <c r="AM135" s="341" t="s">
        <v>454</v>
      </c>
      <c r="AN135" s="342" t="s">
        <v>455</v>
      </c>
      <c r="AO135" s="338"/>
      <c r="AP135" s="339" t="s">
        <v>439</v>
      </c>
      <c r="AQ135" s="335" t="s">
        <v>439</v>
      </c>
      <c r="AR135" s="333"/>
      <c r="AS135" s="336" t="s">
        <v>455</v>
      </c>
      <c r="AT135" s="222" t="s">
        <v>68</v>
      </c>
      <c r="AU135" s="229"/>
      <c r="AV135" s="230" t="s">
        <v>68</v>
      </c>
      <c r="AW135" s="224" t="s">
        <v>68</v>
      </c>
      <c r="AX135" s="225"/>
      <c r="AY135" s="227" t="s">
        <v>68</v>
      </c>
      <c r="AZ135" s="222" t="s">
        <v>456</v>
      </c>
      <c r="BA135" s="229"/>
      <c r="BB135" s="230" t="s">
        <v>452</v>
      </c>
      <c r="BC135" s="335" t="s">
        <v>68</v>
      </c>
      <c r="BD135" s="333"/>
      <c r="BE135" s="336" t="s">
        <v>68</v>
      </c>
      <c r="BF135" s="263" t="s">
        <v>457</v>
      </c>
      <c r="BG135" s="264"/>
      <c r="BH135" s="265" t="s">
        <v>362</v>
      </c>
      <c r="BI135" s="249" t="s">
        <v>357</v>
      </c>
      <c r="BJ135" s="243"/>
      <c r="BK135" s="298" t="s">
        <v>362</v>
      </c>
      <c r="BL135" s="327" t="s">
        <v>347</v>
      </c>
      <c r="BM135" s="264"/>
      <c r="BN135" s="329" t="s">
        <v>458</v>
      </c>
    </row>
    <row r="136" customFormat="false" ht="17.25" hidden="false" customHeight="true" outlineLevel="0" collapsed="false">
      <c r="B136" s="322"/>
      <c r="C136" s="271" t="s">
        <v>460</v>
      </c>
      <c r="D136" s="343"/>
      <c r="E136" s="343" t="s">
        <v>448</v>
      </c>
      <c r="F136" s="268"/>
      <c r="G136" s="224" t="s">
        <v>449</v>
      </c>
      <c r="H136" s="225"/>
      <c r="I136" s="226" t="s">
        <v>276</v>
      </c>
      <c r="J136" s="222" t="s">
        <v>55</v>
      </c>
      <c r="K136" s="229"/>
      <c r="L136" s="223" t="s">
        <v>55</v>
      </c>
      <c r="M136" s="224" t="s">
        <v>55</v>
      </c>
      <c r="N136" s="225"/>
      <c r="O136" s="226" t="s">
        <v>55</v>
      </c>
      <c r="P136" s="224" t="s">
        <v>55</v>
      </c>
      <c r="Q136" s="225"/>
      <c r="R136" s="227" t="s">
        <v>55</v>
      </c>
      <c r="S136" s="228" t="s">
        <v>277</v>
      </c>
      <c r="T136" s="229"/>
      <c r="U136" s="230" t="s">
        <v>303</v>
      </c>
      <c r="V136" s="231" t="s">
        <v>314</v>
      </c>
      <c r="W136" s="225"/>
      <c r="X136" s="227" t="s">
        <v>407</v>
      </c>
      <c r="Y136" s="337" t="s">
        <v>304</v>
      </c>
      <c r="Z136" s="338"/>
      <c r="AA136" s="339" t="s">
        <v>451</v>
      </c>
      <c r="AB136" s="231" t="s">
        <v>304</v>
      </c>
      <c r="AC136" s="225"/>
      <c r="AD136" s="227" t="s">
        <v>451</v>
      </c>
      <c r="AE136" s="344" t="s">
        <v>439</v>
      </c>
      <c r="AF136" s="229"/>
      <c r="AG136" s="230" t="s">
        <v>452</v>
      </c>
      <c r="AH136" s="224" t="s">
        <v>439</v>
      </c>
      <c r="AI136" s="225"/>
      <c r="AJ136" s="227" t="s">
        <v>453</v>
      </c>
      <c r="AK136" s="249" t="s">
        <v>362</v>
      </c>
      <c r="AL136" s="243"/>
      <c r="AM136" s="341" t="s">
        <v>454</v>
      </c>
      <c r="AN136" s="342" t="s">
        <v>455</v>
      </c>
      <c r="AO136" s="229"/>
      <c r="AP136" s="339" t="s">
        <v>439</v>
      </c>
      <c r="AQ136" s="335" t="s">
        <v>439</v>
      </c>
      <c r="AR136" s="225"/>
      <c r="AS136" s="336" t="s">
        <v>455</v>
      </c>
      <c r="AT136" s="222" t="s">
        <v>68</v>
      </c>
      <c r="AU136" s="229"/>
      <c r="AV136" s="230" t="s">
        <v>68</v>
      </c>
      <c r="AW136" s="224" t="s">
        <v>68</v>
      </c>
      <c r="AX136" s="225"/>
      <c r="AY136" s="227" t="s">
        <v>68</v>
      </c>
      <c r="AZ136" s="222" t="s">
        <v>456</v>
      </c>
      <c r="BA136" s="229"/>
      <c r="BB136" s="230" t="s">
        <v>452</v>
      </c>
      <c r="BC136" s="231" t="s">
        <v>68</v>
      </c>
      <c r="BD136" s="225"/>
      <c r="BE136" s="227" t="s">
        <v>68</v>
      </c>
      <c r="BF136" s="263" t="s">
        <v>457</v>
      </c>
      <c r="BG136" s="264"/>
      <c r="BH136" s="265" t="s">
        <v>362</v>
      </c>
      <c r="BI136" s="296" t="s">
        <v>357</v>
      </c>
      <c r="BJ136" s="243"/>
      <c r="BK136" s="298" t="s">
        <v>362</v>
      </c>
      <c r="BL136" s="327" t="s">
        <v>347</v>
      </c>
      <c r="BM136" s="264"/>
      <c r="BN136" s="329" t="s">
        <v>458</v>
      </c>
    </row>
    <row r="137" customFormat="false" ht="17.25" hidden="false" customHeight="true" outlineLevel="0" collapsed="false">
      <c r="B137" s="322"/>
      <c r="C137" s="271"/>
      <c r="D137" s="345"/>
      <c r="E137" s="345" t="s">
        <v>459</v>
      </c>
      <c r="F137" s="346"/>
      <c r="G137" s="277" t="s">
        <v>449</v>
      </c>
      <c r="H137" s="278"/>
      <c r="I137" s="279" t="s">
        <v>276</v>
      </c>
      <c r="J137" s="282" t="s">
        <v>55</v>
      </c>
      <c r="K137" s="281"/>
      <c r="L137" s="276" t="s">
        <v>55</v>
      </c>
      <c r="M137" s="277" t="s">
        <v>55</v>
      </c>
      <c r="N137" s="278"/>
      <c r="O137" s="279" t="s">
        <v>55</v>
      </c>
      <c r="P137" s="277" t="s">
        <v>55</v>
      </c>
      <c r="Q137" s="278"/>
      <c r="R137" s="280" t="s">
        <v>55</v>
      </c>
      <c r="S137" s="315" t="s">
        <v>277</v>
      </c>
      <c r="T137" s="281"/>
      <c r="U137" s="283" t="s">
        <v>303</v>
      </c>
      <c r="V137" s="317" t="s">
        <v>314</v>
      </c>
      <c r="W137" s="278"/>
      <c r="X137" s="280" t="s">
        <v>407</v>
      </c>
      <c r="Y137" s="337" t="s">
        <v>304</v>
      </c>
      <c r="Z137" s="338"/>
      <c r="AA137" s="339" t="s">
        <v>451</v>
      </c>
      <c r="AB137" s="317" t="s">
        <v>304</v>
      </c>
      <c r="AC137" s="278"/>
      <c r="AD137" s="280" t="s">
        <v>451</v>
      </c>
      <c r="AE137" s="347" t="s">
        <v>439</v>
      </c>
      <c r="AF137" s="281"/>
      <c r="AG137" s="283" t="s">
        <v>452</v>
      </c>
      <c r="AH137" s="277" t="s">
        <v>439</v>
      </c>
      <c r="AI137" s="278"/>
      <c r="AJ137" s="280" t="s">
        <v>453</v>
      </c>
      <c r="AK137" s="287" t="s">
        <v>362</v>
      </c>
      <c r="AL137" s="288"/>
      <c r="AM137" s="341" t="s">
        <v>454</v>
      </c>
      <c r="AN137" s="342" t="s">
        <v>455</v>
      </c>
      <c r="AO137" s="281"/>
      <c r="AP137" s="339" t="s">
        <v>439</v>
      </c>
      <c r="AQ137" s="335" t="s">
        <v>439</v>
      </c>
      <c r="AR137" s="278"/>
      <c r="AS137" s="336" t="s">
        <v>455</v>
      </c>
      <c r="AT137" s="282" t="s">
        <v>68</v>
      </c>
      <c r="AU137" s="281"/>
      <c r="AV137" s="283" t="s">
        <v>68</v>
      </c>
      <c r="AW137" s="277" t="s">
        <v>68</v>
      </c>
      <c r="AX137" s="278"/>
      <c r="AY137" s="280" t="s">
        <v>68</v>
      </c>
      <c r="AZ137" s="282" t="s">
        <v>456</v>
      </c>
      <c r="BA137" s="281"/>
      <c r="BB137" s="283" t="s">
        <v>452</v>
      </c>
      <c r="BC137" s="317" t="s">
        <v>68</v>
      </c>
      <c r="BD137" s="278"/>
      <c r="BE137" s="280" t="s">
        <v>68</v>
      </c>
      <c r="BF137" s="284" t="s">
        <v>457</v>
      </c>
      <c r="BG137" s="285"/>
      <c r="BH137" s="286" t="s">
        <v>362</v>
      </c>
      <c r="BI137" s="249" t="s">
        <v>357</v>
      </c>
      <c r="BJ137" s="288"/>
      <c r="BK137" s="298" t="s">
        <v>362</v>
      </c>
      <c r="BL137" s="327" t="s">
        <v>347</v>
      </c>
      <c r="BM137" s="264"/>
      <c r="BN137" s="329" t="s">
        <v>458</v>
      </c>
    </row>
    <row r="138" customFormat="false" ht="17.25" hidden="false" customHeight="true" outlineLevel="0" collapsed="false">
      <c r="B138" s="348" t="s">
        <v>120</v>
      </c>
      <c r="C138" s="291" t="s">
        <v>102</v>
      </c>
      <c r="D138" s="293"/>
      <c r="E138" s="293"/>
      <c r="F138" s="349"/>
      <c r="G138" s="203" t="s">
        <v>461</v>
      </c>
      <c r="H138" s="204"/>
      <c r="I138" s="208" t="s">
        <v>420</v>
      </c>
      <c r="J138" s="205" t="s">
        <v>55</v>
      </c>
      <c r="K138" s="211"/>
      <c r="L138" s="206" t="s">
        <v>55</v>
      </c>
      <c r="M138" s="203" t="s">
        <v>55</v>
      </c>
      <c r="N138" s="204"/>
      <c r="O138" s="208" t="s">
        <v>55</v>
      </c>
      <c r="P138" s="203" t="s">
        <v>55</v>
      </c>
      <c r="Q138" s="204"/>
      <c r="R138" s="209" t="s">
        <v>55</v>
      </c>
      <c r="S138" s="210" t="s">
        <v>276</v>
      </c>
      <c r="T138" s="211"/>
      <c r="U138" s="212" t="s">
        <v>276</v>
      </c>
      <c r="V138" s="213" t="s">
        <v>276</v>
      </c>
      <c r="W138" s="204"/>
      <c r="X138" s="209" t="s">
        <v>276</v>
      </c>
      <c r="Y138" s="214" t="s">
        <v>68</v>
      </c>
      <c r="Z138" s="211"/>
      <c r="AA138" s="212" t="s">
        <v>68</v>
      </c>
      <c r="AB138" s="213" t="s">
        <v>68</v>
      </c>
      <c r="AC138" s="204"/>
      <c r="AD138" s="209" t="s">
        <v>68</v>
      </c>
      <c r="AE138" s="205" t="s">
        <v>68</v>
      </c>
      <c r="AF138" s="211"/>
      <c r="AG138" s="212" t="s">
        <v>68</v>
      </c>
      <c r="AH138" s="203" t="s">
        <v>68</v>
      </c>
      <c r="AI138" s="204"/>
      <c r="AJ138" s="209" t="s">
        <v>68</v>
      </c>
      <c r="AK138" s="296" t="s">
        <v>462</v>
      </c>
      <c r="AL138" s="297"/>
      <c r="AM138" s="298" t="s">
        <v>463</v>
      </c>
      <c r="AN138" s="205" t="s">
        <v>464</v>
      </c>
      <c r="AO138" s="211"/>
      <c r="AP138" s="212" t="s">
        <v>464</v>
      </c>
      <c r="AQ138" s="213" t="s">
        <v>68</v>
      </c>
      <c r="AR138" s="204"/>
      <c r="AS138" s="209" t="s">
        <v>68</v>
      </c>
      <c r="AT138" s="236" t="s">
        <v>68</v>
      </c>
      <c r="AU138" s="233"/>
      <c r="AV138" s="234" t="s">
        <v>68</v>
      </c>
      <c r="AW138" s="219" t="s">
        <v>68</v>
      </c>
      <c r="AX138" s="220"/>
      <c r="AY138" s="221" t="s">
        <v>68</v>
      </c>
      <c r="AZ138" s="236" t="s">
        <v>68</v>
      </c>
      <c r="BA138" s="233"/>
      <c r="BB138" s="234" t="s">
        <v>68</v>
      </c>
      <c r="BC138" s="213" t="s">
        <v>68</v>
      </c>
      <c r="BD138" s="204"/>
      <c r="BE138" s="209" t="s">
        <v>68</v>
      </c>
      <c r="BF138" s="327" t="s">
        <v>68</v>
      </c>
      <c r="BG138" s="328"/>
      <c r="BH138" s="329" t="s">
        <v>68</v>
      </c>
      <c r="BI138" s="296" t="s">
        <v>68</v>
      </c>
      <c r="BJ138" s="297"/>
      <c r="BK138" s="298" t="s">
        <v>68</v>
      </c>
      <c r="BL138" s="327" t="s">
        <v>68</v>
      </c>
      <c r="BM138" s="328"/>
      <c r="BN138" s="329" t="s">
        <v>68</v>
      </c>
    </row>
    <row r="139" customFormat="false" ht="17.25" hidden="false" customHeight="true" outlineLevel="0" collapsed="false">
      <c r="B139" s="348"/>
      <c r="C139" s="301" t="s">
        <v>465</v>
      </c>
      <c r="D139" s="306"/>
      <c r="E139" s="306"/>
      <c r="F139" s="350"/>
      <c r="G139" s="224" t="s">
        <v>55</v>
      </c>
      <c r="H139" s="225"/>
      <c r="I139" s="226" t="s">
        <v>55</v>
      </c>
      <c r="J139" s="222" t="s">
        <v>55</v>
      </c>
      <c r="K139" s="229"/>
      <c r="L139" s="223" t="s">
        <v>55</v>
      </c>
      <c r="M139" s="224" t="s">
        <v>55</v>
      </c>
      <c r="N139" s="225"/>
      <c r="O139" s="226" t="s">
        <v>55</v>
      </c>
      <c r="P139" s="224" t="s">
        <v>55</v>
      </c>
      <c r="Q139" s="225"/>
      <c r="R139" s="227" t="s">
        <v>55</v>
      </c>
      <c r="S139" s="228" t="s">
        <v>68</v>
      </c>
      <c r="T139" s="229"/>
      <c r="U139" s="230" t="s">
        <v>68</v>
      </c>
      <c r="V139" s="231" t="s">
        <v>276</v>
      </c>
      <c r="W139" s="225"/>
      <c r="X139" s="227" t="s">
        <v>276</v>
      </c>
      <c r="Y139" s="237" t="s">
        <v>68</v>
      </c>
      <c r="Z139" s="229"/>
      <c r="AA139" s="230" t="s">
        <v>68</v>
      </c>
      <c r="AB139" s="231" t="s">
        <v>68</v>
      </c>
      <c r="AC139" s="225"/>
      <c r="AD139" s="227" t="s">
        <v>68</v>
      </c>
      <c r="AE139" s="222" t="s">
        <v>68</v>
      </c>
      <c r="AF139" s="229"/>
      <c r="AG139" s="230" t="s">
        <v>68</v>
      </c>
      <c r="AH139" s="224" t="s">
        <v>68</v>
      </c>
      <c r="AI139" s="225"/>
      <c r="AJ139" s="227" t="s">
        <v>68</v>
      </c>
      <c r="AK139" s="249" t="s">
        <v>68</v>
      </c>
      <c r="AL139" s="243"/>
      <c r="AM139" s="266" t="s">
        <v>68</v>
      </c>
      <c r="AN139" s="222" t="s">
        <v>464</v>
      </c>
      <c r="AO139" s="229"/>
      <c r="AP139" s="230" t="s">
        <v>464</v>
      </c>
      <c r="AQ139" s="231" t="s">
        <v>68</v>
      </c>
      <c r="AR139" s="225"/>
      <c r="AS139" s="227" t="s">
        <v>68</v>
      </c>
      <c r="AT139" s="222" t="s">
        <v>68</v>
      </c>
      <c r="AU139" s="229"/>
      <c r="AV139" s="230" t="s">
        <v>68</v>
      </c>
      <c r="AW139" s="224" t="s">
        <v>68</v>
      </c>
      <c r="AX139" s="225"/>
      <c r="AY139" s="227" t="s">
        <v>68</v>
      </c>
      <c r="AZ139" s="222" t="s">
        <v>68</v>
      </c>
      <c r="BA139" s="229"/>
      <c r="BB139" s="230" t="s">
        <v>68</v>
      </c>
      <c r="BC139" s="231" t="s">
        <v>68</v>
      </c>
      <c r="BD139" s="225"/>
      <c r="BE139" s="227" t="s">
        <v>68</v>
      </c>
      <c r="BF139" s="263" t="s">
        <v>68</v>
      </c>
      <c r="BG139" s="264"/>
      <c r="BH139" s="265" t="s">
        <v>68</v>
      </c>
      <c r="BI139" s="249" t="s">
        <v>68</v>
      </c>
      <c r="BJ139" s="243"/>
      <c r="BK139" s="266" t="s">
        <v>68</v>
      </c>
      <c r="BL139" s="263" t="s">
        <v>68</v>
      </c>
      <c r="BM139" s="264"/>
      <c r="BN139" s="265" t="s">
        <v>68</v>
      </c>
    </row>
    <row r="140" customFormat="false" ht="17.25" hidden="false" customHeight="true" outlineLevel="0" collapsed="false">
      <c r="B140" s="348"/>
      <c r="C140" s="301" t="s">
        <v>374</v>
      </c>
      <c r="D140" s="306"/>
      <c r="E140" s="306"/>
      <c r="F140" s="350"/>
      <c r="G140" s="224" t="s">
        <v>55</v>
      </c>
      <c r="H140" s="225"/>
      <c r="I140" s="226" t="s">
        <v>55</v>
      </c>
      <c r="J140" s="222" t="s">
        <v>55</v>
      </c>
      <c r="K140" s="229"/>
      <c r="L140" s="223" t="s">
        <v>55</v>
      </c>
      <c r="M140" s="224" t="s">
        <v>55</v>
      </c>
      <c r="N140" s="225"/>
      <c r="O140" s="226" t="s">
        <v>55</v>
      </c>
      <c r="P140" s="224" t="s">
        <v>55</v>
      </c>
      <c r="Q140" s="225"/>
      <c r="R140" s="227" t="s">
        <v>55</v>
      </c>
      <c r="S140" s="228" t="s">
        <v>68</v>
      </c>
      <c r="T140" s="229"/>
      <c r="U140" s="230" t="s">
        <v>68</v>
      </c>
      <c r="V140" s="231" t="s">
        <v>276</v>
      </c>
      <c r="W140" s="225"/>
      <c r="X140" s="227" t="s">
        <v>276</v>
      </c>
      <c r="Y140" s="237" t="s">
        <v>68</v>
      </c>
      <c r="Z140" s="229"/>
      <c r="AA140" s="230" t="s">
        <v>68</v>
      </c>
      <c r="AB140" s="231" t="s">
        <v>68</v>
      </c>
      <c r="AC140" s="225"/>
      <c r="AD140" s="227" t="s">
        <v>68</v>
      </c>
      <c r="AE140" s="222" t="s">
        <v>68</v>
      </c>
      <c r="AF140" s="229"/>
      <c r="AG140" s="230" t="s">
        <v>68</v>
      </c>
      <c r="AH140" s="224" t="s">
        <v>68</v>
      </c>
      <c r="AI140" s="225"/>
      <c r="AJ140" s="227" t="s">
        <v>68</v>
      </c>
      <c r="AK140" s="249" t="s">
        <v>68</v>
      </c>
      <c r="AL140" s="243"/>
      <c r="AM140" s="266" t="s">
        <v>68</v>
      </c>
      <c r="AN140" s="222" t="s">
        <v>464</v>
      </c>
      <c r="AO140" s="229"/>
      <c r="AP140" s="230" t="s">
        <v>464</v>
      </c>
      <c r="AQ140" s="231" t="s">
        <v>68</v>
      </c>
      <c r="AR140" s="225"/>
      <c r="AS140" s="227" t="s">
        <v>68</v>
      </c>
      <c r="AT140" s="222" t="s">
        <v>68</v>
      </c>
      <c r="AU140" s="229"/>
      <c r="AV140" s="230" t="s">
        <v>68</v>
      </c>
      <c r="AW140" s="224" t="s">
        <v>68</v>
      </c>
      <c r="AX140" s="225"/>
      <c r="AY140" s="227" t="s">
        <v>68</v>
      </c>
      <c r="AZ140" s="222" t="s">
        <v>68</v>
      </c>
      <c r="BA140" s="229"/>
      <c r="BB140" s="230" t="s">
        <v>68</v>
      </c>
      <c r="BC140" s="231" t="s">
        <v>68</v>
      </c>
      <c r="BD140" s="225"/>
      <c r="BE140" s="227" t="s">
        <v>68</v>
      </c>
      <c r="BF140" s="263" t="s">
        <v>68</v>
      </c>
      <c r="BG140" s="264"/>
      <c r="BH140" s="265" t="s">
        <v>68</v>
      </c>
      <c r="BI140" s="249" t="s">
        <v>68</v>
      </c>
      <c r="BJ140" s="243"/>
      <c r="BK140" s="266" t="s">
        <v>68</v>
      </c>
      <c r="BL140" s="263" t="s">
        <v>68</v>
      </c>
      <c r="BM140" s="264"/>
      <c r="BN140" s="265" t="s">
        <v>68</v>
      </c>
    </row>
    <row r="141" customFormat="false" ht="17.25" hidden="false" customHeight="true" outlineLevel="0" collapsed="false">
      <c r="B141" s="348"/>
      <c r="C141" s="313" t="s">
        <v>466</v>
      </c>
      <c r="D141" s="314"/>
      <c r="E141" s="314"/>
      <c r="F141" s="351"/>
      <c r="G141" s="277" t="s">
        <v>55</v>
      </c>
      <c r="H141" s="278"/>
      <c r="I141" s="279" t="s">
        <v>55</v>
      </c>
      <c r="J141" s="282" t="s">
        <v>55</v>
      </c>
      <c r="K141" s="281"/>
      <c r="L141" s="276" t="s">
        <v>55</v>
      </c>
      <c r="M141" s="277" t="s">
        <v>55</v>
      </c>
      <c r="N141" s="278"/>
      <c r="O141" s="279" t="s">
        <v>55</v>
      </c>
      <c r="P141" s="277" t="s">
        <v>55</v>
      </c>
      <c r="Q141" s="278"/>
      <c r="R141" s="280" t="s">
        <v>55</v>
      </c>
      <c r="S141" s="228" t="s">
        <v>68</v>
      </c>
      <c r="T141" s="281"/>
      <c r="U141" s="230" t="s">
        <v>68</v>
      </c>
      <c r="V141" s="317" t="s">
        <v>276</v>
      </c>
      <c r="W141" s="278"/>
      <c r="X141" s="280" t="s">
        <v>276</v>
      </c>
      <c r="Y141" s="316" t="s">
        <v>68</v>
      </c>
      <c r="Z141" s="281"/>
      <c r="AA141" s="283" t="s">
        <v>68</v>
      </c>
      <c r="AB141" s="317" t="s">
        <v>68</v>
      </c>
      <c r="AC141" s="278"/>
      <c r="AD141" s="280" t="s">
        <v>68</v>
      </c>
      <c r="AE141" s="282" t="s">
        <v>68</v>
      </c>
      <c r="AF141" s="281"/>
      <c r="AG141" s="283" t="s">
        <v>68</v>
      </c>
      <c r="AH141" s="277" t="s">
        <v>68</v>
      </c>
      <c r="AI141" s="278"/>
      <c r="AJ141" s="280" t="s">
        <v>68</v>
      </c>
      <c r="AK141" s="249" t="s">
        <v>68</v>
      </c>
      <c r="AL141" s="288"/>
      <c r="AM141" s="266" t="s">
        <v>68</v>
      </c>
      <c r="AN141" s="282" t="s">
        <v>68</v>
      </c>
      <c r="AO141" s="281"/>
      <c r="AP141" s="283" t="s">
        <v>68</v>
      </c>
      <c r="AQ141" s="317" t="s">
        <v>68</v>
      </c>
      <c r="AR141" s="278"/>
      <c r="AS141" s="280" t="s">
        <v>68</v>
      </c>
      <c r="AT141" s="257" t="s">
        <v>68</v>
      </c>
      <c r="AU141" s="255"/>
      <c r="AV141" s="258" t="s">
        <v>68</v>
      </c>
      <c r="AW141" s="259" t="s">
        <v>68</v>
      </c>
      <c r="AX141" s="252"/>
      <c r="AY141" s="253" t="s">
        <v>68</v>
      </c>
      <c r="AZ141" s="257" t="s">
        <v>68</v>
      </c>
      <c r="BA141" s="255"/>
      <c r="BB141" s="258" t="s">
        <v>68</v>
      </c>
      <c r="BC141" s="317" t="s">
        <v>68</v>
      </c>
      <c r="BD141" s="278"/>
      <c r="BE141" s="280" t="s">
        <v>68</v>
      </c>
      <c r="BF141" s="284" t="s">
        <v>68</v>
      </c>
      <c r="BG141" s="285"/>
      <c r="BH141" s="286" t="s">
        <v>68</v>
      </c>
      <c r="BI141" s="287" t="s">
        <v>68</v>
      </c>
      <c r="BJ141" s="288"/>
      <c r="BK141" s="289" t="s">
        <v>68</v>
      </c>
      <c r="BL141" s="284" t="s">
        <v>68</v>
      </c>
      <c r="BM141" s="285"/>
      <c r="BN141" s="286" t="s">
        <v>68</v>
      </c>
    </row>
    <row r="142" customFormat="false" ht="17.25" hidden="false" customHeight="true" outlineLevel="0" collapsed="false">
      <c r="B142" s="322" t="s">
        <v>122</v>
      </c>
      <c r="C142" s="199" t="s">
        <v>103</v>
      </c>
      <c r="D142" s="324"/>
      <c r="E142" s="324"/>
      <c r="F142" s="352"/>
      <c r="G142" s="203" t="s">
        <v>55</v>
      </c>
      <c r="H142" s="204"/>
      <c r="I142" s="208" t="s">
        <v>55</v>
      </c>
      <c r="J142" s="205" t="s">
        <v>55</v>
      </c>
      <c r="K142" s="211"/>
      <c r="L142" s="206" t="s">
        <v>55</v>
      </c>
      <c r="M142" s="203" t="s">
        <v>55</v>
      </c>
      <c r="N142" s="204"/>
      <c r="O142" s="208" t="s">
        <v>55</v>
      </c>
      <c r="P142" s="203" t="s">
        <v>55</v>
      </c>
      <c r="Q142" s="204"/>
      <c r="R142" s="209" t="s">
        <v>55</v>
      </c>
      <c r="S142" s="295" t="s">
        <v>276</v>
      </c>
      <c r="T142" s="233"/>
      <c r="U142" s="234" t="s">
        <v>276</v>
      </c>
      <c r="V142" s="213" t="s">
        <v>68</v>
      </c>
      <c r="W142" s="204"/>
      <c r="X142" s="209" t="s">
        <v>68</v>
      </c>
      <c r="Y142" s="214" t="s">
        <v>68</v>
      </c>
      <c r="Z142" s="211"/>
      <c r="AA142" s="212" t="s">
        <v>68</v>
      </c>
      <c r="AB142" s="213" t="s">
        <v>68</v>
      </c>
      <c r="AC142" s="204"/>
      <c r="AD142" s="209" t="s">
        <v>68</v>
      </c>
      <c r="AE142" s="205" t="s">
        <v>68</v>
      </c>
      <c r="AF142" s="211"/>
      <c r="AG142" s="212" t="s">
        <v>68</v>
      </c>
      <c r="AH142" s="203" t="s">
        <v>68</v>
      </c>
      <c r="AI142" s="204"/>
      <c r="AJ142" s="209" t="s">
        <v>68</v>
      </c>
      <c r="AK142" s="296" t="s">
        <v>354</v>
      </c>
      <c r="AL142" s="297"/>
      <c r="AM142" s="298" t="s">
        <v>467</v>
      </c>
      <c r="AN142" s="205" t="s">
        <v>68</v>
      </c>
      <c r="AO142" s="211"/>
      <c r="AP142" s="212" t="s">
        <v>68</v>
      </c>
      <c r="AQ142" s="213" t="s">
        <v>278</v>
      </c>
      <c r="AR142" s="204"/>
      <c r="AS142" s="209" t="s">
        <v>278</v>
      </c>
      <c r="AT142" s="205" t="s">
        <v>68</v>
      </c>
      <c r="AU142" s="211"/>
      <c r="AV142" s="212" t="s">
        <v>68</v>
      </c>
      <c r="AW142" s="203" t="s">
        <v>68</v>
      </c>
      <c r="AX142" s="204"/>
      <c r="AY142" s="209" t="s">
        <v>68</v>
      </c>
      <c r="AZ142" s="205" t="s">
        <v>68</v>
      </c>
      <c r="BA142" s="211"/>
      <c r="BB142" s="212" t="s">
        <v>68</v>
      </c>
      <c r="BC142" s="213" t="s">
        <v>68</v>
      </c>
      <c r="BD142" s="204"/>
      <c r="BE142" s="209" t="s">
        <v>68</v>
      </c>
      <c r="BF142" s="353" t="s">
        <v>68</v>
      </c>
      <c r="BG142" s="354"/>
      <c r="BH142" s="355" t="s">
        <v>68</v>
      </c>
      <c r="BI142" s="242" t="s">
        <v>68</v>
      </c>
      <c r="BJ142" s="300"/>
      <c r="BK142" s="244" t="s">
        <v>68</v>
      </c>
      <c r="BL142" s="353" t="s">
        <v>68</v>
      </c>
      <c r="BM142" s="354"/>
      <c r="BN142" s="355" t="s">
        <v>68</v>
      </c>
    </row>
    <row r="143" customFormat="false" ht="17.25" hidden="false" customHeight="true" outlineLevel="0" collapsed="false">
      <c r="B143" s="322"/>
      <c r="C143" s="271" t="s">
        <v>443</v>
      </c>
      <c r="D143" s="345"/>
      <c r="E143" s="345"/>
      <c r="F143" s="356"/>
      <c r="G143" s="277" t="s">
        <v>55</v>
      </c>
      <c r="H143" s="278"/>
      <c r="I143" s="279" t="s">
        <v>55</v>
      </c>
      <c r="J143" s="282" t="s">
        <v>468</v>
      </c>
      <c r="K143" s="281"/>
      <c r="L143" s="276" t="s">
        <v>468</v>
      </c>
      <c r="M143" s="277" t="s">
        <v>468</v>
      </c>
      <c r="N143" s="278"/>
      <c r="O143" s="279" t="s">
        <v>468</v>
      </c>
      <c r="P143" s="277" t="s">
        <v>468</v>
      </c>
      <c r="Q143" s="278"/>
      <c r="R143" s="280" t="s">
        <v>468</v>
      </c>
      <c r="S143" s="295" t="s">
        <v>276</v>
      </c>
      <c r="T143" s="233"/>
      <c r="U143" s="234" t="s">
        <v>276</v>
      </c>
      <c r="V143" s="256" t="s">
        <v>68</v>
      </c>
      <c r="W143" s="252"/>
      <c r="X143" s="253" t="s">
        <v>68</v>
      </c>
      <c r="Y143" s="316" t="s">
        <v>68</v>
      </c>
      <c r="Z143" s="281"/>
      <c r="AA143" s="283" t="s">
        <v>68</v>
      </c>
      <c r="AB143" s="317" t="s">
        <v>68</v>
      </c>
      <c r="AC143" s="278"/>
      <c r="AD143" s="280" t="s">
        <v>68</v>
      </c>
      <c r="AE143" s="282" t="s">
        <v>68</v>
      </c>
      <c r="AF143" s="281"/>
      <c r="AG143" s="283" t="s">
        <v>68</v>
      </c>
      <c r="AH143" s="277" t="s">
        <v>68</v>
      </c>
      <c r="AI143" s="278"/>
      <c r="AJ143" s="280" t="s">
        <v>68</v>
      </c>
      <c r="AK143" s="287" t="s">
        <v>467</v>
      </c>
      <c r="AL143" s="288"/>
      <c r="AM143" s="289" t="s">
        <v>354</v>
      </c>
      <c r="AN143" s="282" t="s">
        <v>289</v>
      </c>
      <c r="AO143" s="281"/>
      <c r="AP143" s="283" t="s">
        <v>464</v>
      </c>
      <c r="AQ143" s="317" t="s">
        <v>68</v>
      </c>
      <c r="AR143" s="278"/>
      <c r="AS143" s="280" t="s">
        <v>68</v>
      </c>
      <c r="AT143" s="282" t="s">
        <v>68</v>
      </c>
      <c r="AU143" s="281"/>
      <c r="AV143" s="283" t="s">
        <v>68</v>
      </c>
      <c r="AW143" s="277" t="s">
        <v>68</v>
      </c>
      <c r="AX143" s="278"/>
      <c r="AY143" s="280" t="s">
        <v>68</v>
      </c>
      <c r="AZ143" s="282" t="s">
        <v>68</v>
      </c>
      <c r="BA143" s="281"/>
      <c r="BB143" s="283" t="s">
        <v>68</v>
      </c>
      <c r="BC143" s="317" t="s">
        <v>68</v>
      </c>
      <c r="BD143" s="278"/>
      <c r="BE143" s="280" t="s">
        <v>68</v>
      </c>
      <c r="BF143" s="284" t="s">
        <v>68</v>
      </c>
      <c r="BG143" s="285"/>
      <c r="BH143" s="286" t="s">
        <v>68</v>
      </c>
      <c r="BI143" s="287" t="s">
        <v>68</v>
      </c>
      <c r="BJ143" s="288"/>
      <c r="BK143" s="289" t="s">
        <v>68</v>
      </c>
      <c r="BL143" s="284" t="s">
        <v>68</v>
      </c>
      <c r="BM143" s="285"/>
      <c r="BN143" s="286" t="s">
        <v>68</v>
      </c>
    </row>
    <row r="144" customFormat="false" ht="17.25" hidden="false" customHeight="true" outlineLevel="0" collapsed="false">
      <c r="B144" s="348" t="s">
        <v>123</v>
      </c>
      <c r="C144" s="291" t="s">
        <v>469</v>
      </c>
      <c r="D144" s="292"/>
      <c r="E144" s="293" t="s">
        <v>470</v>
      </c>
      <c r="F144" s="294" t="s">
        <v>125</v>
      </c>
      <c r="G144" s="203" t="s">
        <v>420</v>
      </c>
      <c r="H144" s="204"/>
      <c r="I144" s="208" t="s">
        <v>420</v>
      </c>
      <c r="J144" s="205" t="s">
        <v>55</v>
      </c>
      <c r="K144" s="211"/>
      <c r="L144" s="206" t="s">
        <v>55</v>
      </c>
      <c r="M144" s="203" t="s">
        <v>55</v>
      </c>
      <c r="N144" s="204"/>
      <c r="O144" s="208" t="s">
        <v>55</v>
      </c>
      <c r="P144" s="203" t="s">
        <v>55</v>
      </c>
      <c r="Q144" s="204"/>
      <c r="R144" s="209" t="s">
        <v>55</v>
      </c>
      <c r="S144" s="210" t="s">
        <v>471</v>
      </c>
      <c r="T144" s="211"/>
      <c r="U144" s="357" t="s">
        <v>471</v>
      </c>
      <c r="V144" s="213" t="s">
        <v>68</v>
      </c>
      <c r="W144" s="204"/>
      <c r="X144" s="209" t="s">
        <v>68</v>
      </c>
      <c r="Y144" s="358" t="s">
        <v>68</v>
      </c>
      <c r="Z144" s="211"/>
      <c r="AA144" s="212" t="s">
        <v>68</v>
      </c>
      <c r="AB144" s="213" t="s">
        <v>68</v>
      </c>
      <c r="AC144" s="204"/>
      <c r="AD144" s="209" t="s">
        <v>68</v>
      </c>
      <c r="AE144" s="205" t="s">
        <v>68</v>
      </c>
      <c r="AF144" s="211"/>
      <c r="AG144" s="212" t="s">
        <v>68</v>
      </c>
      <c r="AH144" s="203" t="s">
        <v>68</v>
      </c>
      <c r="AI144" s="204"/>
      <c r="AJ144" s="209" t="s">
        <v>68</v>
      </c>
      <c r="AK144" s="296" t="s">
        <v>472</v>
      </c>
      <c r="AL144" s="297"/>
      <c r="AM144" s="298" t="s">
        <v>473</v>
      </c>
      <c r="AN144" s="326" t="s">
        <v>474</v>
      </c>
      <c r="AO144" s="211"/>
      <c r="AP144" s="212" t="s">
        <v>475</v>
      </c>
      <c r="AQ144" s="213" t="s">
        <v>474</v>
      </c>
      <c r="AR144" s="204"/>
      <c r="AS144" s="209" t="s">
        <v>475</v>
      </c>
      <c r="AT144" s="236" t="s">
        <v>68</v>
      </c>
      <c r="AU144" s="233"/>
      <c r="AV144" s="234" t="s">
        <v>68</v>
      </c>
      <c r="AW144" s="219" t="s">
        <v>68</v>
      </c>
      <c r="AX144" s="220"/>
      <c r="AY144" s="221" t="s">
        <v>68</v>
      </c>
      <c r="AZ144" s="236" t="s">
        <v>68</v>
      </c>
      <c r="BA144" s="233"/>
      <c r="BB144" s="234" t="s">
        <v>68</v>
      </c>
      <c r="BC144" s="213" t="s">
        <v>68</v>
      </c>
      <c r="BD144" s="204"/>
      <c r="BE144" s="209" t="s">
        <v>68</v>
      </c>
      <c r="BF144" s="353" t="s">
        <v>68</v>
      </c>
      <c r="BG144" s="354"/>
      <c r="BH144" s="355" t="s">
        <v>68</v>
      </c>
      <c r="BI144" s="242" t="s">
        <v>68</v>
      </c>
      <c r="BJ144" s="300"/>
      <c r="BK144" s="244" t="s">
        <v>68</v>
      </c>
      <c r="BL144" s="353" t="s">
        <v>68</v>
      </c>
      <c r="BM144" s="354"/>
      <c r="BN144" s="355" t="s">
        <v>68</v>
      </c>
    </row>
    <row r="145" customFormat="false" ht="17.25" hidden="false" customHeight="true" outlineLevel="0" collapsed="false">
      <c r="B145" s="348"/>
      <c r="C145" s="291"/>
      <c r="D145" s="292"/>
      <c r="E145" s="299" t="s">
        <v>476</v>
      </c>
      <c r="F145" s="294"/>
      <c r="G145" s="219" t="s">
        <v>420</v>
      </c>
      <c r="H145" s="220"/>
      <c r="I145" s="359" t="s">
        <v>420</v>
      </c>
      <c r="J145" s="222" t="s">
        <v>55</v>
      </c>
      <c r="K145" s="229"/>
      <c r="L145" s="223" t="s">
        <v>55</v>
      </c>
      <c r="M145" s="224" t="s">
        <v>55</v>
      </c>
      <c r="N145" s="225"/>
      <c r="O145" s="226" t="s">
        <v>55</v>
      </c>
      <c r="P145" s="224" t="s">
        <v>55</v>
      </c>
      <c r="Q145" s="225"/>
      <c r="R145" s="227" t="s">
        <v>55</v>
      </c>
      <c r="S145" s="295" t="s">
        <v>471</v>
      </c>
      <c r="T145" s="233"/>
      <c r="U145" s="360" t="s">
        <v>471</v>
      </c>
      <c r="V145" s="231" t="s">
        <v>68</v>
      </c>
      <c r="W145" s="225"/>
      <c r="X145" s="227" t="s">
        <v>68</v>
      </c>
      <c r="Y145" s="361" t="s">
        <v>68</v>
      </c>
      <c r="Z145" s="233"/>
      <c r="AA145" s="234" t="s">
        <v>68</v>
      </c>
      <c r="AB145" s="235" t="s">
        <v>68</v>
      </c>
      <c r="AC145" s="220"/>
      <c r="AD145" s="221" t="s">
        <v>68</v>
      </c>
      <c r="AE145" s="236" t="s">
        <v>68</v>
      </c>
      <c r="AF145" s="233"/>
      <c r="AG145" s="234" t="s">
        <v>68</v>
      </c>
      <c r="AH145" s="219" t="s">
        <v>68</v>
      </c>
      <c r="AI145" s="220"/>
      <c r="AJ145" s="221" t="s">
        <v>68</v>
      </c>
      <c r="AK145" s="249" t="s">
        <v>472</v>
      </c>
      <c r="AL145" s="300"/>
      <c r="AM145" s="266" t="s">
        <v>473</v>
      </c>
      <c r="AN145" s="362" t="s">
        <v>475</v>
      </c>
      <c r="AO145" s="233"/>
      <c r="AP145" s="234" t="s">
        <v>475</v>
      </c>
      <c r="AQ145" s="235" t="s">
        <v>475</v>
      </c>
      <c r="AR145" s="220"/>
      <c r="AS145" s="221" t="s">
        <v>475</v>
      </c>
      <c r="AT145" s="222" t="s">
        <v>68</v>
      </c>
      <c r="AU145" s="229"/>
      <c r="AV145" s="230" t="s">
        <v>68</v>
      </c>
      <c r="AW145" s="224" t="s">
        <v>68</v>
      </c>
      <c r="AX145" s="225"/>
      <c r="AY145" s="227" t="s">
        <v>68</v>
      </c>
      <c r="AZ145" s="222" t="s">
        <v>68</v>
      </c>
      <c r="BA145" s="229"/>
      <c r="BB145" s="230" t="s">
        <v>68</v>
      </c>
      <c r="BC145" s="235" t="s">
        <v>68</v>
      </c>
      <c r="BD145" s="220"/>
      <c r="BE145" s="221" t="s">
        <v>68</v>
      </c>
      <c r="BF145" s="263" t="s">
        <v>68</v>
      </c>
      <c r="BG145" s="264"/>
      <c r="BH145" s="265" t="s">
        <v>68</v>
      </c>
      <c r="BI145" s="249" t="s">
        <v>68</v>
      </c>
      <c r="BJ145" s="243"/>
      <c r="BK145" s="266" t="s">
        <v>68</v>
      </c>
      <c r="BL145" s="263" t="s">
        <v>68</v>
      </c>
      <c r="BM145" s="264"/>
      <c r="BN145" s="265" t="s">
        <v>68</v>
      </c>
    </row>
    <row r="146" customFormat="false" ht="17.25" hidden="false" customHeight="true" outlineLevel="0" collapsed="false">
      <c r="B146" s="348"/>
      <c r="C146" s="291"/>
      <c r="D146" s="292"/>
      <c r="E146" s="299" t="s">
        <v>255</v>
      </c>
      <c r="F146" s="294"/>
      <c r="G146" s="219" t="s">
        <v>420</v>
      </c>
      <c r="H146" s="220"/>
      <c r="I146" s="359" t="s">
        <v>420</v>
      </c>
      <c r="J146" s="222" t="s">
        <v>55</v>
      </c>
      <c r="K146" s="229"/>
      <c r="L146" s="223" t="s">
        <v>55</v>
      </c>
      <c r="M146" s="224" t="s">
        <v>55</v>
      </c>
      <c r="N146" s="225"/>
      <c r="O146" s="226" t="s">
        <v>55</v>
      </c>
      <c r="P146" s="224" t="s">
        <v>55</v>
      </c>
      <c r="Q146" s="225"/>
      <c r="R146" s="227" t="s">
        <v>55</v>
      </c>
      <c r="S146" s="210" t="s">
        <v>471</v>
      </c>
      <c r="T146" s="233"/>
      <c r="U146" s="357" t="s">
        <v>471</v>
      </c>
      <c r="V146" s="231" t="s">
        <v>68</v>
      </c>
      <c r="W146" s="225"/>
      <c r="X146" s="227" t="s">
        <v>68</v>
      </c>
      <c r="Y146" s="361" t="s">
        <v>68</v>
      </c>
      <c r="Z146" s="233"/>
      <c r="AA146" s="234" t="s">
        <v>68</v>
      </c>
      <c r="AB146" s="235" t="s">
        <v>68</v>
      </c>
      <c r="AC146" s="220"/>
      <c r="AD146" s="221" t="s">
        <v>68</v>
      </c>
      <c r="AE146" s="236" t="s">
        <v>68</v>
      </c>
      <c r="AF146" s="233"/>
      <c r="AG146" s="234" t="s">
        <v>68</v>
      </c>
      <c r="AH146" s="219" t="s">
        <v>68</v>
      </c>
      <c r="AI146" s="220"/>
      <c r="AJ146" s="221" t="s">
        <v>68</v>
      </c>
      <c r="AK146" s="249" t="s">
        <v>472</v>
      </c>
      <c r="AL146" s="300"/>
      <c r="AM146" s="266" t="s">
        <v>473</v>
      </c>
      <c r="AN146" s="362" t="s">
        <v>477</v>
      </c>
      <c r="AO146" s="233"/>
      <c r="AP146" s="234" t="s">
        <v>478</v>
      </c>
      <c r="AQ146" s="235" t="s">
        <v>477</v>
      </c>
      <c r="AR146" s="220"/>
      <c r="AS146" s="221" t="s">
        <v>478</v>
      </c>
      <c r="AT146" s="222" t="s">
        <v>68</v>
      </c>
      <c r="AU146" s="229"/>
      <c r="AV146" s="230" t="s">
        <v>68</v>
      </c>
      <c r="AW146" s="224" t="s">
        <v>68</v>
      </c>
      <c r="AX146" s="225"/>
      <c r="AY146" s="227" t="s">
        <v>68</v>
      </c>
      <c r="AZ146" s="222" t="s">
        <v>68</v>
      </c>
      <c r="BA146" s="229"/>
      <c r="BB146" s="230" t="s">
        <v>68</v>
      </c>
      <c r="BC146" s="235" t="s">
        <v>68</v>
      </c>
      <c r="BD146" s="220"/>
      <c r="BE146" s="221" t="s">
        <v>68</v>
      </c>
      <c r="BF146" s="263" t="s">
        <v>68</v>
      </c>
      <c r="BG146" s="264"/>
      <c r="BH146" s="265" t="s">
        <v>68</v>
      </c>
      <c r="BI146" s="249" t="s">
        <v>68</v>
      </c>
      <c r="BJ146" s="243"/>
      <c r="BK146" s="266" t="s">
        <v>68</v>
      </c>
      <c r="BL146" s="263" t="s">
        <v>68</v>
      </c>
      <c r="BM146" s="264"/>
      <c r="BN146" s="265" t="s">
        <v>68</v>
      </c>
    </row>
    <row r="147" customFormat="false" ht="17.25" hidden="false" customHeight="true" outlineLevel="0" collapsed="false">
      <c r="B147" s="348"/>
      <c r="C147" s="291"/>
      <c r="D147" s="292"/>
      <c r="E147" s="299" t="s">
        <v>479</v>
      </c>
      <c r="F147" s="294"/>
      <c r="G147" s="219" t="s">
        <v>420</v>
      </c>
      <c r="H147" s="220"/>
      <c r="I147" s="359" t="s">
        <v>420</v>
      </c>
      <c r="J147" s="222" t="s">
        <v>55</v>
      </c>
      <c r="K147" s="229"/>
      <c r="L147" s="223" t="s">
        <v>55</v>
      </c>
      <c r="M147" s="224" t="s">
        <v>55</v>
      </c>
      <c r="N147" s="225"/>
      <c r="O147" s="226" t="s">
        <v>55</v>
      </c>
      <c r="P147" s="224" t="s">
        <v>55</v>
      </c>
      <c r="Q147" s="225"/>
      <c r="R147" s="227" t="s">
        <v>55</v>
      </c>
      <c r="S147" s="295" t="s">
        <v>471</v>
      </c>
      <c r="T147" s="233"/>
      <c r="U147" s="360" t="s">
        <v>471</v>
      </c>
      <c r="V147" s="231" t="s">
        <v>68</v>
      </c>
      <c r="W147" s="225"/>
      <c r="X147" s="227" t="s">
        <v>68</v>
      </c>
      <c r="Y147" s="361" t="s">
        <v>68</v>
      </c>
      <c r="Z147" s="233"/>
      <c r="AA147" s="234" t="s">
        <v>68</v>
      </c>
      <c r="AB147" s="235" t="s">
        <v>68</v>
      </c>
      <c r="AC147" s="220"/>
      <c r="AD147" s="221" t="s">
        <v>68</v>
      </c>
      <c r="AE147" s="236" t="s">
        <v>68</v>
      </c>
      <c r="AF147" s="233"/>
      <c r="AG147" s="234" t="s">
        <v>68</v>
      </c>
      <c r="AH147" s="219" t="s">
        <v>68</v>
      </c>
      <c r="AI147" s="220"/>
      <c r="AJ147" s="221" t="s">
        <v>68</v>
      </c>
      <c r="AK147" s="249" t="s">
        <v>472</v>
      </c>
      <c r="AL147" s="300"/>
      <c r="AM147" s="266" t="s">
        <v>473</v>
      </c>
      <c r="AN147" s="362" t="s">
        <v>480</v>
      </c>
      <c r="AO147" s="233"/>
      <c r="AP147" s="234" t="s">
        <v>480</v>
      </c>
      <c r="AQ147" s="235" t="s">
        <v>480</v>
      </c>
      <c r="AR147" s="220"/>
      <c r="AS147" s="221" t="s">
        <v>480</v>
      </c>
      <c r="AT147" s="222" t="s">
        <v>68</v>
      </c>
      <c r="AU147" s="229"/>
      <c r="AV147" s="230" t="s">
        <v>68</v>
      </c>
      <c r="AW147" s="224" t="s">
        <v>68</v>
      </c>
      <c r="AX147" s="225"/>
      <c r="AY147" s="227" t="s">
        <v>68</v>
      </c>
      <c r="AZ147" s="222" t="s">
        <v>68</v>
      </c>
      <c r="BA147" s="229"/>
      <c r="BB147" s="230" t="s">
        <v>68</v>
      </c>
      <c r="BC147" s="235" t="s">
        <v>68</v>
      </c>
      <c r="BD147" s="220"/>
      <c r="BE147" s="221" t="s">
        <v>68</v>
      </c>
      <c r="BF147" s="263" t="s">
        <v>68</v>
      </c>
      <c r="BG147" s="264"/>
      <c r="BH147" s="265" t="s">
        <v>68</v>
      </c>
      <c r="BI147" s="249" t="s">
        <v>68</v>
      </c>
      <c r="BJ147" s="243"/>
      <c r="BK147" s="266" t="s">
        <v>68</v>
      </c>
      <c r="BL147" s="263" t="s">
        <v>68</v>
      </c>
      <c r="BM147" s="264"/>
      <c r="BN147" s="265" t="s">
        <v>68</v>
      </c>
    </row>
    <row r="148" customFormat="false" ht="17.25" hidden="false" customHeight="true" outlineLevel="0" collapsed="false">
      <c r="B148" s="348"/>
      <c r="C148" s="291"/>
      <c r="D148" s="305"/>
      <c r="E148" s="299" t="s">
        <v>481</v>
      </c>
      <c r="F148" s="307" t="s">
        <v>130</v>
      </c>
      <c r="G148" s="219" t="s">
        <v>420</v>
      </c>
      <c r="H148" s="220"/>
      <c r="I148" s="359" t="s">
        <v>420</v>
      </c>
      <c r="J148" s="222" t="s">
        <v>55</v>
      </c>
      <c r="K148" s="229"/>
      <c r="L148" s="223" t="s">
        <v>55</v>
      </c>
      <c r="M148" s="224" t="s">
        <v>55</v>
      </c>
      <c r="N148" s="225"/>
      <c r="O148" s="226" t="s">
        <v>55</v>
      </c>
      <c r="P148" s="224" t="s">
        <v>55</v>
      </c>
      <c r="Q148" s="225"/>
      <c r="R148" s="227" t="s">
        <v>55</v>
      </c>
      <c r="S148" s="210" t="s">
        <v>471</v>
      </c>
      <c r="T148" s="233"/>
      <c r="U148" s="357" t="s">
        <v>471</v>
      </c>
      <c r="V148" s="231" t="s">
        <v>68</v>
      </c>
      <c r="W148" s="225"/>
      <c r="X148" s="227" t="s">
        <v>68</v>
      </c>
      <c r="Y148" s="361" t="s">
        <v>68</v>
      </c>
      <c r="Z148" s="233"/>
      <c r="AA148" s="234" t="s">
        <v>68</v>
      </c>
      <c r="AB148" s="235" t="s">
        <v>68</v>
      </c>
      <c r="AC148" s="220"/>
      <c r="AD148" s="221" t="s">
        <v>68</v>
      </c>
      <c r="AE148" s="236" t="s">
        <v>68</v>
      </c>
      <c r="AF148" s="233"/>
      <c r="AG148" s="234" t="s">
        <v>68</v>
      </c>
      <c r="AH148" s="219" t="s">
        <v>68</v>
      </c>
      <c r="AI148" s="220"/>
      <c r="AJ148" s="221" t="s">
        <v>68</v>
      </c>
      <c r="AK148" s="249" t="s">
        <v>482</v>
      </c>
      <c r="AL148" s="243"/>
      <c r="AM148" s="266" t="s">
        <v>354</v>
      </c>
      <c r="AN148" s="362" t="s">
        <v>474</v>
      </c>
      <c r="AO148" s="233"/>
      <c r="AP148" s="234" t="s">
        <v>475</v>
      </c>
      <c r="AQ148" s="235" t="s">
        <v>474</v>
      </c>
      <c r="AR148" s="220"/>
      <c r="AS148" s="221" t="s">
        <v>475</v>
      </c>
      <c r="AT148" s="222" t="s">
        <v>68</v>
      </c>
      <c r="AU148" s="229"/>
      <c r="AV148" s="230" t="s">
        <v>68</v>
      </c>
      <c r="AW148" s="224" t="s">
        <v>68</v>
      </c>
      <c r="AX148" s="225"/>
      <c r="AY148" s="227" t="s">
        <v>68</v>
      </c>
      <c r="AZ148" s="222" t="s">
        <v>68</v>
      </c>
      <c r="BA148" s="229"/>
      <c r="BB148" s="230" t="s">
        <v>68</v>
      </c>
      <c r="BC148" s="235" t="s">
        <v>68</v>
      </c>
      <c r="BD148" s="220"/>
      <c r="BE148" s="221" t="s">
        <v>68</v>
      </c>
      <c r="BF148" s="263" t="s">
        <v>68</v>
      </c>
      <c r="BG148" s="264"/>
      <c r="BH148" s="265" t="s">
        <v>68</v>
      </c>
      <c r="BI148" s="249" t="s">
        <v>68</v>
      </c>
      <c r="BJ148" s="243"/>
      <c r="BK148" s="266" t="s">
        <v>68</v>
      </c>
      <c r="BL148" s="263" t="s">
        <v>68</v>
      </c>
      <c r="BM148" s="264"/>
      <c r="BN148" s="265" t="s">
        <v>68</v>
      </c>
    </row>
    <row r="149" customFormat="false" ht="17.25" hidden="false" customHeight="true" outlineLevel="0" collapsed="false">
      <c r="B149" s="348"/>
      <c r="C149" s="291"/>
      <c r="D149" s="305"/>
      <c r="E149" s="299" t="s">
        <v>483</v>
      </c>
      <c r="F149" s="307"/>
      <c r="G149" s="219" t="s">
        <v>420</v>
      </c>
      <c r="H149" s="220"/>
      <c r="I149" s="359" t="s">
        <v>420</v>
      </c>
      <c r="J149" s="222" t="s">
        <v>55</v>
      </c>
      <c r="K149" s="229"/>
      <c r="L149" s="223" t="s">
        <v>55</v>
      </c>
      <c r="M149" s="224" t="s">
        <v>55</v>
      </c>
      <c r="N149" s="225"/>
      <c r="O149" s="226" t="s">
        <v>55</v>
      </c>
      <c r="P149" s="224" t="s">
        <v>55</v>
      </c>
      <c r="Q149" s="225"/>
      <c r="R149" s="227" t="s">
        <v>55</v>
      </c>
      <c r="S149" s="295" t="s">
        <v>471</v>
      </c>
      <c r="T149" s="233"/>
      <c r="U149" s="360" t="s">
        <v>471</v>
      </c>
      <c r="V149" s="231" t="s">
        <v>68</v>
      </c>
      <c r="W149" s="225"/>
      <c r="X149" s="227" t="s">
        <v>68</v>
      </c>
      <c r="Y149" s="361" t="s">
        <v>68</v>
      </c>
      <c r="Z149" s="233"/>
      <c r="AA149" s="234" t="s">
        <v>68</v>
      </c>
      <c r="AB149" s="235" t="s">
        <v>68</v>
      </c>
      <c r="AC149" s="220"/>
      <c r="AD149" s="221" t="s">
        <v>68</v>
      </c>
      <c r="AE149" s="236" t="s">
        <v>68</v>
      </c>
      <c r="AF149" s="233"/>
      <c r="AG149" s="234" t="s">
        <v>68</v>
      </c>
      <c r="AH149" s="219" t="s">
        <v>68</v>
      </c>
      <c r="AI149" s="220"/>
      <c r="AJ149" s="221" t="s">
        <v>68</v>
      </c>
      <c r="AK149" s="249" t="s">
        <v>482</v>
      </c>
      <c r="AL149" s="243"/>
      <c r="AM149" s="266" t="s">
        <v>354</v>
      </c>
      <c r="AN149" s="362" t="s">
        <v>475</v>
      </c>
      <c r="AO149" s="233"/>
      <c r="AP149" s="234" t="s">
        <v>475</v>
      </c>
      <c r="AQ149" s="235" t="s">
        <v>475</v>
      </c>
      <c r="AR149" s="220"/>
      <c r="AS149" s="221" t="s">
        <v>475</v>
      </c>
      <c r="AT149" s="222" t="s">
        <v>68</v>
      </c>
      <c r="AU149" s="229"/>
      <c r="AV149" s="230" t="s">
        <v>68</v>
      </c>
      <c r="AW149" s="224" t="s">
        <v>68</v>
      </c>
      <c r="AX149" s="225"/>
      <c r="AY149" s="227" t="s">
        <v>68</v>
      </c>
      <c r="AZ149" s="222" t="s">
        <v>68</v>
      </c>
      <c r="BA149" s="229"/>
      <c r="BB149" s="230" t="s">
        <v>68</v>
      </c>
      <c r="BC149" s="235" t="s">
        <v>68</v>
      </c>
      <c r="BD149" s="220"/>
      <c r="BE149" s="221" t="s">
        <v>68</v>
      </c>
      <c r="BF149" s="263" t="s">
        <v>68</v>
      </c>
      <c r="BG149" s="264"/>
      <c r="BH149" s="265" t="s">
        <v>68</v>
      </c>
      <c r="BI149" s="249" t="s">
        <v>68</v>
      </c>
      <c r="BJ149" s="243"/>
      <c r="BK149" s="266" t="s">
        <v>68</v>
      </c>
      <c r="BL149" s="263" t="s">
        <v>68</v>
      </c>
      <c r="BM149" s="264"/>
      <c r="BN149" s="265" t="s">
        <v>68</v>
      </c>
    </row>
    <row r="150" customFormat="false" ht="17.25" hidden="false" customHeight="true" outlineLevel="0" collapsed="false">
      <c r="B150" s="348"/>
      <c r="C150" s="291"/>
      <c r="D150" s="305"/>
      <c r="E150" s="299" t="s">
        <v>255</v>
      </c>
      <c r="F150" s="307"/>
      <c r="G150" s="219" t="s">
        <v>420</v>
      </c>
      <c r="H150" s="220"/>
      <c r="I150" s="359" t="s">
        <v>420</v>
      </c>
      <c r="J150" s="222" t="s">
        <v>55</v>
      </c>
      <c r="K150" s="229"/>
      <c r="L150" s="223" t="s">
        <v>55</v>
      </c>
      <c r="M150" s="224" t="s">
        <v>55</v>
      </c>
      <c r="N150" s="225"/>
      <c r="O150" s="226" t="s">
        <v>55</v>
      </c>
      <c r="P150" s="224" t="s">
        <v>55</v>
      </c>
      <c r="Q150" s="225"/>
      <c r="R150" s="227" t="s">
        <v>55</v>
      </c>
      <c r="S150" s="210" t="s">
        <v>471</v>
      </c>
      <c r="T150" s="233"/>
      <c r="U150" s="357" t="s">
        <v>471</v>
      </c>
      <c r="V150" s="231" t="s">
        <v>68</v>
      </c>
      <c r="W150" s="225"/>
      <c r="X150" s="227" t="s">
        <v>68</v>
      </c>
      <c r="Y150" s="361" t="s">
        <v>68</v>
      </c>
      <c r="Z150" s="233"/>
      <c r="AA150" s="234" t="s">
        <v>68</v>
      </c>
      <c r="AB150" s="235" t="s">
        <v>68</v>
      </c>
      <c r="AC150" s="220"/>
      <c r="AD150" s="221" t="s">
        <v>68</v>
      </c>
      <c r="AE150" s="236" t="s">
        <v>68</v>
      </c>
      <c r="AF150" s="233"/>
      <c r="AG150" s="234" t="s">
        <v>68</v>
      </c>
      <c r="AH150" s="219" t="s">
        <v>68</v>
      </c>
      <c r="AI150" s="220"/>
      <c r="AJ150" s="221" t="s">
        <v>68</v>
      </c>
      <c r="AK150" s="249" t="s">
        <v>482</v>
      </c>
      <c r="AL150" s="243"/>
      <c r="AM150" s="266" t="s">
        <v>354</v>
      </c>
      <c r="AN150" s="362" t="s">
        <v>477</v>
      </c>
      <c r="AO150" s="233"/>
      <c r="AP150" s="234" t="s">
        <v>478</v>
      </c>
      <c r="AQ150" s="235" t="s">
        <v>477</v>
      </c>
      <c r="AR150" s="220"/>
      <c r="AS150" s="221" t="s">
        <v>478</v>
      </c>
      <c r="AT150" s="222" t="s">
        <v>68</v>
      </c>
      <c r="AU150" s="229"/>
      <c r="AV150" s="230" t="s">
        <v>68</v>
      </c>
      <c r="AW150" s="224" t="s">
        <v>68</v>
      </c>
      <c r="AX150" s="225"/>
      <c r="AY150" s="227" t="s">
        <v>68</v>
      </c>
      <c r="AZ150" s="222" t="s">
        <v>68</v>
      </c>
      <c r="BA150" s="229"/>
      <c r="BB150" s="230" t="s">
        <v>68</v>
      </c>
      <c r="BC150" s="235" t="s">
        <v>68</v>
      </c>
      <c r="BD150" s="220"/>
      <c r="BE150" s="221" t="s">
        <v>68</v>
      </c>
      <c r="BF150" s="263" t="s">
        <v>68</v>
      </c>
      <c r="BG150" s="264"/>
      <c r="BH150" s="265" t="s">
        <v>68</v>
      </c>
      <c r="BI150" s="249" t="s">
        <v>68</v>
      </c>
      <c r="BJ150" s="243"/>
      <c r="BK150" s="266" t="s">
        <v>68</v>
      </c>
      <c r="BL150" s="263" t="s">
        <v>68</v>
      </c>
      <c r="BM150" s="264"/>
      <c r="BN150" s="265" t="s">
        <v>68</v>
      </c>
    </row>
    <row r="151" customFormat="false" ht="17.25" hidden="false" customHeight="true" outlineLevel="0" collapsed="false">
      <c r="B151" s="348"/>
      <c r="C151" s="291"/>
      <c r="D151" s="305"/>
      <c r="E151" s="299" t="s">
        <v>479</v>
      </c>
      <c r="F151" s="307"/>
      <c r="G151" s="219" t="s">
        <v>420</v>
      </c>
      <c r="H151" s="220"/>
      <c r="I151" s="359" t="s">
        <v>420</v>
      </c>
      <c r="J151" s="222" t="s">
        <v>55</v>
      </c>
      <c r="K151" s="229"/>
      <c r="L151" s="223" t="s">
        <v>55</v>
      </c>
      <c r="M151" s="224" t="s">
        <v>55</v>
      </c>
      <c r="N151" s="225"/>
      <c r="O151" s="226" t="s">
        <v>55</v>
      </c>
      <c r="P151" s="224" t="s">
        <v>55</v>
      </c>
      <c r="Q151" s="225"/>
      <c r="R151" s="227" t="s">
        <v>55</v>
      </c>
      <c r="S151" s="295" t="s">
        <v>471</v>
      </c>
      <c r="T151" s="233"/>
      <c r="U151" s="360" t="s">
        <v>471</v>
      </c>
      <c r="V151" s="231" t="s">
        <v>68</v>
      </c>
      <c r="W151" s="225"/>
      <c r="X151" s="227" t="s">
        <v>68</v>
      </c>
      <c r="Y151" s="361" t="s">
        <v>68</v>
      </c>
      <c r="Z151" s="233"/>
      <c r="AA151" s="234" t="s">
        <v>68</v>
      </c>
      <c r="AB151" s="235" t="s">
        <v>68</v>
      </c>
      <c r="AC151" s="220"/>
      <c r="AD151" s="221" t="s">
        <v>68</v>
      </c>
      <c r="AE151" s="236" t="s">
        <v>68</v>
      </c>
      <c r="AF151" s="233"/>
      <c r="AG151" s="234" t="s">
        <v>68</v>
      </c>
      <c r="AH151" s="219" t="s">
        <v>68</v>
      </c>
      <c r="AI151" s="220"/>
      <c r="AJ151" s="221" t="s">
        <v>68</v>
      </c>
      <c r="AK151" s="249" t="s">
        <v>482</v>
      </c>
      <c r="AL151" s="243"/>
      <c r="AM151" s="266" t="s">
        <v>354</v>
      </c>
      <c r="AN151" s="362" t="s">
        <v>480</v>
      </c>
      <c r="AO151" s="233"/>
      <c r="AP151" s="234" t="s">
        <v>480</v>
      </c>
      <c r="AQ151" s="235" t="s">
        <v>480</v>
      </c>
      <c r="AR151" s="220"/>
      <c r="AS151" s="221" t="s">
        <v>480</v>
      </c>
      <c r="AT151" s="222" t="s">
        <v>68</v>
      </c>
      <c r="AU151" s="229"/>
      <c r="AV151" s="230" t="s">
        <v>68</v>
      </c>
      <c r="AW151" s="224" t="s">
        <v>68</v>
      </c>
      <c r="AX151" s="225"/>
      <c r="AY151" s="227" t="s">
        <v>68</v>
      </c>
      <c r="AZ151" s="222" t="s">
        <v>68</v>
      </c>
      <c r="BA151" s="229"/>
      <c r="BB151" s="230" t="s">
        <v>68</v>
      </c>
      <c r="BC151" s="235" t="s">
        <v>68</v>
      </c>
      <c r="BD151" s="220"/>
      <c r="BE151" s="221" t="s">
        <v>68</v>
      </c>
      <c r="BF151" s="263" t="s">
        <v>68</v>
      </c>
      <c r="BG151" s="264"/>
      <c r="BH151" s="265" t="s">
        <v>68</v>
      </c>
      <c r="BI151" s="249" t="s">
        <v>68</v>
      </c>
      <c r="BJ151" s="243"/>
      <c r="BK151" s="266" t="s">
        <v>68</v>
      </c>
      <c r="BL151" s="263" t="s">
        <v>68</v>
      </c>
      <c r="BM151" s="264"/>
      <c r="BN151" s="265" t="s">
        <v>68</v>
      </c>
    </row>
    <row r="152" customFormat="false" ht="17.25" hidden="false" customHeight="true" outlineLevel="0" collapsed="false">
      <c r="B152" s="348"/>
      <c r="C152" s="301" t="s">
        <v>133</v>
      </c>
      <c r="D152" s="305"/>
      <c r="E152" s="306" t="s">
        <v>481</v>
      </c>
      <c r="F152" s="350"/>
      <c r="G152" s="224" t="s">
        <v>484</v>
      </c>
      <c r="H152" s="225"/>
      <c r="I152" s="226" t="s">
        <v>484</v>
      </c>
      <c r="J152" s="222" t="s">
        <v>55</v>
      </c>
      <c r="K152" s="229"/>
      <c r="L152" s="223" t="s">
        <v>55</v>
      </c>
      <c r="M152" s="224" t="s">
        <v>55</v>
      </c>
      <c r="N152" s="225"/>
      <c r="O152" s="226" t="s">
        <v>55</v>
      </c>
      <c r="P152" s="224" t="s">
        <v>55</v>
      </c>
      <c r="Q152" s="225"/>
      <c r="R152" s="227" t="s">
        <v>55</v>
      </c>
      <c r="S152" s="228" t="s">
        <v>68</v>
      </c>
      <c r="T152" s="229"/>
      <c r="U152" s="223" t="s">
        <v>68</v>
      </c>
      <c r="V152" s="231" t="s">
        <v>68</v>
      </c>
      <c r="W152" s="225"/>
      <c r="X152" s="227" t="s">
        <v>68</v>
      </c>
      <c r="Y152" s="363" t="s">
        <v>68</v>
      </c>
      <c r="Z152" s="229"/>
      <c r="AA152" s="230" t="s">
        <v>68</v>
      </c>
      <c r="AB152" s="231" t="s">
        <v>68</v>
      </c>
      <c r="AC152" s="225"/>
      <c r="AD152" s="227" t="s">
        <v>68</v>
      </c>
      <c r="AE152" s="222" t="s">
        <v>68</v>
      </c>
      <c r="AF152" s="229"/>
      <c r="AG152" s="230" t="s">
        <v>68</v>
      </c>
      <c r="AH152" s="224" t="s">
        <v>68</v>
      </c>
      <c r="AI152" s="225"/>
      <c r="AJ152" s="227" t="s">
        <v>68</v>
      </c>
      <c r="AK152" s="249" t="s">
        <v>485</v>
      </c>
      <c r="AL152" s="300"/>
      <c r="AM152" s="266" t="s">
        <v>486</v>
      </c>
      <c r="AN152" s="344" t="s">
        <v>486</v>
      </c>
      <c r="AO152" s="229"/>
      <c r="AP152" s="230" t="s">
        <v>486</v>
      </c>
      <c r="AQ152" s="231" t="s">
        <v>486</v>
      </c>
      <c r="AR152" s="225"/>
      <c r="AS152" s="227" t="s">
        <v>486</v>
      </c>
      <c r="AT152" s="222" t="s">
        <v>68</v>
      </c>
      <c r="AU152" s="229"/>
      <c r="AV152" s="230" t="s">
        <v>68</v>
      </c>
      <c r="AW152" s="224" t="s">
        <v>68</v>
      </c>
      <c r="AX152" s="225"/>
      <c r="AY152" s="227" t="s">
        <v>68</v>
      </c>
      <c r="AZ152" s="222" t="s">
        <v>68</v>
      </c>
      <c r="BA152" s="229"/>
      <c r="BB152" s="230" t="s">
        <v>68</v>
      </c>
      <c r="BC152" s="231" t="s">
        <v>68</v>
      </c>
      <c r="BD152" s="225"/>
      <c r="BE152" s="227" t="s">
        <v>68</v>
      </c>
      <c r="BF152" s="263" t="s">
        <v>68</v>
      </c>
      <c r="BG152" s="264"/>
      <c r="BH152" s="265" t="s">
        <v>68</v>
      </c>
      <c r="BI152" s="249" t="s">
        <v>68</v>
      </c>
      <c r="BJ152" s="243"/>
      <c r="BK152" s="266" t="s">
        <v>68</v>
      </c>
      <c r="BL152" s="263" t="s">
        <v>68</v>
      </c>
      <c r="BM152" s="264"/>
      <c r="BN152" s="265" t="s">
        <v>68</v>
      </c>
    </row>
    <row r="153" customFormat="false" ht="17.25" hidden="false" customHeight="true" outlineLevel="0" collapsed="false">
      <c r="B153" s="348"/>
      <c r="C153" s="301"/>
      <c r="D153" s="305"/>
      <c r="E153" s="306" t="s">
        <v>483</v>
      </c>
      <c r="F153" s="350"/>
      <c r="G153" s="224" t="s">
        <v>484</v>
      </c>
      <c r="H153" s="225"/>
      <c r="I153" s="226" t="s">
        <v>484</v>
      </c>
      <c r="J153" s="222" t="s">
        <v>55</v>
      </c>
      <c r="K153" s="229"/>
      <c r="L153" s="223" t="s">
        <v>55</v>
      </c>
      <c r="M153" s="224" t="s">
        <v>55</v>
      </c>
      <c r="N153" s="225"/>
      <c r="O153" s="226" t="s">
        <v>55</v>
      </c>
      <c r="P153" s="224" t="s">
        <v>55</v>
      </c>
      <c r="Q153" s="225"/>
      <c r="R153" s="227" t="s">
        <v>55</v>
      </c>
      <c r="S153" s="228" t="s">
        <v>68</v>
      </c>
      <c r="T153" s="229"/>
      <c r="U153" s="223" t="s">
        <v>68</v>
      </c>
      <c r="V153" s="231" t="s">
        <v>68</v>
      </c>
      <c r="W153" s="225"/>
      <c r="X153" s="227" t="s">
        <v>68</v>
      </c>
      <c r="Y153" s="363" t="s">
        <v>68</v>
      </c>
      <c r="Z153" s="229"/>
      <c r="AA153" s="230" t="s">
        <v>68</v>
      </c>
      <c r="AB153" s="231" t="s">
        <v>68</v>
      </c>
      <c r="AC153" s="225"/>
      <c r="AD153" s="227" t="s">
        <v>68</v>
      </c>
      <c r="AE153" s="222" t="s">
        <v>68</v>
      </c>
      <c r="AF153" s="229"/>
      <c r="AG153" s="230" t="s">
        <v>68</v>
      </c>
      <c r="AH153" s="224" t="s">
        <v>68</v>
      </c>
      <c r="AI153" s="225"/>
      <c r="AJ153" s="227" t="s">
        <v>68</v>
      </c>
      <c r="AK153" s="249" t="s">
        <v>485</v>
      </c>
      <c r="AL153" s="300"/>
      <c r="AM153" s="266" t="s">
        <v>486</v>
      </c>
      <c r="AN153" s="344" t="s">
        <v>486</v>
      </c>
      <c r="AO153" s="229"/>
      <c r="AP153" s="230" t="s">
        <v>486</v>
      </c>
      <c r="AQ153" s="231" t="s">
        <v>486</v>
      </c>
      <c r="AR153" s="225"/>
      <c r="AS153" s="227" t="s">
        <v>486</v>
      </c>
      <c r="AT153" s="222" t="s">
        <v>68</v>
      </c>
      <c r="AU153" s="229"/>
      <c r="AV153" s="230" t="s">
        <v>68</v>
      </c>
      <c r="AW153" s="224" t="s">
        <v>68</v>
      </c>
      <c r="AX153" s="225"/>
      <c r="AY153" s="227" t="s">
        <v>68</v>
      </c>
      <c r="AZ153" s="222" t="s">
        <v>68</v>
      </c>
      <c r="BA153" s="229"/>
      <c r="BB153" s="230" t="s">
        <v>68</v>
      </c>
      <c r="BC153" s="231" t="s">
        <v>68</v>
      </c>
      <c r="BD153" s="225"/>
      <c r="BE153" s="227" t="s">
        <v>68</v>
      </c>
      <c r="BF153" s="263" t="s">
        <v>68</v>
      </c>
      <c r="BG153" s="264"/>
      <c r="BH153" s="265" t="s">
        <v>68</v>
      </c>
      <c r="BI153" s="249" t="s">
        <v>68</v>
      </c>
      <c r="BJ153" s="243"/>
      <c r="BK153" s="266" t="s">
        <v>68</v>
      </c>
      <c r="BL153" s="263" t="s">
        <v>68</v>
      </c>
      <c r="BM153" s="264"/>
      <c r="BN153" s="265" t="s">
        <v>68</v>
      </c>
    </row>
    <row r="154" customFormat="false" ht="17.25" hidden="false" customHeight="true" outlineLevel="0" collapsed="false">
      <c r="B154" s="348"/>
      <c r="C154" s="301"/>
      <c r="D154" s="305"/>
      <c r="E154" s="306" t="s">
        <v>255</v>
      </c>
      <c r="F154" s="350"/>
      <c r="G154" s="224" t="s">
        <v>484</v>
      </c>
      <c r="H154" s="225"/>
      <c r="I154" s="226" t="s">
        <v>484</v>
      </c>
      <c r="J154" s="222" t="s">
        <v>55</v>
      </c>
      <c r="K154" s="229"/>
      <c r="L154" s="223" t="s">
        <v>55</v>
      </c>
      <c r="M154" s="224" t="s">
        <v>55</v>
      </c>
      <c r="N154" s="225"/>
      <c r="O154" s="226" t="s">
        <v>55</v>
      </c>
      <c r="P154" s="224" t="s">
        <v>55</v>
      </c>
      <c r="Q154" s="225"/>
      <c r="R154" s="227" t="s">
        <v>55</v>
      </c>
      <c r="S154" s="228" t="s">
        <v>68</v>
      </c>
      <c r="T154" s="229"/>
      <c r="U154" s="223" t="s">
        <v>68</v>
      </c>
      <c r="V154" s="231" t="s">
        <v>68</v>
      </c>
      <c r="W154" s="225"/>
      <c r="X154" s="227" t="s">
        <v>68</v>
      </c>
      <c r="Y154" s="363" t="s">
        <v>68</v>
      </c>
      <c r="Z154" s="229"/>
      <c r="AA154" s="230" t="s">
        <v>68</v>
      </c>
      <c r="AB154" s="231" t="s">
        <v>68</v>
      </c>
      <c r="AC154" s="225"/>
      <c r="AD154" s="227" t="s">
        <v>68</v>
      </c>
      <c r="AE154" s="222" t="s">
        <v>68</v>
      </c>
      <c r="AF154" s="229"/>
      <c r="AG154" s="230" t="s">
        <v>68</v>
      </c>
      <c r="AH154" s="224" t="s">
        <v>68</v>
      </c>
      <c r="AI154" s="225"/>
      <c r="AJ154" s="227" t="s">
        <v>68</v>
      </c>
      <c r="AK154" s="249" t="s">
        <v>485</v>
      </c>
      <c r="AL154" s="300"/>
      <c r="AM154" s="266" t="s">
        <v>486</v>
      </c>
      <c r="AN154" s="344" t="s">
        <v>486</v>
      </c>
      <c r="AO154" s="229"/>
      <c r="AP154" s="230" t="s">
        <v>486</v>
      </c>
      <c r="AQ154" s="231" t="s">
        <v>486</v>
      </c>
      <c r="AR154" s="225"/>
      <c r="AS154" s="227" t="s">
        <v>486</v>
      </c>
      <c r="AT154" s="222" t="s">
        <v>68</v>
      </c>
      <c r="AU154" s="229"/>
      <c r="AV154" s="230" t="s">
        <v>68</v>
      </c>
      <c r="AW154" s="224" t="s">
        <v>68</v>
      </c>
      <c r="AX154" s="225"/>
      <c r="AY154" s="227" t="s">
        <v>68</v>
      </c>
      <c r="AZ154" s="222" t="s">
        <v>68</v>
      </c>
      <c r="BA154" s="229"/>
      <c r="BB154" s="230" t="s">
        <v>68</v>
      </c>
      <c r="BC154" s="231" t="s">
        <v>68</v>
      </c>
      <c r="BD154" s="225"/>
      <c r="BE154" s="227" t="s">
        <v>68</v>
      </c>
      <c r="BF154" s="263" t="s">
        <v>68</v>
      </c>
      <c r="BG154" s="264"/>
      <c r="BH154" s="265" t="s">
        <v>68</v>
      </c>
      <c r="BI154" s="249" t="s">
        <v>68</v>
      </c>
      <c r="BJ154" s="243"/>
      <c r="BK154" s="266" t="s">
        <v>68</v>
      </c>
      <c r="BL154" s="263" t="s">
        <v>68</v>
      </c>
      <c r="BM154" s="264"/>
      <c r="BN154" s="265" t="s">
        <v>68</v>
      </c>
    </row>
    <row r="155" customFormat="false" ht="17.25" hidden="false" customHeight="true" outlineLevel="0" collapsed="false">
      <c r="B155" s="348"/>
      <c r="C155" s="301"/>
      <c r="D155" s="305"/>
      <c r="E155" s="306" t="s">
        <v>479</v>
      </c>
      <c r="F155" s="350"/>
      <c r="G155" s="224" t="s">
        <v>484</v>
      </c>
      <c r="H155" s="225"/>
      <c r="I155" s="226" t="s">
        <v>484</v>
      </c>
      <c r="J155" s="222" t="s">
        <v>55</v>
      </c>
      <c r="K155" s="229"/>
      <c r="L155" s="223" t="s">
        <v>55</v>
      </c>
      <c r="M155" s="224" t="s">
        <v>55</v>
      </c>
      <c r="N155" s="225"/>
      <c r="O155" s="226" t="s">
        <v>55</v>
      </c>
      <c r="P155" s="224" t="s">
        <v>55</v>
      </c>
      <c r="Q155" s="225"/>
      <c r="R155" s="227" t="s">
        <v>55</v>
      </c>
      <c r="S155" s="228" t="s">
        <v>68</v>
      </c>
      <c r="T155" s="229"/>
      <c r="U155" s="223" t="s">
        <v>68</v>
      </c>
      <c r="V155" s="231" t="s">
        <v>68</v>
      </c>
      <c r="W155" s="225"/>
      <c r="X155" s="227" t="s">
        <v>68</v>
      </c>
      <c r="Y155" s="363" t="s">
        <v>68</v>
      </c>
      <c r="Z155" s="229"/>
      <c r="AA155" s="230" t="s">
        <v>68</v>
      </c>
      <c r="AB155" s="231" t="s">
        <v>68</v>
      </c>
      <c r="AC155" s="225"/>
      <c r="AD155" s="227" t="s">
        <v>68</v>
      </c>
      <c r="AE155" s="222" t="s">
        <v>68</v>
      </c>
      <c r="AF155" s="229"/>
      <c r="AG155" s="230" t="s">
        <v>68</v>
      </c>
      <c r="AH155" s="224" t="s">
        <v>68</v>
      </c>
      <c r="AI155" s="225"/>
      <c r="AJ155" s="227" t="s">
        <v>68</v>
      </c>
      <c r="AK155" s="249" t="s">
        <v>485</v>
      </c>
      <c r="AL155" s="300"/>
      <c r="AM155" s="266" t="s">
        <v>486</v>
      </c>
      <c r="AN155" s="344" t="s">
        <v>486</v>
      </c>
      <c r="AO155" s="229"/>
      <c r="AP155" s="230" t="s">
        <v>486</v>
      </c>
      <c r="AQ155" s="231" t="s">
        <v>486</v>
      </c>
      <c r="AR155" s="225"/>
      <c r="AS155" s="227" t="s">
        <v>486</v>
      </c>
      <c r="AT155" s="222" t="s">
        <v>68</v>
      </c>
      <c r="AU155" s="229"/>
      <c r="AV155" s="230" t="s">
        <v>68</v>
      </c>
      <c r="AW155" s="224" t="s">
        <v>68</v>
      </c>
      <c r="AX155" s="225"/>
      <c r="AY155" s="227" t="s">
        <v>68</v>
      </c>
      <c r="AZ155" s="222" t="s">
        <v>68</v>
      </c>
      <c r="BA155" s="229"/>
      <c r="BB155" s="230" t="s">
        <v>68</v>
      </c>
      <c r="BC155" s="231" t="s">
        <v>68</v>
      </c>
      <c r="BD155" s="225"/>
      <c r="BE155" s="227" t="s">
        <v>68</v>
      </c>
      <c r="BF155" s="263" t="s">
        <v>68</v>
      </c>
      <c r="BG155" s="264"/>
      <c r="BH155" s="265" t="s">
        <v>68</v>
      </c>
      <c r="BI155" s="249" t="s">
        <v>68</v>
      </c>
      <c r="BJ155" s="243"/>
      <c r="BK155" s="266" t="s">
        <v>68</v>
      </c>
      <c r="BL155" s="263" t="s">
        <v>68</v>
      </c>
      <c r="BM155" s="264"/>
      <c r="BN155" s="265" t="s">
        <v>68</v>
      </c>
    </row>
    <row r="156" customFormat="false" ht="17.25" hidden="false" customHeight="true" outlineLevel="0" collapsed="false">
      <c r="B156" s="348"/>
      <c r="C156" s="301" t="s">
        <v>134</v>
      </c>
      <c r="D156" s="306"/>
      <c r="E156" s="306"/>
      <c r="F156" s="350"/>
      <c r="G156" s="224" t="s">
        <v>420</v>
      </c>
      <c r="H156" s="225"/>
      <c r="I156" s="226" t="s">
        <v>420</v>
      </c>
      <c r="J156" s="222" t="s">
        <v>55</v>
      </c>
      <c r="K156" s="229"/>
      <c r="L156" s="223" t="s">
        <v>55</v>
      </c>
      <c r="M156" s="224" t="s">
        <v>55</v>
      </c>
      <c r="N156" s="225"/>
      <c r="O156" s="226" t="s">
        <v>55</v>
      </c>
      <c r="P156" s="224" t="s">
        <v>55</v>
      </c>
      <c r="Q156" s="225"/>
      <c r="R156" s="227" t="s">
        <v>55</v>
      </c>
      <c r="S156" s="228" t="s">
        <v>68</v>
      </c>
      <c r="T156" s="229"/>
      <c r="U156" s="223" t="s">
        <v>68</v>
      </c>
      <c r="V156" s="231" t="s">
        <v>471</v>
      </c>
      <c r="W156" s="225"/>
      <c r="X156" s="227" t="s">
        <v>471</v>
      </c>
      <c r="Y156" s="363" t="s">
        <v>68</v>
      </c>
      <c r="Z156" s="229"/>
      <c r="AA156" s="230" t="s">
        <v>68</v>
      </c>
      <c r="AB156" s="231" t="s">
        <v>68</v>
      </c>
      <c r="AC156" s="225"/>
      <c r="AD156" s="227" t="s">
        <v>68</v>
      </c>
      <c r="AE156" s="222" t="s">
        <v>68</v>
      </c>
      <c r="AF156" s="229"/>
      <c r="AG156" s="230" t="s">
        <v>68</v>
      </c>
      <c r="AH156" s="224" t="s">
        <v>68</v>
      </c>
      <c r="AI156" s="225"/>
      <c r="AJ156" s="227" t="s">
        <v>68</v>
      </c>
      <c r="AK156" s="249" t="s">
        <v>354</v>
      </c>
      <c r="AL156" s="243"/>
      <c r="AM156" s="266" t="s">
        <v>354</v>
      </c>
      <c r="AN156" s="344" t="s">
        <v>68</v>
      </c>
      <c r="AO156" s="229"/>
      <c r="AP156" s="230" t="s">
        <v>68</v>
      </c>
      <c r="AQ156" s="231" t="s">
        <v>68</v>
      </c>
      <c r="AR156" s="225"/>
      <c r="AS156" s="227" t="s">
        <v>68</v>
      </c>
      <c r="AT156" s="222" t="s">
        <v>68</v>
      </c>
      <c r="AU156" s="229"/>
      <c r="AV156" s="230" t="s">
        <v>68</v>
      </c>
      <c r="AW156" s="224" t="s">
        <v>68</v>
      </c>
      <c r="AX156" s="225"/>
      <c r="AY156" s="227" t="s">
        <v>68</v>
      </c>
      <c r="AZ156" s="222" t="s">
        <v>68</v>
      </c>
      <c r="BA156" s="229"/>
      <c r="BB156" s="230" t="s">
        <v>68</v>
      </c>
      <c r="BC156" s="231" t="s">
        <v>68</v>
      </c>
      <c r="BD156" s="225"/>
      <c r="BE156" s="227" t="s">
        <v>68</v>
      </c>
      <c r="BF156" s="263" t="s">
        <v>68</v>
      </c>
      <c r="BG156" s="264"/>
      <c r="BH156" s="265" t="s">
        <v>68</v>
      </c>
      <c r="BI156" s="249" t="s">
        <v>68</v>
      </c>
      <c r="BJ156" s="243"/>
      <c r="BK156" s="266" t="s">
        <v>68</v>
      </c>
      <c r="BL156" s="263" t="s">
        <v>68</v>
      </c>
      <c r="BM156" s="264"/>
      <c r="BN156" s="265" t="s">
        <v>68</v>
      </c>
    </row>
    <row r="157" customFormat="false" ht="17.25" hidden="false" customHeight="true" outlineLevel="0" collapsed="false">
      <c r="B157" s="348"/>
      <c r="C157" s="313" t="s">
        <v>135</v>
      </c>
      <c r="D157" s="314"/>
      <c r="E157" s="314"/>
      <c r="F157" s="351"/>
      <c r="G157" s="277" t="s">
        <v>55</v>
      </c>
      <c r="H157" s="278"/>
      <c r="I157" s="279" t="s">
        <v>55</v>
      </c>
      <c r="J157" s="282"/>
      <c r="K157" s="281"/>
      <c r="L157" s="276" t="s">
        <v>55</v>
      </c>
      <c r="M157" s="277" t="s">
        <v>55</v>
      </c>
      <c r="N157" s="278"/>
      <c r="O157" s="279" t="s">
        <v>55</v>
      </c>
      <c r="P157" s="277" t="s">
        <v>55</v>
      </c>
      <c r="Q157" s="278"/>
      <c r="R157" s="280" t="s">
        <v>55</v>
      </c>
      <c r="S157" s="315" t="s">
        <v>487</v>
      </c>
      <c r="T157" s="281"/>
      <c r="U157" s="276" t="s">
        <v>487</v>
      </c>
      <c r="V157" s="317" t="s">
        <v>68</v>
      </c>
      <c r="W157" s="278"/>
      <c r="X157" s="280" t="s">
        <v>68</v>
      </c>
      <c r="Y157" s="364" t="s">
        <v>68</v>
      </c>
      <c r="Z157" s="281"/>
      <c r="AA157" s="283" t="s">
        <v>68</v>
      </c>
      <c r="AB157" s="317" t="s">
        <v>68</v>
      </c>
      <c r="AC157" s="278"/>
      <c r="AD157" s="280" t="s">
        <v>68</v>
      </c>
      <c r="AE157" s="282" t="s">
        <v>68</v>
      </c>
      <c r="AF157" s="281"/>
      <c r="AG157" s="283" t="s">
        <v>68</v>
      </c>
      <c r="AH157" s="277" t="s">
        <v>68</v>
      </c>
      <c r="AI157" s="278"/>
      <c r="AJ157" s="280" t="s">
        <v>68</v>
      </c>
      <c r="AK157" s="249" t="s">
        <v>354</v>
      </c>
      <c r="AL157" s="288"/>
      <c r="AM157" s="289" t="s">
        <v>488</v>
      </c>
      <c r="AN157" s="347" t="s">
        <v>68</v>
      </c>
      <c r="AO157" s="281"/>
      <c r="AP157" s="230" t="s">
        <v>68</v>
      </c>
      <c r="AQ157" s="231" t="s">
        <v>68</v>
      </c>
      <c r="AR157" s="278"/>
      <c r="AS157" s="227" t="s">
        <v>68</v>
      </c>
      <c r="AT157" s="282" t="s">
        <v>68</v>
      </c>
      <c r="AU157" s="281"/>
      <c r="AV157" s="283" t="s">
        <v>68</v>
      </c>
      <c r="AW157" s="277" t="s">
        <v>68</v>
      </c>
      <c r="AX157" s="278"/>
      <c r="AY157" s="280" t="s">
        <v>68</v>
      </c>
      <c r="AZ157" s="282" t="s">
        <v>68</v>
      </c>
      <c r="BA157" s="281"/>
      <c r="BB157" s="283" t="s">
        <v>68</v>
      </c>
      <c r="BC157" s="317" t="s">
        <v>68</v>
      </c>
      <c r="BD157" s="278"/>
      <c r="BE157" s="280" t="s">
        <v>68</v>
      </c>
      <c r="BF157" s="284" t="s">
        <v>68</v>
      </c>
      <c r="BG157" s="285"/>
      <c r="BH157" s="286" t="s">
        <v>68</v>
      </c>
      <c r="BI157" s="287" t="s">
        <v>68</v>
      </c>
      <c r="BJ157" s="288"/>
      <c r="BK157" s="289" t="s">
        <v>68</v>
      </c>
      <c r="BL157" s="284" t="s">
        <v>68</v>
      </c>
      <c r="BM157" s="285"/>
      <c r="BN157" s="286" t="s">
        <v>68</v>
      </c>
    </row>
    <row r="158" customFormat="false" ht="15" hidden="false" customHeight="true" outlineLevel="0" collapsed="false">
      <c r="B158" s="322" t="s">
        <v>142</v>
      </c>
      <c r="C158" s="199" t="s">
        <v>489</v>
      </c>
      <c r="D158" s="324"/>
      <c r="E158" s="201" t="s">
        <v>490</v>
      </c>
      <c r="F158" s="352"/>
      <c r="G158" s="203"/>
      <c r="H158" s="220"/>
      <c r="I158" s="208"/>
      <c r="J158" s="236"/>
      <c r="K158" s="233"/>
      <c r="L158" s="234"/>
      <c r="M158" s="203"/>
      <c r="N158" s="204"/>
      <c r="O158" s="208"/>
      <c r="P158" s="203"/>
      <c r="Q158" s="204"/>
      <c r="R158" s="208"/>
      <c r="S158" s="222"/>
      <c r="T158" s="233"/>
      <c r="U158" s="230"/>
      <c r="V158" s="365"/>
      <c r="W158" s="208"/>
      <c r="X158" s="266"/>
      <c r="Y158" s="366"/>
      <c r="Z158" s="211"/>
      <c r="AA158" s="367"/>
      <c r="AB158" s="365"/>
      <c r="AC158" s="368"/>
      <c r="AD158" s="266"/>
      <c r="AE158" s="222"/>
      <c r="AF158" s="211"/>
      <c r="AG158" s="230"/>
      <c r="AH158" s="222"/>
      <c r="AI158" s="211"/>
      <c r="AJ158" s="230"/>
      <c r="AK158" s="224"/>
      <c r="AL158" s="220"/>
      <c r="AM158" s="227"/>
      <c r="AN158" s="223"/>
      <c r="AO158" s="229"/>
      <c r="AP158" s="230"/>
      <c r="AQ158" s="365"/>
      <c r="AR158" s="220"/>
      <c r="AS158" s="266"/>
      <c r="AT158" s="222"/>
      <c r="AU158" s="211"/>
      <c r="AV158" s="230"/>
      <c r="AW158" s="365"/>
      <c r="AX158" s="220"/>
      <c r="AY158" s="266"/>
      <c r="AZ158" s="222"/>
      <c r="BA158" s="211"/>
      <c r="BB158" s="230"/>
      <c r="BC158" s="365"/>
      <c r="BD158" s="220"/>
      <c r="BE158" s="266"/>
      <c r="BF158" s="222"/>
      <c r="BG158" s="211"/>
      <c r="BH158" s="230"/>
      <c r="BI158" s="365"/>
      <c r="BJ158" s="220"/>
      <c r="BK158" s="266"/>
      <c r="BL158" s="222"/>
      <c r="BM158" s="211"/>
      <c r="BN158" s="230"/>
    </row>
    <row r="159" customFormat="false" ht="15" hidden="false" customHeight="true" outlineLevel="0" collapsed="false">
      <c r="B159" s="322"/>
      <c r="C159" s="245" t="s">
        <v>491</v>
      </c>
      <c r="D159" s="343"/>
      <c r="E159" s="201" t="s">
        <v>492</v>
      </c>
      <c r="F159" s="369"/>
      <c r="G159" s="224"/>
      <c r="H159" s="220"/>
      <c r="I159" s="226"/>
      <c r="J159" s="222"/>
      <c r="K159" s="229"/>
      <c r="L159" s="230"/>
      <c r="M159" s="224"/>
      <c r="N159" s="225"/>
      <c r="O159" s="226"/>
      <c r="P159" s="224"/>
      <c r="Q159" s="225"/>
      <c r="R159" s="226"/>
      <c r="S159" s="222"/>
      <c r="T159" s="233"/>
      <c r="U159" s="230"/>
      <c r="V159" s="365"/>
      <c r="W159" s="226"/>
      <c r="X159" s="266"/>
      <c r="Y159" s="366"/>
      <c r="Z159" s="338"/>
      <c r="AA159" s="367"/>
      <c r="AB159" s="365"/>
      <c r="AC159" s="370"/>
      <c r="AD159" s="266"/>
      <c r="AE159" s="222"/>
      <c r="AF159" s="229"/>
      <c r="AG159" s="230"/>
      <c r="AH159" s="222"/>
      <c r="AI159" s="229"/>
      <c r="AJ159" s="230"/>
      <c r="AK159" s="224"/>
      <c r="AL159" s="225"/>
      <c r="AM159" s="227"/>
      <c r="AN159" s="223"/>
      <c r="AO159" s="233"/>
      <c r="AP159" s="230"/>
      <c r="AQ159" s="365"/>
      <c r="AR159" s="220"/>
      <c r="AS159" s="266"/>
      <c r="AT159" s="222"/>
      <c r="AU159" s="229"/>
      <c r="AV159" s="230"/>
      <c r="AW159" s="365"/>
      <c r="AX159" s="220"/>
      <c r="AY159" s="266"/>
      <c r="AZ159" s="222"/>
      <c r="BA159" s="229"/>
      <c r="BB159" s="230"/>
      <c r="BC159" s="365"/>
      <c r="BD159" s="220"/>
      <c r="BE159" s="266"/>
      <c r="BF159" s="222"/>
      <c r="BG159" s="229"/>
      <c r="BH159" s="230"/>
      <c r="BI159" s="365"/>
      <c r="BJ159" s="220"/>
      <c r="BK159" s="266"/>
      <c r="BL159" s="222"/>
      <c r="BM159" s="229"/>
      <c r="BN159" s="230"/>
    </row>
    <row r="160" customFormat="false" ht="15" hidden="false" customHeight="true" outlineLevel="0" collapsed="false">
      <c r="B160" s="322"/>
      <c r="C160" s="245" t="s">
        <v>493</v>
      </c>
      <c r="D160" s="343"/>
      <c r="E160" s="201" t="s">
        <v>494</v>
      </c>
      <c r="F160" s="369"/>
      <c r="G160" s="224"/>
      <c r="H160" s="220"/>
      <c r="I160" s="226"/>
      <c r="J160" s="222"/>
      <c r="K160" s="229"/>
      <c r="L160" s="230"/>
      <c r="M160" s="269"/>
      <c r="N160" s="225"/>
      <c r="O160" s="227"/>
      <c r="P160" s="269"/>
      <c r="Q160" s="225"/>
      <c r="R160" s="227"/>
      <c r="S160" s="222"/>
      <c r="T160" s="233"/>
      <c r="U160" s="230"/>
      <c r="V160" s="365"/>
      <c r="W160" s="226"/>
      <c r="X160" s="266"/>
      <c r="Y160" s="366"/>
      <c r="Z160" s="229"/>
      <c r="AA160" s="367"/>
      <c r="AB160" s="365"/>
      <c r="AC160" s="370"/>
      <c r="AD160" s="266"/>
      <c r="AE160" s="222"/>
      <c r="AF160" s="229"/>
      <c r="AG160" s="230"/>
      <c r="AH160" s="222"/>
      <c r="AI160" s="229"/>
      <c r="AJ160" s="230"/>
      <c r="AK160" s="224"/>
      <c r="AL160" s="225"/>
      <c r="AM160" s="227"/>
      <c r="AN160" s="223"/>
      <c r="AO160" s="233"/>
      <c r="AP160" s="230"/>
      <c r="AQ160" s="365"/>
      <c r="AR160" s="220"/>
      <c r="AS160" s="266"/>
      <c r="AT160" s="222"/>
      <c r="AU160" s="229"/>
      <c r="AV160" s="230"/>
      <c r="AW160" s="365"/>
      <c r="AX160" s="220"/>
      <c r="AY160" s="266"/>
      <c r="AZ160" s="222"/>
      <c r="BA160" s="229"/>
      <c r="BB160" s="230"/>
      <c r="BC160" s="365"/>
      <c r="BD160" s="220"/>
      <c r="BE160" s="266"/>
      <c r="BF160" s="222"/>
      <c r="BG160" s="229"/>
      <c r="BH160" s="230"/>
      <c r="BI160" s="365"/>
      <c r="BJ160" s="220"/>
      <c r="BK160" s="266"/>
      <c r="BL160" s="222"/>
      <c r="BM160" s="229"/>
      <c r="BN160" s="230"/>
    </row>
    <row r="161" customFormat="false" ht="15" hidden="false" customHeight="true" outlineLevel="0" collapsed="false">
      <c r="A161" s="0" t="n">
        <v>19</v>
      </c>
      <c r="B161" s="322"/>
      <c r="C161" s="371" t="s">
        <v>495</v>
      </c>
      <c r="D161" s="345"/>
      <c r="E161" s="345" t="s">
        <v>496</v>
      </c>
      <c r="F161" s="356"/>
      <c r="G161" s="277"/>
      <c r="H161" s="278"/>
      <c r="I161" s="279"/>
      <c r="J161" s="282"/>
      <c r="K161" s="281"/>
      <c r="L161" s="283"/>
      <c r="M161" s="277"/>
      <c r="N161" s="278"/>
      <c r="O161" s="279"/>
      <c r="P161" s="277"/>
      <c r="Q161" s="278"/>
      <c r="R161" s="279"/>
      <c r="S161" s="282"/>
      <c r="T161" s="281"/>
      <c r="U161" s="283"/>
      <c r="V161" s="372"/>
      <c r="W161" s="279"/>
      <c r="X161" s="289"/>
      <c r="Y161" s="373"/>
      <c r="Z161" s="281"/>
      <c r="AA161" s="374"/>
      <c r="AB161" s="372"/>
      <c r="AC161" s="279"/>
      <c r="AD161" s="289"/>
      <c r="AE161" s="282"/>
      <c r="AF161" s="281"/>
      <c r="AG161" s="283"/>
      <c r="AH161" s="282"/>
      <c r="AI161" s="281"/>
      <c r="AJ161" s="283"/>
      <c r="AK161" s="277"/>
      <c r="AL161" s="278"/>
      <c r="AM161" s="280"/>
      <c r="AN161" s="276"/>
      <c r="AO161" s="281"/>
      <c r="AP161" s="283"/>
      <c r="AQ161" s="372"/>
      <c r="AR161" s="278"/>
      <c r="AS161" s="289"/>
      <c r="AT161" s="282"/>
      <c r="AU161" s="281"/>
      <c r="AV161" s="283"/>
      <c r="AW161" s="372"/>
      <c r="AX161" s="278"/>
      <c r="AY161" s="289"/>
      <c r="AZ161" s="282"/>
      <c r="BA161" s="281"/>
      <c r="BB161" s="283"/>
      <c r="BC161" s="372"/>
      <c r="BD161" s="278"/>
      <c r="BE161" s="289"/>
      <c r="BF161" s="282"/>
      <c r="BG161" s="281"/>
      <c r="BH161" s="283"/>
      <c r="BI161" s="372"/>
      <c r="BJ161" s="278"/>
      <c r="BK161" s="289"/>
      <c r="BL161" s="282"/>
      <c r="BM161" s="281"/>
      <c r="BN161" s="283"/>
    </row>
    <row r="162" customFormat="false" ht="13.8" hidden="false" customHeight="false" outlineLevel="0" collapsed="false">
      <c r="B162" s="166" t="s">
        <v>267</v>
      </c>
      <c r="C162" s="166" t="s">
        <v>268</v>
      </c>
      <c r="D162" s="166"/>
      <c r="E162" s="166"/>
      <c r="F162" s="166"/>
    </row>
    <row r="1048576" customFormat="false" ht="12.8" hidden="false" customHeight="false" outlineLevel="0" collapsed="false"/>
  </sheetData>
  <mergeCells count="92">
    <mergeCell ref="B2:E2"/>
    <mergeCell ref="G2:I2"/>
    <mergeCell ref="J2:L2"/>
    <mergeCell ref="M2:O2"/>
    <mergeCell ref="P2:R2"/>
    <mergeCell ref="S2:U2"/>
    <mergeCell ref="V2:X2"/>
    <mergeCell ref="Y2:AA2"/>
    <mergeCell ref="AB2:AD2"/>
    <mergeCell ref="AE2:AG2"/>
    <mergeCell ref="AH2:AJ2"/>
    <mergeCell ref="AK2:AM2"/>
    <mergeCell ref="AN2:AP2"/>
    <mergeCell ref="AQ2:AS2"/>
    <mergeCell ref="AT2:AV2"/>
    <mergeCell ref="AW2:AY2"/>
    <mergeCell ref="AZ2:BB2"/>
    <mergeCell ref="BC2:BE2"/>
    <mergeCell ref="BF2:BH2"/>
    <mergeCell ref="BI2:BK2"/>
    <mergeCell ref="BL2:BN2"/>
    <mergeCell ref="B5:B80"/>
    <mergeCell ref="C5:C16"/>
    <mergeCell ref="D5:D8"/>
    <mergeCell ref="D9:D12"/>
    <mergeCell ref="D13:D16"/>
    <mergeCell ref="C17:C28"/>
    <mergeCell ref="D17:D20"/>
    <mergeCell ref="D21:D24"/>
    <mergeCell ref="D25:D28"/>
    <mergeCell ref="C29:C36"/>
    <mergeCell ref="D29:D32"/>
    <mergeCell ref="D33:D36"/>
    <mergeCell ref="C37:C48"/>
    <mergeCell ref="D37:D40"/>
    <mergeCell ref="D41:D44"/>
    <mergeCell ref="D45:D48"/>
    <mergeCell ref="C49:C60"/>
    <mergeCell ref="D49:D52"/>
    <mergeCell ref="D53:D56"/>
    <mergeCell ref="D57:D60"/>
    <mergeCell ref="C61:C68"/>
    <mergeCell ref="D61:D64"/>
    <mergeCell ref="D65:D68"/>
    <mergeCell ref="C69:C72"/>
    <mergeCell ref="D69:D72"/>
    <mergeCell ref="C73:C76"/>
    <mergeCell ref="D73:D76"/>
    <mergeCell ref="C77:C80"/>
    <mergeCell ref="B81:B133"/>
    <mergeCell ref="C81:C84"/>
    <mergeCell ref="D81:D84"/>
    <mergeCell ref="F81:F84"/>
    <mergeCell ref="C85:C100"/>
    <mergeCell ref="D85:D88"/>
    <mergeCell ref="F85:F88"/>
    <mergeCell ref="D89:D92"/>
    <mergeCell ref="F89:F92"/>
    <mergeCell ref="D93:D96"/>
    <mergeCell ref="F93:F96"/>
    <mergeCell ref="D97:D100"/>
    <mergeCell ref="F97:F100"/>
    <mergeCell ref="C101:C104"/>
    <mergeCell ref="D101:D104"/>
    <mergeCell ref="F101:F104"/>
    <mergeCell ref="C105:C120"/>
    <mergeCell ref="D105:D108"/>
    <mergeCell ref="F105:F108"/>
    <mergeCell ref="D109:D112"/>
    <mergeCell ref="F109:F112"/>
    <mergeCell ref="D113:D116"/>
    <mergeCell ref="F113:F116"/>
    <mergeCell ref="D117:D120"/>
    <mergeCell ref="F117:F120"/>
    <mergeCell ref="C121:C124"/>
    <mergeCell ref="D121:D124"/>
    <mergeCell ref="C125:C128"/>
    <mergeCell ref="D125:D128"/>
    <mergeCell ref="B134:B137"/>
    <mergeCell ref="C134:C135"/>
    <mergeCell ref="C136:C137"/>
    <mergeCell ref="B138:B141"/>
    <mergeCell ref="B142:B143"/>
    <mergeCell ref="B144:B157"/>
    <mergeCell ref="C144:C151"/>
    <mergeCell ref="D144:D147"/>
    <mergeCell ref="F144:F147"/>
    <mergeCell ref="D148:D151"/>
    <mergeCell ref="F148:F151"/>
    <mergeCell ref="C152:C155"/>
    <mergeCell ref="D152:D155"/>
    <mergeCell ref="B158:B16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7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10701</TotalTime>
  <Application>LibreOffice/7.3.7.2$Linux_X86_64 LibreOffice_project/30$Build-2</Application>
  <AppVersion>15.0000</AppVersion>
  <Company>MEERI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2016-06-29T10:28:22Z</dcterms:created>
  <dc:creator>PK</dc:creator>
  <dc:description/>
  <dc:language>en-US</dc:language>
  <cp:lastModifiedBy/>
  <dcterms:modified xsi:type="dcterms:W3CDTF">2026-01-30T17:05:42Z</dcterms:modified>
  <cp:revision>473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207707703113555</vt:r8>
  </property>
</Properties>
</file>